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eLivro" defaultThemeVersion="124226"/>
  <bookViews>
    <workbookView xWindow="-180" yWindow="-45" windowWidth="24120" windowHeight="10110" tabRatio="618" firstSheet="1" activeTab="3"/>
  </bookViews>
  <sheets>
    <sheet name="Listas" sheetId="2" state="hidden" r:id="rId1"/>
    <sheet name="02-09 T1" sheetId="2455" r:id="rId2"/>
    <sheet name="02-09 T2" sheetId="2456" r:id="rId3"/>
    <sheet name="02-09 T3" sheetId="2457" r:id="rId4"/>
  </sheets>
  <definedNames>
    <definedName name="_xlnm._FilterDatabase" localSheetId="1" hidden="1">'02-09 T1'!$T$156:$AG$160</definedName>
    <definedName name="_xlnm._FilterDatabase" localSheetId="2" hidden="1">'02-09 T2'!$T$156:$AG$160</definedName>
    <definedName name="_xlnm._FilterDatabase" localSheetId="3" hidden="1">'02-09 T3'!$T$156:$AG$160</definedName>
    <definedName name="_xlnm.Print_Area" localSheetId="1">'02-09 T1'!$A$1:$AM$131</definedName>
    <definedName name="_xlnm.Print_Area" localSheetId="2">'02-09 T2'!$A$1:$AM$131</definedName>
    <definedName name="_xlnm.Print_Area" localSheetId="3">'02-09 T3'!$A$1:$AM$131</definedName>
  </definedNames>
  <calcPr calcId="145621"/>
</workbook>
</file>

<file path=xl/calcChain.xml><?xml version="1.0" encoding="utf-8"?>
<calcChain xmlns="http://schemas.openxmlformats.org/spreadsheetml/2006/main">
  <c r="K124" i="2457" l="1"/>
  <c r="F124" i="2457"/>
  <c r="E124" i="2457"/>
  <c r="D124" i="2457"/>
  <c r="K123" i="2457"/>
  <c r="F123" i="2457"/>
  <c r="E123" i="2457"/>
  <c r="D123" i="2457"/>
  <c r="K122" i="2457"/>
  <c r="F122" i="2457"/>
  <c r="E122" i="2457"/>
  <c r="D122" i="2457"/>
  <c r="K121" i="2457"/>
  <c r="F121" i="2457"/>
  <c r="E121" i="2457"/>
  <c r="D121" i="2457"/>
  <c r="K120" i="2457"/>
  <c r="F120" i="2457"/>
  <c r="E120" i="2457"/>
  <c r="K119" i="2457"/>
  <c r="F119" i="2457"/>
  <c r="E119" i="2457"/>
  <c r="K118" i="2457"/>
  <c r="F118" i="2457"/>
  <c r="E118" i="2457"/>
  <c r="D118" i="2457"/>
  <c r="K117" i="2457"/>
  <c r="F117" i="2457"/>
  <c r="E117" i="2457"/>
  <c r="D117" i="2457"/>
  <c r="M112" i="2457"/>
  <c r="I112" i="2457"/>
  <c r="H112" i="2457"/>
  <c r="G112" i="2457"/>
  <c r="J111" i="2457"/>
  <c r="K111" i="2457" s="1"/>
  <c r="J110" i="2457"/>
  <c r="K110" i="2457" s="1"/>
  <c r="J109" i="2457"/>
  <c r="K109" i="2457" s="1"/>
  <c r="J108" i="2457"/>
  <c r="K108" i="2457" s="1"/>
  <c r="J107" i="2457"/>
  <c r="K107" i="2457" s="1"/>
  <c r="J106" i="2457"/>
  <c r="K106" i="2457" s="1"/>
  <c r="J105" i="2457"/>
  <c r="K105" i="2457" s="1"/>
  <c r="J104" i="2457"/>
  <c r="M99" i="2457"/>
  <c r="I99" i="2457"/>
  <c r="H99" i="2457"/>
  <c r="G99" i="2457"/>
  <c r="J98" i="2457"/>
  <c r="K98" i="2457" s="1"/>
  <c r="K97" i="2457"/>
  <c r="J97" i="2457"/>
  <c r="J96" i="2457"/>
  <c r="K96" i="2457" s="1"/>
  <c r="J95" i="2457"/>
  <c r="K95" i="2457" s="1"/>
  <c r="J94" i="2457"/>
  <c r="K94" i="2457" s="1"/>
  <c r="J93" i="2457"/>
  <c r="K93" i="2457" s="1"/>
  <c r="J92" i="2457"/>
  <c r="K91" i="2457"/>
  <c r="J91" i="2457"/>
  <c r="M86" i="2457"/>
  <c r="I86" i="2457"/>
  <c r="H86" i="2457"/>
  <c r="G86" i="2457"/>
  <c r="J85" i="2457"/>
  <c r="K85" i="2457" s="1"/>
  <c r="AG84" i="2457"/>
  <c r="X84" i="2457"/>
  <c r="AD8" i="2457" s="1"/>
  <c r="J84" i="2457"/>
  <c r="K84" i="2457" s="1"/>
  <c r="J83" i="2457"/>
  <c r="K83" i="2457" s="1"/>
  <c r="J82" i="2457"/>
  <c r="K82" i="2457" s="1"/>
  <c r="J81" i="2457"/>
  <c r="K81" i="2457" s="1"/>
  <c r="J80" i="2457"/>
  <c r="K80" i="2457" s="1"/>
  <c r="J79" i="2457"/>
  <c r="K79" i="2457" s="1"/>
  <c r="J78" i="2457"/>
  <c r="M73" i="2457"/>
  <c r="I73" i="2457"/>
  <c r="H73" i="2457"/>
  <c r="G73" i="2457"/>
  <c r="J72" i="2457"/>
  <c r="K72" i="2457" s="1"/>
  <c r="Y71" i="2457"/>
  <c r="X71" i="2457"/>
  <c r="J71" i="2457"/>
  <c r="K71" i="2457" s="1"/>
  <c r="AE70" i="2457"/>
  <c r="AC70" i="2457"/>
  <c r="AB70" i="2457"/>
  <c r="AA70" i="2457"/>
  <c r="Z70" i="2457"/>
  <c r="J70" i="2457"/>
  <c r="K70" i="2457" s="1"/>
  <c r="AE69" i="2457"/>
  <c r="AC69" i="2457"/>
  <c r="AB69" i="2457"/>
  <c r="AD69" i="2457" s="1"/>
  <c r="AA69" i="2457"/>
  <c r="Z69" i="2457"/>
  <c r="J69" i="2457"/>
  <c r="K69" i="2457" s="1"/>
  <c r="AE68" i="2457"/>
  <c r="AC68" i="2457"/>
  <c r="AB68" i="2457"/>
  <c r="AA68" i="2457"/>
  <c r="Z68" i="2457"/>
  <c r="J68" i="2457"/>
  <c r="K68" i="2457" s="1"/>
  <c r="AE67" i="2457"/>
  <c r="AC67" i="2457"/>
  <c r="AB67" i="2457"/>
  <c r="AA67" i="2457"/>
  <c r="Z67" i="2457"/>
  <c r="J67" i="2457"/>
  <c r="K67" i="2457" s="1"/>
  <c r="AE66" i="2457"/>
  <c r="AC66" i="2457"/>
  <c r="AB66" i="2457"/>
  <c r="AA66" i="2457"/>
  <c r="Z66" i="2457"/>
  <c r="J66" i="2457"/>
  <c r="K66" i="2457" s="1"/>
  <c r="AE65" i="2457"/>
  <c r="AC65" i="2457"/>
  <c r="AB65" i="2457"/>
  <c r="AA65" i="2457"/>
  <c r="Z65" i="2457"/>
  <c r="J65" i="2457"/>
  <c r="K65" i="2457" s="1"/>
  <c r="AE64" i="2457"/>
  <c r="AC64" i="2457"/>
  <c r="AB64" i="2457"/>
  <c r="AA64" i="2457"/>
  <c r="Z64" i="2457"/>
  <c r="AE63" i="2457"/>
  <c r="AC63" i="2457"/>
  <c r="AB63" i="2457"/>
  <c r="AD63" i="2457" s="1"/>
  <c r="AA63" i="2457"/>
  <c r="Z63" i="2457"/>
  <c r="AE62" i="2457"/>
  <c r="AC62" i="2457"/>
  <c r="AB62" i="2457"/>
  <c r="AA62" i="2457"/>
  <c r="Z62" i="2457"/>
  <c r="AE61" i="2457"/>
  <c r="AC61" i="2457"/>
  <c r="AB61" i="2457"/>
  <c r="AA61" i="2457"/>
  <c r="Z61" i="2457"/>
  <c r="AE60" i="2457"/>
  <c r="AC60" i="2457"/>
  <c r="AB60" i="2457"/>
  <c r="AA60" i="2457"/>
  <c r="Z60" i="2457"/>
  <c r="M60" i="2457"/>
  <c r="I60" i="2457"/>
  <c r="H60" i="2457"/>
  <c r="G60" i="2457"/>
  <c r="AE59" i="2457"/>
  <c r="AC59" i="2457"/>
  <c r="AB59" i="2457"/>
  <c r="AA59" i="2457"/>
  <c r="Z59" i="2457"/>
  <c r="J59" i="2457"/>
  <c r="K59" i="2457" s="1"/>
  <c r="AE58" i="2457"/>
  <c r="AC58" i="2457"/>
  <c r="AB58" i="2457"/>
  <c r="AA58" i="2457"/>
  <c r="Z58" i="2457"/>
  <c r="J58" i="2457"/>
  <c r="K58" i="2457" s="1"/>
  <c r="AE57" i="2457"/>
  <c r="AC57" i="2457"/>
  <c r="AC71" i="2457" s="1"/>
  <c r="AC8" i="2457" s="1"/>
  <c r="AB57" i="2457"/>
  <c r="AA57" i="2457"/>
  <c r="Z57" i="2457"/>
  <c r="J57" i="2457"/>
  <c r="K57" i="2457" s="1"/>
  <c r="AE56" i="2457"/>
  <c r="AC56" i="2457"/>
  <c r="AB56" i="2457"/>
  <c r="AA56" i="2457"/>
  <c r="Z56" i="2457"/>
  <c r="J56" i="2457"/>
  <c r="K56" i="2457" s="1"/>
  <c r="AE55" i="2457"/>
  <c r="AC55" i="2457"/>
  <c r="AB55" i="2457"/>
  <c r="AD55" i="2457" s="1"/>
  <c r="AA55" i="2457"/>
  <c r="Z55" i="2457"/>
  <c r="J55" i="2457"/>
  <c r="K55" i="2457" s="1"/>
  <c r="J54" i="2457"/>
  <c r="K54" i="2457" s="1"/>
  <c r="J53" i="2457"/>
  <c r="K53" i="2457" s="1"/>
  <c r="J52" i="2457"/>
  <c r="K52" i="2457" s="1"/>
  <c r="AC50" i="2457"/>
  <c r="X50" i="2457"/>
  <c r="AB49" i="2457"/>
  <c r="Y49" i="2457"/>
  <c r="Z49" i="2457" s="1"/>
  <c r="AB48" i="2457"/>
  <c r="Y48" i="2457"/>
  <c r="Z48" i="2457" s="1"/>
  <c r="AB47" i="2457"/>
  <c r="Z47" i="2457"/>
  <c r="Y47" i="2457"/>
  <c r="M47" i="2457"/>
  <c r="I47" i="2457"/>
  <c r="H47" i="2457"/>
  <c r="AB46" i="2457"/>
  <c r="Y46" i="2457"/>
  <c r="Z46" i="2457" s="1"/>
  <c r="AA46" i="2457" s="1"/>
  <c r="J46" i="2457"/>
  <c r="K46" i="2457" s="1"/>
  <c r="AB45" i="2457"/>
  <c r="Y45" i="2457"/>
  <c r="Z45" i="2457" s="1"/>
  <c r="J45" i="2457"/>
  <c r="K45" i="2457" s="1"/>
  <c r="AB44" i="2457"/>
  <c r="Y44" i="2457"/>
  <c r="Z44" i="2457" s="1"/>
  <c r="AA44" i="2457" s="1"/>
  <c r="J44" i="2457"/>
  <c r="K44" i="2457" s="1"/>
  <c r="AB43" i="2457"/>
  <c r="Y43" i="2457"/>
  <c r="Z43" i="2457" s="1"/>
  <c r="J43" i="2457"/>
  <c r="K43" i="2457" s="1"/>
  <c r="AB42" i="2457"/>
  <c r="Z42" i="2457"/>
  <c r="Y42" i="2457"/>
  <c r="G47" i="2457"/>
  <c r="AB41" i="2457"/>
  <c r="Z41" i="2457"/>
  <c r="Y41" i="2457"/>
  <c r="J41" i="2457"/>
  <c r="K41" i="2457" s="1"/>
  <c r="AB40" i="2457"/>
  <c r="Y40" i="2457"/>
  <c r="Z40" i="2457" s="1"/>
  <c r="AA40" i="2457" s="1"/>
  <c r="J40" i="2457"/>
  <c r="K40" i="2457" s="1"/>
  <c r="AB39" i="2457"/>
  <c r="Y39" i="2457"/>
  <c r="Z39" i="2457" s="1"/>
  <c r="J39" i="2457"/>
  <c r="K39" i="2457" s="1"/>
  <c r="AB38" i="2457"/>
  <c r="Y38" i="2457"/>
  <c r="Z38" i="2457" s="1"/>
  <c r="AB37" i="2457"/>
  <c r="Y37" i="2457"/>
  <c r="Z37" i="2457" s="1"/>
  <c r="AB36" i="2457"/>
  <c r="Y36" i="2457"/>
  <c r="Z36" i="2457" s="1"/>
  <c r="AB35" i="2457"/>
  <c r="Y35" i="2457"/>
  <c r="Z35" i="2457" s="1"/>
  <c r="AB34" i="2457"/>
  <c r="Y34" i="2457"/>
  <c r="Z34" i="2457" s="1"/>
  <c r="I34" i="2457"/>
  <c r="H34" i="2457"/>
  <c r="J33" i="2457"/>
  <c r="K33" i="2457" s="1"/>
  <c r="J32" i="2457"/>
  <c r="K32" i="2457" s="1"/>
  <c r="J31" i="2457"/>
  <c r="K31" i="2457" s="1"/>
  <c r="J30" i="2457"/>
  <c r="K30" i="2457" s="1"/>
  <c r="AC29" i="2457"/>
  <c r="X29" i="2457"/>
  <c r="J29" i="2457"/>
  <c r="K29" i="2457" s="1"/>
  <c r="AB28" i="2457"/>
  <c r="Z28" i="2457"/>
  <c r="Y28" i="2457"/>
  <c r="D119" i="2457"/>
  <c r="AB27" i="2457"/>
  <c r="Y27" i="2457"/>
  <c r="Z27" i="2457" s="1"/>
  <c r="AA27" i="2457" s="1"/>
  <c r="J27" i="2457"/>
  <c r="K27" i="2457" s="1"/>
  <c r="AB26" i="2457"/>
  <c r="Y26" i="2457"/>
  <c r="Z26" i="2457" s="1"/>
  <c r="J26" i="2457"/>
  <c r="K26" i="2457" s="1"/>
  <c r="AB25" i="2457"/>
  <c r="Y25" i="2457"/>
  <c r="Z25" i="2457" s="1"/>
  <c r="AB24" i="2457"/>
  <c r="Y24" i="2457"/>
  <c r="Z24" i="2457" s="1"/>
  <c r="AB23" i="2457"/>
  <c r="Y23" i="2457"/>
  <c r="Z23" i="2457" s="1"/>
  <c r="AB22" i="2457"/>
  <c r="Y22" i="2457"/>
  <c r="Z22" i="2457" s="1"/>
  <c r="AB21" i="2457"/>
  <c r="Y21" i="2457"/>
  <c r="Z21" i="2457" s="1"/>
  <c r="M21" i="2457"/>
  <c r="I21" i="2457"/>
  <c r="H21" i="2457"/>
  <c r="G21" i="2457"/>
  <c r="AB20" i="2457"/>
  <c r="Y20" i="2457"/>
  <c r="Z20" i="2457" s="1"/>
  <c r="J20" i="2457"/>
  <c r="AB19" i="2457"/>
  <c r="Y19" i="2457"/>
  <c r="Z19" i="2457" s="1"/>
  <c r="J19" i="2457"/>
  <c r="K19" i="2457" s="1"/>
  <c r="AB18" i="2457"/>
  <c r="Y18" i="2457"/>
  <c r="Z18" i="2457" s="1"/>
  <c r="J18" i="2457"/>
  <c r="AB17" i="2457"/>
  <c r="Y17" i="2457"/>
  <c r="Z17" i="2457" s="1"/>
  <c r="AA17" i="2457" s="1"/>
  <c r="J17" i="2457"/>
  <c r="K17" i="2457" s="1"/>
  <c r="AB16" i="2457"/>
  <c r="Y16" i="2457"/>
  <c r="Z16" i="2457" s="1"/>
  <c r="J16" i="2457"/>
  <c r="K16" i="2457" s="1"/>
  <c r="AB15" i="2457"/>
  <c r="Y15" i="2457"/>
  <c r="Z15" i="2457" s="1"/>
  <c r="J15" i="2457"/>
  <c r="K15" i="2457" s="1"/>
  <c r="AB14" i="2457"/>
  <c r="Y14" i="2457"/>
  <c r="Z14" i="2457" s="1"/>
  <c r="J14" i="2457"/>
  <c r="K14" i="2457" s="1"/>
  <c r="AB13" i="2457"/>
  <c r="Y13" i="2457"/>
  <c r="Z13" i="2457" s="1"/>
  <c r="J13" i="2457"/>
  <c r="AE8" i="2457"/>
  <c r="AD59" i="2457" l="1"/>
  <c r="G122" i="2457"/>
  <c r="H122" i="2457" s="1"/>
  <c r="J112" i="2457"/>
  <c r="K112" i="2457" s="1"/>
  <c r="D101" i="2457" s="1"/>
  <c r="J99" i="2457"/>
  <c r="K99" i="2457" s="1"/>
  <c r="D88" i="2457" s="1"/>
  <c r="K92" i="2457"/>
  <c r="H8" i="2457"/>
  <c r="AA15" i="2457"/>
  <c r="AA25" i="2457"/>
  <c r="AA34" i="2457"/>
  <c r="AA42" i="2457"/>
  <c r="G124" i="2457"/>
  <c r="H124" i="2457" s="1"/>
  <c r="AA36" i="2457"/>
  <c r="AE71" i="2457"/>
  <c r="AA71" i="2457"/>
  <c r="AD61" i="2457"/>
  <c r="F125" i="2457"/>
  <c r="J21" i="2457"/>
  <c r="K21" i="2457" s="1"/>
  <c r="D10" i="2457" s="1"/>
  <c r="K20" i="2457"/>
  <c r="Y50" i="2457"/>
  <c r="Z71" i="2457"/>
  <c r="AD57" i="2457"/>
  <c r="AD71" i="2457" s="1"/>
  <c r="AD65" i="2457"/>
  <c r="K125" i="2457"/>
  <c r="AA19" i="2457"/>
  <c r="AA48" i="2457"/>
  <c r="I8" i="2457"/>
  <c r="AB71" i="2457"/>
  <c r="AB8" i="2457" s="1"/>
  <c r="AD67" i="2457"/>
  <c r="J86" i="2457"/>
  <c r="K86" i="2457" s="1"/>
  <c r="D75" i="2457" s="1"/>
  <c r="E125" i="2457"/>
  <c r="Z29" i="2457"/>
  <c r="AA13" i="2457"/>
  <c r="AA21" i="2457"/>
  <c r="AA23" i="2457"/>
  <c r="AA38" i="2457"/>
  <c r="G34" i="2457"/>
  <c r="G8" i="2457" s="1"/>
  <c r="Z50" i="2457"/>
  <c r="J73" i="2457"/>
  <c r="K73" i="2457" s="1"/>
  <c r="D62" i="2457" s="1"/>
  <c r="D120" i="2457"/>
  <c r="D125" i="2457" s="1"/>
  <c r="G123" i="2457"/>
  <c r="K13" i="2457"/>
  <c r="K18" i="2457"/>
  <c r="J28" i="2457"/>
  <c r="J34" i="2457" s="1"/>
  <c r="Y29" i="2457"/>
  <c r="J42" i="2457"/>
  <c r="K42" i="2457" s="1"/>
  <c r="J60" i="2457"/>
  <c r="K60" i="2457" s="1"/>
  <c r="D49" i="2457" s="1"/>
  <c r="K78" i="2457"/>
  <c r="K104" i="2457"/>
  <c r="G118" i="2457"/>
  <c r="G117" i="2457"/>
  <c r="G121" i="2457"/>
  <c r="G42" i="2456"/>
  <c r="J8" i="2457" l="1"/>
  <c r="K8" i="2457" s="1"/>
  <c r="K34" i="2457"/>
  <c r="D23" i="2457" s="1"/>
  <c r="Z8" i="2457"/>
  <c r="AA8" i="2457" s="1"/>
  <c r="AF8" i="2457" s="1"/>
  <c r="I118" i="2457"/>
  <c r="H118" i="2457"/>
  <c r="H123" i="2457"/>
  <c r="J47" i="2457"/>
  <c r="K47" i="2457" s="1"/>
  <c r="D36" i="2457" s="1"/>
  <c r="H121" i="2457"/>
  <c r="K28" i="2457"/>
  <c r="G119" i="2457"/>
  <c r="G120" i="2457"/>
  <c r="H117" i="2457"/>
  <c r="I117" i="2457"/>
  <c r="I119" i="2457" l="1"/>
  <c r="H119" i="2457"/>
  <c r="I121" i="2457"/>
  <c r="I124" i="2457"/>
  <c r="I120" i="2457"/>
  <c r="H120" i="2457"/>
  <c r="I123" i="2457"/>
  <c r="I122" i="2457"/>
  <c r="G125" i="2457"/>
  <c r="H125" i="2457" s="1"/>
  <c r="D114" i="2457" s="1"/>
  <c r="G28" i="2456" l="1"/>
  <c r="K124" i="2456" l="1"/>
  <c r="F124" i="2456"/>
  <c r="E124" i="2456"/>
  <c r="D124" i="2456"/>
  <c r="K123" i="2456"/>
  <c r="F123" i="2456"/>
  <c r="E123" i="2456"/>
  <c r="D123" i="2456"/>
  <c r="K122" i="2456"/>
  <c r="F122" i="2456"/>
  <c r="E122" i="2456"/>
  <c r="D122" i="2456"/>
  <c r="K121" i="2456"/>
  <c r="F121" i="2456"/>
  <c r="E121" i="2456"/>
  <c r="D121" i="2456"/>
  <c r="K120" i="2456"/>
  <c r="F120" i="2456"/>
  <c r="E120" i="2456"/>
  <c r="D120" i="2456"/>
  <c r="K119" i="2456"/>
  <c r="F119" i="2456"/>
  <c r="E119" i="2456"/>
  <c r="D119" i="2456"/>
  <c r="K118" i="2456"/>
  <c r="F118" i="2456"/>
  <c r="E118" i="2456"/>
  <c r="D118" i="2456"/>
  <c r="K117" i="2456"/>
  <c r="F117" i="2456"/>
  <c r="E117" i="2456"/>
  <c r="D117" i="2456"/>
  <c r="M112" i="2456"/>
  <c r="I112" i="2456"/>
  <c r="H112" i="2456"/>
  <c r="G112" i="2456"/>
  <c r="J111" i="2456"/>
  <c r="K111" i="2456" s="1"/>
  <c r="J110" i="2456"/>
  <c r="K110" i="2456" s="1"/>
  <c r="J109" i="2456"/>
  <c r="K109" i="2456" s="1"/>
  <c r="J108" i="2456"/>
  <c r="K108" i="2456" s="1"/>
  <c r="J107" i="2456"/>
  <c r="K107" i="2456" s="1"/>
  <c r="J106" i="2456"/>
  <c r="K106" i="2456" s="1"/>
  <c r="J105" i="2456"/>
  <c r="K105" i="2456" s="1"/>
  <c r="J104" i="2456"/>
  <c r="K104" i="2456" s="1"/>
  <c r="M99" i="2456"/>
  <c r="I99" i="2456"/>
  <c r="H99" i="2456"/>
  <c r="G99" i="2456"/>
  <c r="J98" i="2456"/>
  <c r="K98" i="2456" s="1"/>
  <c r="J97" i="2456"/>
  <c r="K97" i="2456" s="1"/>
  <c r="J96" i="2456"/>
  <c r="K96" i="2456" s="1"/>
  <c r="J95" i="2456"/>
  <c r="K95" i="2456" s="1"/>
  <c r="J94" i="2456"/>
  <c r="K94" i="2456" s="1"/>
  <c r="J93" i="2456"/>
  <c r="K93" i="2456" s="1"/>
  <c r="J92" i="2456"/>
  <c r="J91" i="2456"/>
  <c r="K91" i="2456" s="1"/>
  <c r="M86" i="2456"/>
  <c r="I86" i="2456"/>
  <c r="H86" i="2456"/>
  <c r="G86" i="2456"/>
  <c r="J85" i="2456"/>
  <c r="K85" i="2456" s="1"/>
  <c r="AG84" i="2456"/>
  <c r="X84" i="2456"/>
  <c r="AD8" i="2456" s="1"/>
  <c r="J84" i="2456"/>
  <c r="K84" i="2456" s="1"/>
  <c r="J83" i="2456"/>
  <c r="K83" i="2456" s="1"/>
  <c r="J82" i="2456"/>
  <c r="K82" i="2456" s="1"/>
  <c r="J81" i="2456"/>
  <c r="K81" i="2456" s="1"/>
  <c r="J80" i="2456"/>
  <c r="K80" i="2456" s="1"/>
  <c r="J79" i="2456"/>
  <c r="K79" i="2456" s="1"/>
  <c r="J78" i="2456"/>
  <c r="M73" i="2456"/>
  <c r="I73" i="2456"/>
  <c r="H73" i="2456"/>
  <c r="G73" i="2456"/>
  <c r="J72" i="2456"/>
  <c r="K72" i="2456" s="1"/>
  <c r="Y71" i="2456"/>
  <c r="X71" i="2456"/>
  <c r="J71" i="2456"/>
  <c r="K71" i="2456" s="1"/>
  <c r="AE70" i="2456"/>
  <c r="AC70" i="2456"/>
  <c r="AB70" i="2456"/>
  <c r="AA70" i="2456"/>
  <c r="Z70" i="2456"/>
  <c r="J70" i="2456"/>
  <c r="K70" i="2456" s="1"/>
  <c r="AE69" i="2456"/>
  <c r="AC69" i="2456"/>
  <c r="AD69" i="2456" s="1"/>
  <c r="AB69" i="2456"/>
  <c r="AA69" i="2456"/>
  <c r="Z69" i="2456"/>
  <c r="J69" i="2456"/>
  <c r="K69" i="2456" s="1"/>
  <c r="AE68" i="2456"/>
  <c r="AC68" i="2456"/>
  <c r="AB68" i="2456"/>
  <c r="AA68" i="2456"/>
  <c r="Z68" i="2456"/>
  <c r="J68" i="2456"/>
  <c r="K68" i="2456" s="1"/>
  <c r="AE67" i="2456"/>
  <c r="AC67" i="2456"/>
  <c r="AB67" i="2456"/>
  <c r="AA67" i="2456"/>
  <c r="Z67" i="2456"/>
  <c r="J67" i="2456"/>
  <c r="K67" i="2456" s="1"/>
  <c r="AE66" i="2456"/>
  <c r="AC66" i="2456"/>
  <c r="AB66" i="2456"/>
  <c r="AA66" i="2456"/>
  <c r="Z66" i="2456"/>
  <c r="J66" i="2456"/>
  <c r="K66" i="2456" s="1"/>
  <c r="AE65" i="2456"/>
  <c r="AC65" i="2456"/>
  <c r="AB65" i="2456"/>
  <c r="AA65" i="2456"/>
  <c r="Z65" i="2456"/>
  <c r="J65" i="2456"/>
  <c r="AE64" i="2456"/>
  <c r="AC64" i="2456"/>
  <c r="AB64" i="2456"/>
  <c r="AA64" i="2456"/>
  <c r="Z64" i="2456"/>
  <c r="AE63" i="2456"/>
  <c r="AC63" i="2456"/>
  <c r="AB63" i="2456"/>
  <c r="AA63" i="2456"/>
  <c r="Z63" i="2456"/>
  <c r="AE62" i="2456"/>
  <c r="AC62" i="2456"/>
  <c r="AB62" i="2456"/>
  <c r="AA62" i="2456"/>
  <c r="Z62" i="2456"/>
  <c r="AE61" i="2456"/>
  <c r="AC61" i="2456"/>
  <c r="AB61" i="2456"/>
  <c r="AA61" i="2456"/>
  <c r="Z61" i="2456"/>
  <c r="AE60" i="2456"/>
  <c r="AC60" i="2456"/>
  <c r="AB60" i="2456"/>
  <c r="AA60" i="2456"/>
  <c r="Z60" i="2456"/>
  <c r="M60" i="2456"/>
  <c r="I60" i="2456"/>
  <c r="H60" i="2456"/>
  <c r="G60" i="2456"/>
  <c r="AE59" i="2456"/>
  <c r="AC59" i="2456"/>
  <c r="AB59" i="2456"/>
  <c r="AA59" i="2456"/>
  <c r="Z59" i="2456"/>
  <c r="J59" i="2456"/>
  <c r="K59" i="2456" s="1"/>
  <c r="AE58" i="2456"/>
  <c r="AC58" i="2456"/>
  <c r="AB58" i="2456"/>
  <c r="AA58" i="2456"/>
  <c r="Z58" i="2456"/>
  <c r="J58" i="2456"/>
  <c r="K58" i="2456" s="1"/>
  <c r="AE57" i="2456"/>
  <c r="AC57" i="2456"/>
  <c r="AB57" i="2456"/>
  <c r="AD57" i="2456" s="1"/>
  <c r="AA57" i="2456"/>
  <c r="Z57" i="2456"/>
  <c r="J57" i="2456"/>
  <c r="K57" i="2456" s="1"/>
  <c r="AE56" i="2456"/>
  <c r="AC56" i="2456"/>
  <c r="AB56" i="2456"/>
  <c r="AA56" i="2456"/>
  <c r="Z56" i="2456"/>
  <c r="J56" i="2456"/>
  <c r="K56" i="2456" s="1"/>
  <c r="AE55" i="2456"/>
  <c r="AC55" i="2456"/>
  <c r="AB55" i="2456"/>
  <c r="AD55" i="2456" s="1"/>
  <c r="AA55" i="2456"/>
  <c r="Z55" i="2456"/>
  <c r="J55" i="2456"/>
  <c r="K55" i="2456" s="1"/>
  <c r="J54" i="2456"/>
  <c r="K54" i="2456" s="1"/>
  <c r="J53" i="2456"/>
  <c r="K53" i="2456" s="1"/>
  <c r="J52" i="2456"/>
  <c r="K52" i="2456" s="1"/>
  <c r="AC50" i="2456"/>
  <c r="X50" i="2456"/>
  <c r="AB49" i="2456"/>
  <c r="Y49" i="2456"/>
  <c r="Z49" i="2456" s="1"/>
  <c r="AB48" i="2456"/>
  <c r="Z48" i="2456"/>
  <c r="Y48" i="2456"/>
  <c r="AB47" i="2456"/>
  <c r="Y47" i="2456"/>
  <c r="Z47" i="2456" s="1"/>
  <c r="M47" i="2456"/>
  <c r="I47" i="2456"/>
  <c r="H47" i="2456"/>
  <c r="G47" i="2456"/>
  <c r="AB46" i="2456"/>
  <c r="Z46" i="2456"/>
  <c r="AA46" i="2456" s="1"/>
  <c r="Y46" i="2456"/>
  <c r="J46" i="2456"/>
  <c r="K46" i="2456" s="1"/>
  <c r="AB45" i="2456"/>
  <c r="Y45" i="2456"/>
  <c r="Z45" i="2456" s="1"/>
  <c r="J45" i="2456"/>
  <c r="K45" i="2456" s="1"/>
  <c r="AB44" i="2456"/>
  <c r="Z44" i="2456"/>
  <c r="AA44" i="2456" s="1"/>
  <c r="Y44" i="2456"/>
  <c r="J44" i="2456"/>
  <c r="K44" i="2456" s="1"/>
  <c r="AB43" i="2456"/>
  <c r="Z43" i="2456"/>
  <c r="Y43" i="2456"/>
  <c r="J43" i="2456"/>
  <c r="K43" i="2456" s="1"/>
  <c r="AB42" i="2456"/>
  <c r="Y42" i="2456"/>
  <c r="Z42" i="2456" s="1"/>
  <c r="AA42" i="2456" s="1"/>
  <c r="J42" i="2456"/>
  <c r="K42" i="2456" s="1"/>
  <c r="AB41" i="2456"/>
  <c r="Z41" i="2456"/>
  <c r="Y41" i="2456"/>
  <c r="J41" i="2456"/>
  <c r="AB40" i="2456"/>
  <c r="Y40" i="2456"/>
  <c r="Z40" i="2456" s="1"/>
  <c r="AA40" i="2456" s="1"/>
  <c r="J40" i="2456"/>
  <c r="K40" i="2456" s="1"/>
  <c r="AB39" i="2456"/>
  <c r="Y39" i="2456"/>
  <c r="Z39" i="2456" s="1"/>
  <c r="J39" i="2456"/>
  <c r="K39" i="2456" s="1"/>
  <c r="AB38" i="2456"/>
  <c r="Y38" i="2456"/>
  <c r="Z38" i="2456" s="1"/>
  <c r="AA38" i="2456" s="1"/>
  <c r="AB37" i="2456"/>
  <c r="Z37" i="2456"/>
  <c r="Y37" i="2456"/>
  <c r="AB36" i="2456"/>
  <c r="Y36" i="2456"/>
  <c r="Z36" i="2456" s="1"/>
  <c r="AB35" i="2456"/>
  <c r="Z35" i="2456"/>
  <c r="Y35" i="2456"/>
  <c r="AB34" i="2456"/>
  <c r="Y34" i="2456"/>
  <c r="Z34" i="2456" s="1"/>
  <c r="I34" i="2456"/>
  <c r="H34" i="2456"/>
  <c r="G34" i="2456"/>
  <c r="J33" i="2456"/>
  <c r="J32" i="2456"/>
  <c r="K32" i="2456" s="1"/>
  <c r="J31" i="2456"/>
  <c r="K31" i="2456" s="1"/>
  <c r="J30" i="2456"/>
  <c r="K30" i="2456" s="1"/>
  <c r="AC29" i="2456"/>
  <c r="X29" i="2456"/>
  <c r="J29" i="2456"/>
  <c r="K29" i="2456" s="1"/>
  <c r="AB28" i="2456"/>
  <c r="Y28" i="2456"/>
  <c r="Z28" i="2456" s="1"/>
  <c r="J28" i="2456"/>
  <c r="K28" i="2456" s="1"/>
  <c r="AB27" i="2456"/>
  <c r="Y27" i="2456"/>
  <c r="Z27" i="2456" s="1"/>
  <c r="AA27" i="2456" s="1"/>
  <c r="J27" i="2456"/>
  <c r="K27" i="2456" s="1"/>
  <c r="AB26" i="2456"/>
  <c r="Z26" i="2456"/>
  <c r="Y26" i="2456"/>
  <c r="J26" i="2456"/>
  <c r="AB25" i="2456"/>
  <c r="Y25" i="2456"/>
  <c r="Z25" i="2456" s="1"/>
  <c r="AA25" i="2456" s="1"/>
  <c r="AB24" i="2456"/>
  <c r="Y24" i="2456"/>
  <c r="Z24" i="2456" s="1"/>
  <c r="AB23" i="2456"/>
  <c r="Y23" i="2456"/>
  <c r="Z23" i="2456" s="1"/>
  <c r="AB22" i="2456"/>
  <c r="Y22" i="2456"/>
  <c r="Z22" i="2456" s="1"/>
  <c r="AB21" i="2456"/>
  <c r="Y21" i="2456"/>
  <c r="Z21" i="2456" s="1"/>
  <c r="M21" i="2456"/>
  <c r="I21" i="2456"/>
  <c r="H21" i="2456"/>
  <c r="G21" i="2456"/>
  <c r="AB20" i="2456"/>
  <c r="Y20" i="2456"/>
  <c r="Z20" i="2456" s="1"/>
  <c r="J20" i="2456"/>
  <c r="K20" i="2456" s="1"/>
  <c r="AB19" i="2456"/>
  <c r="Y19" i="2456"/>
  <c r="Z19" i="2456" s="1"/>
  <c r="AA19" i="2456" s="1"/>
  <c r="J19" i="2456"/>
  <c r="AB18" i="2456"/>
  <c r="Y18" i="2456"/>
  <c r="Z18" i="2456" s="1"/>
  <c r="J18" i="2456"/>
  <c r="K18" i="2456" s="1"/>
  <c r="AB17" i="2456"/>
  <c r="Y17" i="2456"/>
  <c r="Z17" i="2456" s="1"/>
  <c r="AA17" i="2456" s="1"/>
  <c r="J17" i="2456"/>
  <c r="AB16" i="2456"/>
  <c r="Y16" i="2456"/>
  <c r="Z16" i="2456" s="1"/>
  <c r="J16" i="2456"/>
  <c r="K16" i="2456" s="1"/>
  <c r="AB15" i="2456"/>
  <c r="Y15" i="2456"/>
  <c r="Z15" i="2456" s="1"/>
  <c r="J15" i="2456"/>
  <c r="K15" i="2456" s="1"/>
  <c r="AB14" i="2456"/>
  <c r="Y14" i="2456"/>
  <c r="Z14" i="2456" s="1"/>
  <c r="J14" i="2456"/>
  <c r="AB13" i="2456"/>
  <c r="Y13" i="2456"/>
  <c r="J13" i="2456"/>
  <c r="K13" i="2456" s="1"/>
  <c r="AE8" i="2456"/>
  <c r="J86" i="2456" l="1"/>
  <c r="K86" i="2456" s="1"/>
  <c r="D75" i="2456" s="1"/>
  <c r="AD65" i="2456"/>
  <c r="AA15" i="2456"/>
  <c r="AD63" i="2456"/>
  <c r="I8" i="2456"/>
  <c r="J112" i="2456"/>
  <c r="K112" i="2456" s="1"/>
  <c r="D101" i="2456" s="1"/>
  <c r="F125" i="2456"/>
  <c r="J47" i="2456"/>
  <c r="K47" i="2456" s="1"/>
  <c r="D36" i="2456" s="1"/>
  <c r="G8" i="2456"/>
  <c r="K125" i="2456"/>
  <c r="G117" i="2456"/>
  <c r="H117" i="2456" s="1"/>
  <c r="G118" i="2456"/>
  <c r="H118" i="2456" s="1"/>
  <c r="G121" i="2456"/>
  <c r="H121" i="2456" s="1"/>
  <c r="G122" i="2456"/>
  <c r="H122" i="2456" s="1"/>
  <c r="AA71" i="2456"/>
  <c r="AD61" i="2456"/>
  <c r="D125" i="2456"/>
  <c r="AB71" i="2456"/>
  <c r="AB8" i="2456" s="1"/>
  <c r="G123" i="2456"/>
  <c r="K19" i="2456"/>
  <c r="K26" i="2456"/>
  <c r="J34" i="2456"/>
  <c r="K34" i="2456" s="1"/>
  <c r="D23" i="2456" s="1"/>
  <c r="AA36" i="2456"/>
  <c r="AA21" i="2456"/>
  <c r="K33" i="2456"/>
  <c r="G124" i="2456"/>
  <c r="AA48" i="2456"/>
  <c r="AC71" i="2456"/>
  <c r="AC8" i="2456" s="1"/>
  <c r="AD67" i="2456"/>
  <c r="Y29" i="2456"/>
  <c r="H8" i="2456"/>
  <c r="AA23" i="2456"/>
  <c r="Z50" i="2456"/>
  <c r="AA34" i="2456"/>
  <c r="Y50" i="2456"/>
  <c r="Z71" i="2456"/>
  <c r="AE71" i="2456"/>
  <c r="AD59" i="2456"/>
  <c r="J73" i="2456"/>
  <c r="K73" i="2456" s="1"/>
  <c r="D62" i="2456" s="1"/>
  <c r="E125" i="2456"/>
  <c r="G120" i="2456"/>
  <c r="J60" i="2456"/>
  <c r="K60" i="2456" s="1"/>
  <c r="D49" i="2456" s="1"/>
  <c r="J99" i="2456"/>
  <c r="K99" i="2456" s="1"/>
  <c r="D88" i="2456" s="1"/>
  <c r="K92" i="2456"/>
  <c r="G119" i="2456"/>
  <c r="Z13" i="2456"/>
  <c r="K14" i="2456"/>
  <c r="K17" i="2456"/>
  <c r="J21" i="2456"/>
  <c r="K21" i="2456" s="1"/>
  <c r="D10" i="2456" s="1"/>
  <c r="K41" i="2456"/>
  <c r="K65" i="2456"/>
  <c r="K78" i="2456"/>
  <c r="E120" i="2455"/>
  <c r="K124" i="2455"/>
  <c r="F124" i="2455"/>
  <c r="E124" i="2455"/>
  <c r="D124" i="2455"/>
  <c r="K123" i="2455"/>
  <c r="F123" i="2455"/>
  <c r="E123" i="2455"/>
  <c r="D123" i="2455"/>
  <c r="K122" i="2455"/>
  <c r="F122" i="2455"/>
  <c r="E122" i="2455"/>
  <c r="D122" i="2455"/>
  <c r="K121" i="2455"/>
  <c r="F121" i="2455"/>
  <c r="E121" i="2455"/>
  <c r="D121" i="2455"/>
  <c r="K120" i="2455"/>
  <c r="F120" i="2455"/>
  <c r="D120" i="2455"/>
  <c r="K119" i="2455"/>
  <c r="F119" i="2455"/>
  <c r="E119" i="2455"/>
  <c r="D119" i="2455"/>
  <c r="K118" i="2455"/>
  <c r="F118" i="2455"/>
  <c r="E118" i="2455"/>
  <c r="D118" i="2455"/>
  <c r="K117" i="2455"/>
  <c r="F117" i="2455"/>
  <c r="E117" i="2455"/>
  <c r="D117" i="2455"/>
  <c r="M112" i="2455"/>
  <c r="I112" i="2455"/>
  <c r="H112" i="2455"/>
  <c r="G112" i="2455"/>
  <c r="J111" i="2455"/>
  <c r="K111" i="2455" s="1"/>
  <c r="J110" i="2455"/>
  <c r="K110" i="2455" s="1"/>
  <c r="J109" i="2455"/>
  <c r="K109" i="2455" s="1"/>
  <c r="J108" i="2455"/>
  <c r="K108" i="2455" s="1"/>
  <c r="J107" i="2455"/>
  <c r="K107" i="2455" s="1"/>
  <c r="J106" i="2455"/>
  <c r="K106" i="2455" s="1"/>
  <c r="J105" i="2455"/>
  <c r="K105" i="2455" s="1"/>
  <c r="J104" i="2455"/>
  <c r="K104" i="2455" s="1"/>
  <c r="M99" i="2455"/>
  <c r="I99" i="2455"/>
  <c r="H99" i="2455"/>
  <c r="G99" i="2455"/>
  <c r="J98" i="2455"/>
  <c r="K98" i="2455" s="1"/>
  <c r="J97" i="2455"/>
  <c r="K97" i="2455" s="1"/>
  <c r="J96" i="2455"/>
  <c r="K96" i="2455" s="1"/>
  <c r="J95" i="2455"/>
  <c r="K95" i="2455" s="1"/>
  <c r="J94" i="2455"/>
  <c r="K94" i="2455" s="1"/>
  <c r="J93" i="2455"/>
  <c r="K93" i="2455" s="1"/>
  <c r="J92" i="2455"/>
  <c r="J91" i="2455"/>
  <c r="K91" i="2455" s="1"/>
  <c r="M86" i="2455"/>
  <c r="I86" i="2455"/>
  <c r="H86" i="2455"/>
  <c r="G86" i="2455"/>
  <c r="J85" i="2455"/>
  <c r="K85" i="2455" s="1"/>
  <c r="AG84" i="2455"/>
  <c r="AE8" i="2455" s="1"/>
  <c r="X84" i="2455"/>
  <c r="J84" i="2455"/>
  <c r="K84" i="2455" s="1"/>
  <c r="J83" i="2455"/>
  <c r="K83" i="2455" s="1"/>
  <c r="J82" i="2455"/>
  <c r="K82" i="2455" s="1"/>
  <c r="J81" i="2455"/>
  <c r="K81" i="2455" s="1"/>
  <c r="J80" i="2455"/>
  <c r="K80" i="2455" s="1"/>
  <c r="J79" i="2455"/>
  <c r="K79" i="2455" s="1"/>
  <c r="J78" i="2455"/>
  <c r="M73" i="2455"/>
  <c r="I73" i="2455"/>
  <c r="H73" i="2455"/>
  <c r="G73" i="2455"/>
  <c r="J72" i="2455"/>
  <c r="K72" i="2455" s="1"/>
  <c r="Y71" i="2455"/>
  <c r="X71" i="2455"/>
  <c r="J71" i="2455"/>
  <c r="K71" i="2455" s="1"/>
  <c r="AE70" i="2455"/>
  <c r="AC70" i="2455"/>
  <c r="AB70" i="2455"/>
  <c r="AA70" i="2455"/>
  <c r="Z70" i="2455"/>
  <c r="J70" i="2455"/>
  <c r="K70" i="2455" s="1"/>
  <c r="AE69" i="2455"/>
  <c r="AC69" i="2455"/>
  <c r="AB69" i="2455"/>
  <c r="AA69" i="2455"/>
  <c r="Z69" i="2455"/>
  <c r="J69" i="2455"/>
  <c r="K69" i="2455" s="1"/>
  <c r="AE68" i="2455"/>
  <c r="AC68" i="2455"/>
  <c r="AB68" i="2455"/>
  <c r="AA68" i="2455"/>
  <c r="Z68" i="2455"/>
  <c r="J68" i="2455"/>
  <c r="K68" i="2455" s="1"/>
  <c r="AE67" i="2455"/>
  <c r="AC67" i="2455"/>
  <c r="AB67" i="2455"/>
  <c r="AA67" i="2455"/>
  <c r="Z67" i="2455"/>
  <c r="J67" i="2455"/>
  <c r="K67" i="2455" s="1"/>
  <c r="AE66" i="2455"/>
  <c r="AC66" i="2455"/>
  <c r="AB66" i="2455"/>
  <c r="AA66" i="2455"/>
  <c r="Z66" i="2455"/>
  <c r="J66" i="2455"/>
  <c r="K66" i="2455" s="1"/>
  <c r="AE65" i="2455"/>
  <c r="AC65" i="2455"/>
  <c r="AB65" i="2455"/>
  <c r="AA65" i="2455"/>
  <c r="Z65" i="2455"/>
  <c r="J65" i="2455"/>
  <c r="K65" i="2455" s="1"/>
  <c r="AE64" i="2455"/>
  <c r="AC64" i="2455"/>
  <c r="AB64" i="2455"/>
  <c r="AA64" i="2455"/>
  <c r="Z64" i="2455"/>
  <c r="AE63" i="2455"/>
  <c r="AC63" i="2455"/>
  <c r="AB63" i="2455"/>
  <c r="AA63" i="2455"/>
  <c r="Z63" i="2455"/>
  <c r="AE62" i="2455"/>
  <c r="AC62" i="2455"/>
  <c r="AB62" i="2455"/>
  <c r="AA62" i="2455"/>
  <c r="Z62" i="2455"/>
  <c r="AE61" i="2455"/>
  <c r="AC61" i="2455"/>
  <c r="AB61" i="2455"/>
  <c r="AD61" i="2455" s="1"/>
  <c r="AA61" i="2455"/>
  <c r="Z61" i="2455"/>
  <c r="AE60" i="2455"/>
  <c r="AC60" i="2455"/>
  <c r="AB60" i="2455"/>
  <c r="AA60" i="2455"/>
  <c r="Z60" i="2455"/>
  <c r="M60" i="2455"/>
  <c r="I60" i="2455"/>
  <c r="H60" i="2455"/>
  <c r="G60" i="2455"/>
  <c r="AE59" i="2455"/>
  <c r="AC59" i="2455"/>
  <c r="AB59" i="2455"/>
  <c r="AA59" i="2455"/>
  <c r="Z59" i="2455"/>
  <c r="J59" i="2455"/>
  <c r="K59" i="2455" s="1"/>
  <c r="AE58" i="2455"/>
  <c r="AC58" i="2455"/>
  <c r="AB58" i="2455"/>
  <c r="AA58" i="2455"/>
  <c r="Z58" i="2455"/>
  <c r="J58" i="2455"/>
  <c r="K58" i="2455" s="1"/>
  <c r="AE57" i="2455"/>
  <c r="AC57" i="2455"/>
  <c r="AB57" i="2455"/>
  <c r="AA57" i="2455"/>
  <c r="Z57" i="2455"/>
  <c r="J57" i="2455"/>
  <c r="K57" i="2455" s="1"/>
  <c r="AE56" i="2455"/>
  <c r="AC56" i="2455"/>
  <c r="AB56" i="2455"/>
  <c r="AA56" i="2455"/>
  <c r="Z56" i="2455"/>
  <c r="J56" i="2455"/>
  <c r="K56" i="2455" s="1"/>
  <c r="AE55" i="2455"/>
  <c r="AC55" i="2455"/>
  <c r="AB55" i="2455"/>
  <c r="AA55" i="2455"/>
  <c r="Z55" i="2455"/>
  <c r="J55" i="2455"/>
  <c r="K55" i="2455" s="1"/>
  <c r="J54" i="2455"/>
  <c r="K54" i="2455" s="1"/>
  <c r="J53" i="2455"/>
  <c r="K53" i="2455" s="1"/>
  <c r="J52" i="2455"/>
  <c r="K52" i="2455" s="1"/>
  <c r="AC50" i="2455"/>
  <c r="AB49" i="2455"/>
  <c r="Y49" i="2455"/>
  <c r="Z49" i="2455" s="1"/>
  <c r="AB48" i="2455"/>
  <c r="Y48" i="2455"/>
  <c r="Z48" i="2455" s="1"/>
  <c r="AB47" i="2455"/>
  <c r="Y47" i="2455"/>
  <c r="Z47" i="2455" s="1"/>
  <c r="M47" i="2455"/>
  <c r="I47" i="2455"/>
  <c r="H47" i="2455"/>
  <c r="G47" i="2455"/>
  <c r="AB46" i="2455"/>
  <c r="Y46" i="2455"/>
  <c r="Z46" i="2455" s="1"/>
  <c r="J46" i="2455"/>
  <c r="K46" i="2455" s="1"/>
  <c r="AB45" i="2455"/>
  <c r="Y45" i="2455"/>
  <c r="Z45" i="2455" s="1"/>
  <c r="J45" i="2455"/>
  <c r="K45" i="2455" s="1"/>
  <c r="AB44" i="2455"/>
  <c r="X50" i="2455"/>
  <c r="J44" i="2455"/>
  <c r="K44" i="2455" s="1"/>
  <c r="AB43" i="2455"/>
  <c r="Y43" i="2455"/>
  <c r="Z43" i="2455" s="1"/>
  <c r="J43" i="2455"/>
  <c r="K43" i="2455" s="1"/>
  <c r="AB42" i="2455"/>
  <c r="Y42" i="2455"/>
  <c r="Z42" i="2455" s="1"/>
  <c r="J42" i="2455"/>
  <c r="AB41" i="2455"/>
  <c r="Y41" i="2455"/>
  <c r="Z41" i="2455" s="1"/>
  <c r="J41" i="2455"/>
  <c r="K41" i="2455" s="1"/>
  <c r="AB40" i="2455"/>
  <c r="Y40" i="2455"/>
  <c r="Z40" i="2455" s="1"/>
  <c r="AA40" i="2455" s="1"/>
  <c r="J40" i="2455"/>
  <c r="K40" i="2455" s="1"/>
  <c r="AB39" i="2455"/>
  <c r="Y39" i="2455"/>
  <c r="Z39" i="2455" s="1"/>
  <c r="J39" i="2455"/>
  <c r="AB38" i="2455"/>
  <c r="Y38" i="2455"/>
  <c r="Z38" i="2455" s="1"/>
  <c r="AB37" i="2455"/>
  <c r="Y37" i="2455"/>
  <c r="Z37" i="2455" s="1"/>
  <c r="AB36" i="2455"/>
  <c r="Y36" i="2455"/>
  <c r="Z36" i="2455" s="1"/>
  <c r="AB35" i="2455"/>
  <c r="Y35" i="2455"/>
  <c r="Z35" i="2455" s="1"/>
  <c r="AB34" i="2455"/>
  <c r="Y34" i="2455"/>
  <c r="Z34" i="2455" s="1"/>
  <c r="I34" i="2455"/>
  <c r="H34" i="2455"/>
  <c r="G34" i="2455"/>
  <c r="J33" i="2455"/>
  <c r="K33" i="2455" s="1"/>
  <c r="J32" i="2455"/>
  <c r="J31" i="2455"/>
  <c r="K31" i="2455" s="1"/>
  <c r="J30" i="2455"/>
  <c r="K30" i="2455" s="1"/>
  <c r="AC29" i="2455"/>
  <c r="X29" i="2455"/>
  <c r="J29" i="2455"/>
  <c r="K29" i="2455" s="1"/>
  <c r="AB28" i="2455"/>
  <c r="Y28" i="2455"/>
  <c r="Z28" i="2455" s="1"/>
  <c r="J28" i="2455"/>
  <c r="K28" i="2455" s="1"/>
  <c r="AB27" i="2455"/>
  <c r="Y27" i="2455"/>
  <c r="Z27" i="2455" s="1"/>
  <c r="J27" i="2455"/>
  <c r="K27" i="2455" s="1"/>
  <c r="AB26" i="2455"/>
  <c r="Y26" i="2455"/>
  <c r="Z26" i="2455" s="1"/>
  <c r="J26" i="2455"/>
  <c r="K26" i="2455" s="1"/>
  <c r="AB25" i="2455"/>
  <c r="Y25" i="2455"/>
  <c r="Z25" i="2455" s="1"/>
  <c r="AB24" i="2455"/>
  <c r="Y24" i="2455"/>
  <c r="Z24" i="2455" s="1"/>
  <c r="AB23" i="2455"/>
  <c r="Y23" i="2455"/>
  <c r="Z23" i="2455" s="1"/>
  <c r="AB22" i="2455"/>
  <c r="Y22" i="2455"/>
  <c r="Z22" i="2455" s="1"/>
  <c r="AB21" i="2455"/>
  <c r="Y21" i="2455"/>
  <c r="Z21" i="2455" s="1"/>
  <c r="M21" i="2455"/>
  <c r="I21" i="2455"/>
  <c r="H21" i="2455"/>
  <c r="G21" i="2455"/>
  <c r="AB20" i="2455"/>
  <c r="Y20" i="2455"/>
  <c r="Z20" i="2455" s="1"/>
  <c r="J20" i="2455"/>
  <c r="AB19" i="2455"/>
  <c r="Y19" i="2455"/>
  <c r="Z19" i="2455" s="1"/>
  <c r="J19" i="2455"/>
  <c r="K19" i="2455" s="1"/>
  <c r="AB18" i="2455"/>
  <c r="Y18" i="2455"/>
  <c r="Z18" i="2455" s="1"/>
  <c r="J18" i="2455"/>
  <c r="AB17" i="2455"/>
  <c r="Y17" i="2455"/>
  <c r="Z17" i="2455" s="1"/>
  <c r="J17" i="2455"/>
  <c r="K17" i="2455" s="1"/>
  <c r="AB16" i="2455"/>
  <c r="Y16" i="2455"/>
  <c r="Z16" i="2455" s="1"/>
  <c r="J16" i="2455"/>
  <c r="K16" i="2455" s="1"/>
  <c r="AB15" i="2455"/>
  <c r="Y15" i="2455"/>
  <c r="Z15" i="2455" s="1"/>
  <c r="J15" i="2455"/>
  <c r="AB14" i="2455"/>
  <c r="Y14" i="2455"/>
  <c r="J14" i="2455"/>
  <c r="AB13" i="2455"/>
  <c r="Y13" i="2455"/>
  <c r="Z13" i="2455" s="1"/>
  <c r="J13" i="2455"/>
  <c r="AD8" i="2455"/>
  <c r="I117" i="2456" l="1"/>
  <c r="I118" i="2456"/>
  <c r="AD71" i="2456"/>
  <c r="J8" i="2456"/>
  <c r="K8" i="2456" s="1"/>
  <c r="AA13" i="2456"/>
  <c r="Z29" i="2456"/>
  <c r="I119" i="2456"/>
  <c r="H119" i="2456"/>
  <c r="G125" i="2456"/>
  <c r="H125" i="2456" s="1"/>
  <c r="D114" i="2456" s="1"/>
  <c r="Z8" i="2456"/>
  <c r="AA8" i="2456" s="1"/>
  <c r="AF8" i="2456" s="1"/>
  <c r="I123" i="2456"/>
  <c r="H123" i="2456"/>
  <c r="I122" i="2456"/>
  <c r="H120" i="2456"/>
  <c r="I120" i="2456"/>
  <c r="I124" i="2456"/>
  <c r="H124" i="2456"/>
  <c r="I121" i="2456"/>
  <c r="AA25" i="2455"/>
  <c r="AA15" i="2455"/>
  <c r="AA36" i="2455"/>
  <c r="AA38" i="2455"/>
  <c r="E125" i="2455"/>
  <c r="F125" i="2455"/>
  <c r="J86" i="2455"/>
  <c r="K86" i="2455" s="1"/>
  <c r="D75" i="2455" s="1"/>
  <c r="G118" i="2455"/>
  <c r="H118" i="2455" s="1"/>
  <c r="D125" i="2455"/>
  <c r="AA71" i="2455"/>
  <c r="Y29" i="2455"/>
  <c r="G8" i="2455"/>
  <c r="AA23" i="2455"/>
  <c r="H8" i="2455"/>
  <c r="AD63" i="2455"/>
  <c r="J99" i="2455"/>
  <c r="K99" i="2455" s="1"/>
  <c r="D88" i="2455" s="1"/>
  <c r="K14" i="2455"/>
  <c r="G121" i="2455"/>
  <c r="H121" i="2455" s="1"/>
  <c r="G122" i="2455"/>
  <c r="H122" i="2455" s="1"/>
  <c r="AA42" i="2455"/>
  <c r="AA46" i="2455"/>
  <c r="I8" i="2455"/>
  <c r="Z71" i="2455"/>
  <c r="AE71" i="2455"/>
  <c r="AD69" i="2455"/>
  <c r="J112" i="2455"/>
  <c r="K112" i="2455" s="1"/>
  <c r="D101" i="2455" s="1"/>
  <c r="AA17" i="2455"/>
  <c r="AA19" i="2455"/>
  <c r="AA27" i="2455"/>
  <c r="AD55" i="2455"/>
  <c r="AD65" i="2455"/>
  <c r="AD67" i="2455"/>
  <c r="K125" i="2455"/>
  <c r="K20" i="2455"/>
  <c r="G124" i="2455"/>
  <c r="K32" i="2455"/>
  <c r="G123" i="2455"/>
  <c r="J34" i="2455"/>
  <c r="K34" i="2455" s="1"/>
  <c r="D23" i="2455" s="1"/>
  <c r="J60" i="2455"/>
  <c r="K60" i="2455" s="1"/>
  <c r="D49" i="2455" s="1"/>
  <c r="AA21" i="2455"/>
  <c r="K39" i="2455"/>
  <c r="J47" i="2455"/>
  <c r="K47" i="2455" s="1"/>
  <c r="D36" i="2455" s="1"/>
  <c r="K42" i="2455"/>
  <c r="G120" i="2455"/>
  <c r="AC71" i="2455"/>
  <c r="AC8" i="2455" s="1"/>
  <c r="G117" i="2455"/>
  <c r="K15" i="2455"/>
  <c r="G119" i="2455"/>
  <c r="J21" i="2455"/>
  <c r="K21" i="2455" s="1"/>
  <c r="D10" i="2455" s="1"/>
  <c r="AA34" i="2455"/>
  <c r="AA48" i="2455"/>
  <c r="AD59" i="2455"/>
  <c r="AD57" i="2455"/>
  <c r="AB71" i="2455"/>
  <c r="AB8" i="2455" s="1"/>
  <c r="J73" i="2455"/>
  <c r="K73" i="2455" s="1"/>
  <c r="D62" i="2455" s="1"/>
  <c r="K92" i="2455"/>
  <c r="K13" i="2455"/>
  <c r="Z14" i="2455"/>
  <c r="AA13" i="2455" s="1"/>
  <c r="K18" i="2455"/>
  <c r="Y44" i="2455"/>
  <c r="Z44" i="2455" s="1"/>
  <c r="AA44" i="2455" s="1"/>
  <c r="K78" i="2455"/>
  <c r="AD71" i="2455" l="1"/>
  <c r="I122" i="2455"/>
  <c r="J8" i="2455"/>
  <c r="K8" i="2455" s="1"/>
  <c r="I118" i="2455"/>
  <c r="Y50" i="2455"/>
  <c r="Z8" i="2455" s="1"/>
  <c r="AA8" i="2455" s="1"/>
  <c r="AF8" i="2455" s="1"/>
  <c r="I123" i="2455"/>
  <c r="H123" i="2455"/>
  <c r="H120" i="2455"/>
  <c r="I120" i="2455"/>
  <c r="I121" i="2455"/>
  <c r="I119" i="2455"/>
  <c r="H119" i="2455"/>
  <c r="G125" i="2455"/>
  <c r="H125" i="2455" s="1"/>
  <c r="D114" i="2455" s="1"/>
  <c r="I117" i="2455"/>
  <c r="H117" i="2455"/>
  <c r="Z29" i="2455"/>
  <c r="I124" i="2455"/>
  <c r="H124" i="2455"/>
  <c r="Z50" i="2455"/>
  <c r="K7" i="2" l="1"/>
  <c r="K20" i="2" l="1"/>
  <c r="K19" i="2"/>
  <c r="K18" i="2"/>
  <c r="K17" i="2"/>
  <c r="K16" i="2"/>
  <c r="K15" i="2"/>
  <c r="K14" i="2"/>
  <c r="K13" i="2"/>
  <c r="K9" i="2" l="1"/>
  <c r="K8" i="2" l="1"/>
  <c r="K12" i="2"/>
  <c r="K11" i="2"/>
  <c r="K10" i="2"/>
  <c r="K6" i="2"/>
  <c r="K5" i="2"/>
  <c r="K4" i="2"/>
  <c r="K3" i="2"/>
</calcChain>
</file>

<file path=xl/sharedStrings.xml><?xml version="1.0" encoding="utf-8"?>
<sst xmlns="http://schemas.openxmlformats.org/spreadsheetml/2006/main" count="1530" uniqueCount="196">
  <si>
    <t>1ª</t>
  </si>
  <si>
    <t>2ª</t>
  </si>
  <si>
    <t>hora</t>
  </si>
  <si>
    <t>referência</t>
  </si>
  <si>
    <t>cor</t>
  </si>
  <si>
    <t>total</t>
  </si>
  <si>
    <t>colaborador</t>
  </si>
  <si>
    <t>total/média</t>
  </si>
  <si>
    <t>Referências</t>
  </si>
  <si>
    <t>t. paragem</t>
  </si>
  <si>
    <t>A</t>
  </si>
  <si>
    <t>B</t>
  </si>
  <si>
    <t>turno vid.</t>
  </si>
  <si>
    <t>% qld.</t>
  </si>
  <si>
    <t>Equipas</t>
  </si>
  <si>
    <t>C</t>
  </si>
  <si>
    <t>D</t>
  </si>
  <si>
    <t>defeitos/obs.</t>
  </si>
  <si>
    <t>R</t>
  </si>
  <si>
    <t>SETS</t>
  </si>
  <si>
    <t>DIN A</t>
  </si>
  <si>
    <t>DIN B</t>
  </si>
  <si>
    <t>FAR A</t>
  </si>
  <si>
    <t>FAR B</t>
  </si>
  <si>
    <t>serviço</t>
  </si>
  <si>
    <t>caixas</t>
  </si>
  <si>
    <t>peças</t>
  </si>
  <si>
    <t>caixas/palete</t>
  </si>
  <si>
    <t>peças/palete</t>
  </si>
  <si>
    <t>DIN 14</t>
  </si>
  <si>
    <t>1200*780</t>
  </si>
  <si>
    <t>DIN 20</t>
  </si>
  <si>
    <t>1190*730</t>
  </si>
  <si>
    <t>DIN 22</t>
  </si>
  <si>
    <t>DIN 26</t>
  </si>
  <si>
    <t>1150*770</t>
  </si>
  <si>
    <t>DIN 30x20</t>
  </si>
  <si>
    <t>FAR 16</t>
  </si>
  <si>
    <t>FAR 21</t>
  </si>
  <si>
    <t>FAR 24</t>
  </si>
  <si>
    <t>FAR 27</t>
  </si>
  <si>
    <t>1140*830</t>
  </si>
  <si>
    <t>1080*710</t>
  </si>
  <si>
    <t>peças/caixa</t>
  </si>
  <si>
    <t>tamanho palete</t>
  </si>
  <si>
    <t>paletes</t>
  </si>
  <si>
    <t>projeção output</t>
  </si>
  <si>
    <t>Linhas Embalagem</t>
  </si>
  <si>
    <t>Extra 1</t>
  </si>
  <si>
    <t>Extra 2</t>
  </si>
  <si>
    <t>OS 1ª</t>
  </si>
  <si>
    <t>OS 2ª</t>
  </si>
  <si>
    <t>SETS (pçs)</t>
  </si>
  <si>
    <t>Operador Booleano</t>
  </si>
  <si>
    <t>Sim</t>
  </si>
  <si>
    <t>Não</t>
  </si>
  <si>
    <t xml:space="preserve"> </t>
  </si>
  <si>
    <t>#</t>
  </si>
  <si>
    <t>Cor</t>
  </si>
  <si>
    <t>,</t>
  </si>
  <si>
    <t>FLI 20</t>
  </si>
  <si>
    <t>FLI 14</t>
  </si>
  <si>
    <t>FLI 22</t>
  </si>
  <si>
    <t>FLI 26</t>
  </si>
  <si>
    <t>João Silva | 2016-2017</t>
  </si>
  <si>
    <t>2. DADOS DE EMBALAGEM</t>
  </si>
  <si>
    <t>1. DADOS DE ESCOLHA</t>
  </si>
  <si>
    <t>REGISTO E&amp;E - EQUIPAS PRODUÇÃO</t>
  </si>
  <si>
    <t>TOTAL</t>
  </si>
  <si>
    <t>3. NOTAS</t>
  </si>
  <si>
    <t>DATA:</t>
  </si>
  <si>
    <t>EQUIPA:</t>
  </si>
  <si>
    <t>TURNO:</t>
  </si>
  <si>
    <t>TOTAL EMBALADO</t>
  </si>
  <si>
    <t xml:space="preserve">% QLD. </t>
  </si>
  <si>
    <t>&amp; QLD. OBJECTIVO</t>
  </si>
  <si>
    <t>paragens</t>
  </si>
  <si>
    <t>motivo</t>
  </si>
  <si>
    <t>equipa</t>
  </si>
  <si>
    <t>2.OPEN STOCK</t>
  </si>
  <si>
    <t>3.NÃO-IKEA</t>
  </si>
  <si>
    <t>ref</t>
  </si>
  <si>
    <t>#pessoas</t>
  </si>
  <si>
    <t>paletes incompletas/por terminar</t>
  </si>
  <si>
    <t>total/h</t>
  </si>
  <si>
    <t>objectivos SETS</t>
  </si>
  <si>
    <t>paletes 1ª</t>
  </si>
  <si>
    <t>paletes 2ª</t>
  </si>
  <si>
    <t>OPEN STOCK 1ª</t>
  </si>
  <si>
    <t>OPEN STOCK 2ª</t>
  </si>
  <si>
    <t>FLI A</t>
  </si>
  <si>
    <t>FLI B</t>
  </si>
  <si>
    <t>caixas 1ª</t>
  </si>
  <si>
    <t>caixas 2ª</t>
  </si>
  <si>
    <t>peças 1ª</t>
  </si>
  <si>
    <t>peças 2ª</t>
  </si>
  <si>
    <t>N-IKEA</t>
  </si>
  <si>
    <t>RET</t>
  </si>
  <si>
    <t>4. RETRABALHO</t>
  </si>
  <si>
    <t>#pessoas para OS</t>
  </si>
  <si>
    <t>QUADRO-RESUMO DE EMBALAGEM</t>
  </si>
  <si>
    <t>QUADRO-RESUMO DE ESCOLHA</t>
  </si>
  <si>
    <t>obj. pal/h</t>
  </si>
  <si>
    <t>obj. pçs/h</t>
  </si>
  <si>
    <t>lixar frete</t>
  </si>
  <si>
    <t>polir</t>
  </si>
  <si>
    <t>carimbar</t>
  </si>
  <si>
    <t>limpar carimbo</t>
  </si>
  <si>
    <t>reescolha</t>
  </si>
  <si>
    <t>outros</t>
  </si>
  <si>
    <t>motivos retrabalho</t>
  </si>
  <si>
    <t>polir + carimbar</t>
  </si>
  <si>
    <t>limpar carimbo + carimbar</t>
  </si>
  <si>
    <t>DIN 29</t>
  </si>
  <si>
    <t>1.SETS - Linha 1</t>
  </si>
  <si>
    <t>1.SETS - Linha 2</t>
  </si>
  <si>
    <t>Cinza Escuro</t>
  </si>
  <si>
    <t>Branco</t>
  </si>
  <si>
    <t>Azul Petróleo</t>
  </si>
  <si>
    <t>Rui</t>
  </si>
  <si>
    <t>Rute</t>
  </si>
  <si>
    <t>Sara</t>
  </si>
  <si>
    <t>Denise</t>
  </si>
  <si>
    <t>Vanessa L</t>
  </si>
  <si>
    <t>picos/pingos</t>
  </si>
  <si>
    <t>Adelaide</t>
  </si>
  <si>
    <t>Vanessa</t>
  </si>
  <si>
    <t>Diana F</t>
  </si>
  <si>
    <t>Ines</t>
  </si>
  <si>
    <t>Lino</t>
  </si>
  <si>
    <t>Andreia S</t>
  </si>
  <si>
    <t>picos</t>
  </si>
  <si>
    <t>Graça</t>
  </si>
  <si>
    <t>Luísa</t>
  </si>
  <si>
    <t>Aldina</t>
  </si>
  <si>
    <t>Janett</t>
  </si>
  <si>
    <t>Patrícia</t>
  </si>
  <si>
    <t>Vitória</t>
  </si>
  <si>
    <t>Lisete</t>
  </si>
  <si>
    <t>Vitor</t>
  </si>
  <si>
    <t>Vera</t>
  </si>
  <si>
    <t>Fábio</t>
  </si>
  <si>
    <t>Ana</t>
  </si>
  <si>
    <t>Luciana</t>
  </si>
  <si>
    <t>Brenda</t>
  </si>
  <si>
    <t>Daniela</t>
  </si>
  <si>
    <t>picos a; pingos a</t>
  </si>
  <si>
    <t>pingos a</t>
  </si>
  <si>
    <t>A-José Ant.</t>
  </si>
  <si>
    <t>D-528</t>
  </si>
  <si>
    <t>D-438</t>
  </si>
  <si>
    <t>Rosa</t>
  </si>
  <si>
    <t>Pingos</t>
  </si>
  <si>
    <t>Picos</t>
  </si>
  <si>
    <t>Picos/Residuos</t>
  </si>
  <si>
    <t>Jessica</t>
  </si>
  <si>
    <t>Elisa</t>
  </si>
  <si>
    <t>picos/residuos</t>
  </si>
  <si>
    <t>Ana L</t>
  </si>
  <si>
    <t>Lucia</t>
  </si>
  <si>
    <t>Rafaela</t>
  </si>
  <si>
    <t>Paulo</t>
  </si>
  <si>
    <t>A-387</t>
  </si>
  <si>
    <t>D-52</t>
  </si>
  <si>
    <t>Fissura zA</t>
  </si>
  <si>
    <t>Frete nicado</t>
  </si>
  <si>
    <t>Fissura beira</t>
  </si>
  <si>
    <t>Fissura zC/Residuos/Pingos</t>
  </si>
  <si>
    <t>Picos/Frete arrancado/Fissura beira</t>
  </si>
  <si>
    <t>Pingos/Frete nicado</t>
  </si>
  <si>
    <t>Residuos/Pingos</t>
  </si>
  <si>
    <t>Vanesa L</t>
  </si>
  <si>
    <t>Lucia+Adelaide</t>
  </si>
  <si>
    <t>Silvia</t>
  </si>
  <si>
    <t>frete colado/pingos</t>
  </si>
  <si>
    <t>picos/frete nicado</t>
  </si>
  <si>
    <t>Fatima+Andreia S</t>
  </si>
  <si>
    <t>residuos/pingos</t>
  </si>
  <si>
    <t>mal acabamento</t>
  </si>
  <si>
    <t>falta vidro/picos/pingos</t>
  </si>
  <si>
    <t>escorrido</t>
  </si>
  <si>
    <t>m.spin.; FVT; F.col.; picos a</t>
  </si>
  <si>
    <t>Tatiana</t>
  </si>
  <si>
    <t>FVT; mau acab.</t>
  </si>
  <si>
    <t>mau aca.; picos a; res. A</t>
  </si>
  <si>
    <t>F.A.; F.N; pingos a; picos a</t>
  </si>
  <si>
    <t>pingos a; picos a; res.a</t>
  </si>
  <si>
    <t>A-59</t>
  </si>
  <si>
    <t>D-596</t>
  </si>
  <si>
    <t>A-José Gon.</t>
  </si>
  <si>
    <t>A-439</t>
  </si>
  <si>
    <t>D-51</t>
  </si>
  <si>
    <t>Elisabete</t>
  </si>
  <si>
    <t>picos a; cont. água</t>
  </si>
  <si>
    <t xml:space="preserve">picos a </t>
  </si>
  <si>
    <t>F. arran; res.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</si>
</sst>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€_-;\-* #,##0.00\ _€_-;_-* &quot;-&quot;??\ _€_-;_-@_-"/>
    <numFmt numFmtId="164" formatCode="0.0%"/>
    <numFmt numFmtId="165" formatCode="#,##0.00&quot; &quot;[$€-816];[Red]&quot;-&quot;#,##0.00&quot; &quot;[$€-816]"/>
    <numFmt numFmtId="166" formatCode="&quot;999556&quot;000"/>
    <numFmt numFmtId="167" formatCode="0&quot; &quot;;&quot;-&quot;0&quot; &quot;;&quot; - &quot;;@&quot; &quot;"/>
    <numFmt numFmtId="168" formatCode="#,##0.00&quot; &quot;;&quot;-&quot;#,##0.00&quot; &quot;;&quot; -&quot;#&quot; &quot;;@&quot; &quot;"/>
    <numFmt numFmtId="169" formatCode="&quot; $&quot;0&quot; &quot;;&quot;-$&quot;0&quot; &quot;;&quot; $- &quot;;@&quot; &quot;"/>
    <numFmt numFmtId="170" formatCode="&quot; $&quot;#,##0.00&quot; &quot;;&quot;-$&quot;#,##0.00&quot; &quot;;&quot; $-&quot;#&quot; &quot;;@&quot; &quot;"/>
    <numFmt numFmtId="171" formatCode="0.00&quot; &quot;"/>
    <numFmt numFmtId="172" formatCode="#,##0;[Red]#,##0"/>
    <numFmt numFmtId="173" formatCode="[$-816]General"/>
    <numFmt numFmtId="174" formatCode="[$-816]0%"/>
    <numFmt numFmtId="175" formatCode="&quot; &quot;#,##0.00&quot;   &quot;;&quot;-&quot;#,##0.00&quot;   &quot;;&quot; -&quot;00&quot;   &quot;;&quot; &quot;@&quot; &quot;"/>
    <numFmt numFmtId="176" formatCode="_-* #,##0\ _€_-;\-* #,##0\ _€_-;_-* &quot;-&quot;??\ _€_-;_-@_-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indexed="8"/>
      <name val="Arial1"/>
    </font>
    <font>
      <sz val="11"/>
      <color rgb="FF000000"/>
      <name val="Arial1"/>
    </font>
    <font>
      <sz val="11"/>
      <color rgb="FF000000"/>
      <name val="Arial11"/>
    </font>
    <font>
      <sz val="11"/>
      <color rgb="FF000000"/>
      <name val="Calibri"/>
      <family val="2"/>
    </font>
    <font>
      <b/>
      <i/>
      <sz val="16"/>
      <color rgb="FF000000"/>
      <name val="Arial1"/>
    </font>
    <font>
      <b/>
      <i/>
      <sz val="16"/>
      <color rgb="FF000000"/>
      <name val="Arial11"/>
    </font>
    <font>
      <b/>
      <i/>
      <u/>
      <sz val="11"/>
      <color rgb="FF000000"/>
      <name val="Arial1"/>
    </font>
    <font>
      <b/>
      <i/>
      <u/>
      <sz val="11"/>
      <color rgb="FF000000"/>
      <name val="Arial11"/>
    </font>
    <font>
      <sz val="10"/>
      <color rgb="FF000000"/>
      <name val="Arial11"/>
    </font>
    <font>
      <sz val="11"/>
      <color rgb="FF006100"/>
      <name val="Calibri"/>
      <family val="2"/>
    </font>
    <font>
      <u/>
      <sz val="8"/>
      <color rgb="FF0000FF"/>
      <name val="Arial11"/>
    </font>
    <font>
      <b/>
      <sz val="11"/>
      <color rgb="FF000000"/>
      <name val="Arial11"/>
    </font>
    <font>
      <sz val="10"/>
      <color indexed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6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Calibri Light"/>
      <family val="2"/>
    </font>
    <font>
      <sz val="9"/>
      <color rgb="FF000000"/>
      <name val="Calibri Light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4"/>
        <bgColor indexed="24"/>
      </patternFill>
    </fill>
    <fill>
      <patternFill patternType="solid">
        <fgColor rgb="FFC6EFCE"/>
        <b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64"/>
      </bottom>
      <diagonal/>
    </border>
    <border>
      <left style="hair">
        <color indexed="8"/>
      </left>
      <right style="thin">
        <color indexed="64"/>
      </right>
      <top style="hair">
        <color indexed="8"/>
      </top>
      <bottom style="thin">
        <color indexed="64"/>
      </bottom>
      <diagonal/>
    </border>
    <border>
      <left style="thin">
        <color indexed="64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thin">
        <color indexed="64"/>
      </right>
      <top/>
      <bottom style="hair">
        <color indexed="8"/>
      </bottom>
      <diagonal/>
    </border>
    <border>
      <left style="thin">
        <color indexed="64"/>
      </left>
      <right style="hair">
        <color indexed="8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medium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medium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medium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 style="medium">
        <color theme="0" tint="-0.34998626667073579"/>
      </left>
      <right/>
      <top style="thin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/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76">
    <xf numFmtId="0" fontId="0" fillId="0" borderId="0"/>
    <xf numFmtId="9" fontId="1" fillId="0" borderId="0" applyFont="0" applyFill="0" applyBorder="0" applyAlignment="0" applyProtection="0"/>
    <xf numFmtId="165" fontId="1" fillId="0" borderId="0"/>
    <xf numFmtId="165" fontId="12" fillId="0" borderId="0"/>
    <xf numFmtId="9" fontId="12" fillId="0" borderId="0" applyFont="0" applyBorder="0" applyProtection="0"/>
    <xf numFmtId="165" fontId="13" fillId="0" borderId="0" applyBorder="0" applyProtection="0"/>
    <xf numFmtId="165" fontId="14" fillId="0" borderId="0" applyNumberFormat="0" applyBorder="0" applyProtection="0"/>
    <xf numFmtId="165" fontId="14" fillId="0" borderId="0" applyNumberFormat="0" applyBorder="0" applyProtection="0"/>
    <xf numFmtId="165" fontId="13" fillId="0" borderId="0" applyBorder="0" applyProtection="0"/>
    <xf numFmtId="165" fontId="13" fillId="0" borderId="0" applyBorder="0" applyProtection="0"/>
    <xf numFmtId="9" fontId="14" fillId="0" borderId="0" applyBorder="0" applyProtection="0"/>
    <xf numFmtId="9" fontId="14" fillId="0" borderId="0" applyBorder="0" applyProtection="0"/>
    <xf numFmtId="165" fontId="13" fillId="0" borderId="0" applyBorder="0" applyProtection="0"/>
    <xf numFmtId="165" fontId="15" fillId="0" borderId="0" applyNumberFormat="0" applyBorder="0" applyProtection="0">
      <alignment horizontal="center"/>
    </xf>
    <xf numFmtId="165" fontId="16" fillId="0" borderId="0" applyBorder="0" applyProtection="0">
      <alignment horizontal="center"/>
    </xf>
    <xf numFmtId="165" fontId="16" fillId="0" borderId="0" applyBorder="0" applyProtection="0">
      <alignment horizontal="center"/>
    </xf>
    <xf numFmtId="165" fontId="15" fillId="0" borderId="0" applyNumberFormat="0" applyBorder="0" applyProtection="0">
      <alignment horizontal="center"/>
    </xf>
    <xf numFmtId="165" fontId="15" fillId="0" borderId="0" applyNumberFormat="0" applyBorder="0" applyProtection="0">
      <alignment horizontal="center" textRotation="90"/>
    </xf>
    <xf numFmtId="165" fontId="16" fillId="0" borderId="0" applyBorder="0" applyProtection="0">
      <alignment horizontal="center" textRotation="90"/>
    </xf>
    <xf numFmtId="165" fontId="16" fillId="0" borderId="0" applyBorder="0" applyProtection="0">
      <alignment horizontal="center" textRotation="90"/>
    </xf>
    <xf numFmtId="165" fontId="15" fillId="0" borderId="0" applyNumberFormat="0" applyBorder="0" applyProtection="0">
      <alignment horizontal="center" textRotation="90"/>
    </xf>
    <xf numFmtId="165" fontId="17" fillId="0" borderId="0" applyNumberFormat="0" applyBorder="0" applyProtection="0"/>
    <xf numFmtId="165" fontId="18" fillId="0" borderId="0" applyBorder="0" applyProtection="0"/>
    <xf numFmtId="165" fontId="18" fillId="0" borderId="0" applyBorder="0" applyProtection="0"/>
    <xf numFmtId="165" fontId="17" fillId="0" borderId="0" applyNumberFormat="0" applyBorder="0" applyProtection="0"/>
    <xf numFmtId="165" fontId="17" fillId="0" borderId="0" applyBorder="0" applyProtection="0"/>
    <xf numFmtId="165" fontId="18" fillId="0" borderId="0" applyBorder="0" applyProtection="0"/>
    <xf numFmtId="165" fontId="18" fillId="0" borderId="0" applyBorder="0" applyProtection="0"/>
    <xf numFmtId="165" fontId="17" fillId="0" borderId="0" applyBorder="0" applyProtection="0"/>
    <xf numFmtId="165" fontId="1" fillId="0" borderId="0"/>
    <xf numFmtId="165" fontId="12" fillId="0" borderId="0"/>
    <xf numFmtId="165" fontId="13" fillId="0" borderId="0" applyBorder="0" applyProtection="0"/>
    <xf numFmtId="165" fontId="13" fillId="0" borderId="0" applyBorder="0" applyProtection="0"/>
    <xf numFmtId="165" fontId="13" fillId="0" borderId="0" applyBorder="0" applyProtection="0"/>
    <xf numFmtId="165" fontId="13" fillId="0" borderId="0" applyBorder="0" applyProtection="0"/>
    <xf numFmtId="165" fontId="13" fillId="0" borderId="0" applyBorder="0" applyProtection="0">
      <alignment horizontal="left"/>
    </xf>
    <xf numFmtId="165" fontId="13" fillId="0" borderId="0" applyBorder="0" applyProtection="0">
      <alignment horizontal="left"/>
    </xf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7" fontId="13" fillId="0" borderId="0" applyBorder="0" applyProtection="0"/>
    <xf numFmtId="168" fontId="13" fillId="0" borderId="0" applyBorder="0" applyProtection="0"/>
    <xf numFmtId="169" fontId="13" fillId="0" borderId="0" applyBorder="0" applyProtection="0"/>
    <xf numFmtId="170" fontId="13" fillId="0" borderId="0" applyBorder="0" applyProtection="0"/>
    <xf numFmtId="165" fontId="20" fillId="7" borderId="0" applyNumberFormat="0" applyBorder="0" applyProtection="0"/>
    <xf numFmtId="165" fontId="15" fillId="0" borderId="0" applyBorder="0" applyProtection="0">
      <alignment horizontal="center"/>
    </xf>
    <xf numFmtId="165" fontId="15" fillId="0" borderId="0" applyBorder="0" applyProtection="0">
      <alignment horizontal="center" textRotation="90"/>
    </xf>
    <xf numFmtId="165" fontId="21" fillId="0" borderId="0" applyBorder="0" applyProtection="0"/>
    <xf numFmtId="171" fontId="15" fillId="0" borderId="0" applyBorder="0" applyProtection="0"/>
    <xf numFmtId="171" fontId="15" fillId="0" borderId="0" applyBorder="0" applyProtection="0"/>
    <xf numFmtId="165" fontId="19" fillId="0" borderId="0" applyBorder="0" applyProtection="0"/>
    <xf numFmtId="165" fontId="19" fillId="0" borderId="0" applyBorder="0" applyProtection="0"/>
    <xf numFmtId="165" fontId="12" fillId="0" borderId="0" applyFont="0" applyBorder="0" applyProtection="0"/>
    <xf numFmtId="165" fontId="1" fillId="0" borderId="0"/>
    <xf numFmtId="165" fontId="17" fillId="0" borderId="0" applyBorder="0" applyProtection="0"/>
    <xf numFmtId="165" fontId="17" fillId="0" borderId="0" applyBorder="0" applyProtection="0"/>
    <xf numFmtId="165" fontId="22" fillId="0" borderId="0" applyBorder="0" applyProtection="0"/>
    <xf numFmtId="165" fontId="22" fillId="0" borderId="0" applyBorder="0" applyProtection="0"/>
    <xf numFmtId="165" fontId="22" fillId="0" borderId="0" applyBorder="0" applyProtection="0">
      <alignment horizontal="left"/>
    </xf>
    <xf numFmtId="165" fontId="22" fillId="0" borderId="0" applyBorder="0" applyProtection="0">
      <alignment horizontal="left"/>
    </xf>
    <xf numFmtId="165" fontId="13" fillId="0" borderId="0" applyBorder="0" applyProtection="0"/>
    <xf numFmtId="165" fontId="13" fillId="0" borderId="0" applyBorder="0" applyProtection="0"/>
    <xf numFmtId="165" fontId="1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43" fontId="12" fillId="0" borderId="0" applyFont="0" applyFill="0" applyBorder="0" applyAlignment="0" applyProtection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0" fontId="12" fillId="0" borderId="0"/>
    <xf numFmtId="173" fontId="13" fillId="0" borderId="0" applyBorder="0" applyProtection="0"/>
    <xf numFmtId="0" fontId="14" fillId="0" borderId="0" applyNumberFormat="0" applyBorder="0" applyProtection="0"/>
    <xf numFmtId="0" fontId="14" fillId="0" borderId="0" applyNumberFormat="0" applyBorder="0" applyProtection="0"/>
    <xf numFmtId="173" fontId="13" fillId="0" borderId="0" applyBorder="0" applyProtection="0"/>
    <xf numFmtId="174" fontId="13" fillId="0" borderId="0" applyBorder="0" applyProtection="0"/>
    <xf numFmtId="174" fontId="13" fillId="0" borderId="0" applyBorder="0" applyProtection="0"/>
    <xf numFmtId="0" fontId="15" fillId="0" borderId="0" applyNumberFormat="0" applyBorder="0" applyProtection="0">
      <alignment horizontal="center"/>
    </xf>
    <xf numFmtId="173" fontId="16" fillId="0" borderId="0" applyBorder="0" applyProtection="0">
      <alignment horizontal="center"/>
    </xf>
    <xf numFmtId="173" fontId="16" fillId="0" borderId="0" applyBorder="0" applyProtection="0">
      <alignment horizontal="center"/>
    </xf>
    <xf numFmtId="0" fontId="15" fillId="0" borderId="0" applyNumberFormat="0" applyBorder="0" applyProtection="0">
      <alignment horizontal="center"/>
    </xf>
    <xf numFmtId="0" fontId="15" fillId="0" borderId="0" applyNumberFormat="0" applyBorder="0" applyProtection="0">
      <alignment horizontal="center" textRotation="90"/>
    </xf>
    <xf numFmtId="173" fontId="16" fillId="0" borderId="0" applyBorder="0" applyProtection="0">
      <alignment horizontal="center" textRotation="90"/>
    </xf>
    <xf numFmtId="173" fontId="16" fillId="0" borderId="0" applyBorder="0" applyProtection="0">
      <alignment horizontal="center" textRotation="90"/>
    </xf>
    <xf numFmtId="0" fontId="15" fillId="0" borderId="0" applyNumberFormat="0" applyBorder="0" applyProtection="0">
      <alignment horizontal="center" textRotation="90"/>
    </xf>
    <xf numFmtId="0" fontId="17" fillId="0" borderId="0" applyNumberFormat="0" applyBorder="0" applyProtection="0"/>
    <xf numFmtId="173" fontId="18" fillId="0" borderId="0" applyBorder="0" applyProtection="0"/>
    <xf numFmtId="173" fontId="18" fillId="0" borderId="0" applyBorder="0" applyProtection="0"/>
    <xf numFmtId="0" fontId="17" fillId="0" borderId="0" applyNumberFormat="0" applyBorder="0" applyProtection="0"/>
    <xf numFmtId="0" fontId="1" fillId="0" borderId="0"/>
    <xf numFmtId="0" fontId="12" fillId="0" borderId="0"/>
    <xf numFmtId="173" fontId="13" fillId="0" borderId="0" applyBorder="0" applyProtection="0"/>
    <xf numFmtId="173" fontId="13" fillId="0" borderId="0" applyBorder="0" applyProtection="0"/>
    <xf numFmtId="173" fontId="13" fillId="0" borderId="0" applyBorder="0" applyProtection="0"/>
    <xf numFmtId="173" fontId="13" fillId="0" borderId="0" applyBorder="0" applyProtection="0"/>
    <xf numFmtId="173" fontId="13" fillId="0" borderId="0" applyBorder="0" applyProtection="0">
      <alignment horizontal="left"/>
    </xf>
    <xf numFmtId="173" fontId="13" fillId="0" borderId="0" applyBorder="0" applyProtection="0">
      <alignment horizontal="left"/>
    </xf>
    <xf numFmtId="0" fontId="20" fillId="7" borderId="0" applyNumberFormat="0" applyBorder="0" applyProtection="0"/>
    <xf numFmtId="173" fontId="15" fillId="0" borderId="0" applyBorder="0" applyProtection="0">
      <alignment horizontal="center"/>
    </xf>
    <xf numFmtId="173" fontId="15" fillId="0" borderId="0" applyBorder="0" applyProtection="0">
      <alignment horizontal="center" textRotation="90"/>
    </xf>
    <xf numFmtId="173" fontId="19" fillId="0" borderId="0" applyBorder="0" applyProtection="0"/>
    <xf numFmtId="173" fontId="19" fillId="0" borderId="0" applyBorder="0" applyProtection="0"/>
    <xf numFmtId="173" fontId="12" fillId="0" borderId="0" applyFont="0" applyBorder="0" applyProtection="0"/>
    <xf numFmtId="0" fontId="1" fillId="0" borderId="0"/>
    <xf numFmtId="173" fontId="17" fillId="0" borderId="0" applyBorder="0" applyProtection="0"/>
    <xf numFmtId="173" fontId="22" fillId="0" borderId="0" applyBorder="0" applyProtection="0"/>
    <xf numFmtId="173" fontId="22" fillId="0" borderId="0" applyBorder="0" applyProtection="0"/>
    <xf numFmtId="173" fontId="22" fillId="0" borderId="0" applyBorder="0" applyProtection="0">
      <alignment horizontal="left"/>
    </xf>
    <xf numFmtId="173" fontId="22" fillId="0" borderId="0" applyBorder="0" applyProtection="0">
      <alignment horizontal="left"/>
    </xf>
    <xf numFmtId="173" fontId="13" fillId="0" borderId="0" applyBorder="0" applyProtection="0"/>
    <xf numFmtId="173" fontId="13" fillId="0" borderId="0" applyBorder="0" applyProtection="0"/>
    <xf numFmtId="0" fontId="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73" fontId="14" fillId="0" borderId="0" applyBorder="0" applyProtection="0"/>
    <xf numFmtId="174" fontId="13" fillId="0" borderId="0" applyBorder="0">
      <protection locked="0"/>
    </xf>
    <xf numFmtId="0" fontId="1" fillId="0" borderId="0"/>
    <xf numFmtId="0" fontId="1" fillId="0" borderId="0"/>
    <xf numFmtId="173" fontId="13" fillId="0" borderId="0" applyBorder="0">
      <protection locked="0"/>
    </xf>
    <xf numFmtId="175" fontId="12" fillId="0" borderId="0" applyFont="0" applyFill="0" applyBorder="0" applyAlignment="0" applyProtection="0"/>
    <xf numFmtId="0" fontId="12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9" fillId="0" borderId="0" applyBorder="0" applyProtection="0"/>
    <xf numFmtId="0" fontId="39" fillId="0" borderId="0" applyNumberFormat="0" applyFill="0" applyBorder="0" applyAlignment="0" applyProtection="0"/>
    <xf numFmtId="0" fontId="40" fillId="0" borderId="115" applyNumberFormat="0" applyFill="0" applyAlignment="0" applyProtection="0"/>
    <xf numFmtId="0" fontId="41" fillId="0" borderId="116" applyNumberFormat="0" applyFill="0" applyAlignment="0" applyProtection="0"/>
    <xf numFmtId="0" fontId="42" fillId="0" borderId="117" applyNumberFormat="0" applyFill="0" applyAlignment="0" applyProtection="0"/>
    <xf numFmtId="0" fontId="42" fillId="0" borderId="0" applyNumberFormat="0" applyFill="0" applyBorder="0" applyAlignment="0" applyProtection="0"/>
    <xf numFmtId="0" fontId="43" fillId="13" borderId="0" applyNumberFormat="0" applyBorder="0" applyAlignment="0" applyProtection="0"/>
    <xf numFmtId="0" fontId="44" fillId="14" borderId="0" applyNumberFormat="0" applyBorder="0" applyAlignment="0" applyProtection="0"/>
    <xf numFmtId="0" fontId="45" fillId="15" borderId="0" applyNumberFormat="0" applyBorder="0" applyAlignment="0" applyProtection="0"/>
    <xf numFmtId="0" fontId="46" fillId="16" borderId="118" applyNumberFormat="0" applyAlignment="0" applyProtection="0"/>
    <xf numFmtId="0" fontId="47" fillId="17" borderId="119" applyNumberFormat="0" applyAlignment="0" applyProtection="0"/>
    <xf numFmtId="0" fontId="48" fillId="17" borderId="118" applyNumberFormat="0" applyAlignment="0" applyProtection="0"/>
    <xf numFmtId="0" fontId="49" fillId="0" borderId="120" applyNumberFormat="0" applyFill="0" applyAlignment="0" applyProtection="0"/>
    <xf numFmtId="0" fontId="50" fillId="18" borderId="121" applyNumberFormat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6" fillId="0" borderId="123" applyNumberFormat="0" applyFill="0" applyAlignment="0" applyProtection="0"/>
    <xf numFmtId="0" fontId="53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3" fillId="23" borderId="0" applyNumberFormat="0" applyBorder="0" applyAlignment="0" applyProtection="0"/>
    <xf numFmtId="0" fontId="53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53" fillId="27" borderId="0" applyNumberFormat="0" applyBorder="0" applyAlignment="0" applyProtection="0"/>
    <xf numFmtId="0" fontId="53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3" fillId="31" borderId="0" applyNumberFormat="0" applyBorder="0" applyAlignment="0" applyProtection="0"/>
    <xf numFmtId="0" fontId="53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3" fillId="35" borderId="0" applyNumberFormat="0" applyBorder="0" applyAlignment="0" applyProtection="0"/>
    <xf numFmtId="0" fontId="53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53" fillId="39" borderId="0" applyNumberFormat="0" applyBorder="0" applyAlignment="0" applyProtection="0"/>
    <xf numFmtId="0" fontId="53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53" fillId="43" borderId="0" applyNumberFormat="0" applyBorder="0" applyAlignment="0" applyProtection="0"/>
    <xf numFmtId="0" fontId="12" fillId="0" borderId="0"/>
    <xf numFmtId="0" fontId="12" fillId="0" borderId="0"/>
    <xf numFmtId="0" fontId="13" fillId="0" borderId="0" applyNumberFormat="0" applyBorder="0" applyProtection="0"/>
    <xf numFmtId="0" fontId="13" fillId="0" borderId="0" applyNumberFormat="0" applyBorder="0" applyProtection="0"/>
    <xf numFmtId="0" fontId="13" fillId="0" borderId="0" applyNumberFormat="0" applyBorder="0" applyProtection="0"/>
    <xf numFmtId="0" fontId="13" fillId="0" borderId="0" applyNumberFormat="0" applyBorder="0" applyProtection="0"/>
    <xf numFmtId="0" fontId="13" fillId="0" borderId="0" applyNumberFormat="0" applyBorder="0" applyProtection="0">
      <alignment horizontal="left"/>
    </xf>
    <xf numFmtId="0" fontId="13" fillId="0" borderId="0" applyNumberFormat="0" applyBorder="0" applyProtection="0">
      <alignment horizontal="left"/>
    </xf>
    <xf numFmtId="0" fontId="15" fillId="0" borderId="0" applyNumberFormat="0" applyBorder="0" applyProtection="0">
      <alignment horizontal="center"/>
    </xf>
    <xf numFmtId="0" fontId="15" fillId="0" borderId="0" applyNumberFormat="0" applyBorder="0" applyProtection="0">
      <alignment horizontal="center" textRotation="90"/>
    </xf>
    <xf numFmtId="0" fontId="19" fillId="0" borderId="0" applyNumberFormat="0" applyBorder="0" applyProtection="0"/>
    <xf numFmtId="0" fontId="19" fillId="0" borderId="0" applyNumberFormat="0" applyBorder="0" applyProtection="0"/>
    <xf numFmtId="0" fontId="12" fillId="0" borderId="0" applyNumberFormat="0" applyFont="0" applyBorder="0" applyProtection="0"/>
    <xf numFmtId="0" fontId="17" fillId="0" borderId="0" applyNumberFormat="0" applyBorder="0" applyProtection="0"/>
    <xf numFmtId="0" fontId="22" fillId="0" borderId="0" applyNumberFormat="0" applyBorder="0" applyProtection="0"/>
    <xf numFmtId="0" fontId="22" fillId="0" borderId="0" applyNumberFormat="0" applyBorder="0" applyProtection="0"/>
    <xf numFmtId="0" fontId="22" fillId="0" borderId="0" applyNumberFormat="0" applyBorder="0" applyProtection="0">
      <alignment horizontal="left"/>
    </xf>
    <xf numFmtId="0" fontId="22" fillId="0" borderId="0" applyNumberFormat="0" applyBorder="0" applyProtection="0">
      <alignment horizontal="left"/>
    </xf>
    <xf numFmtId="0" fontId="13" fillId="0" borderId="0" applyNumberFormat="0" applyBorder="0" applyProtection="0"/>
    <xf numFmtId="0" fontId="13" fillId="0" borderId="0" applyNumberFormat="0" applyBorder="0" applyProtection="0"/>
    <xf numFmtId="0" fontId="54" fillId="0" borderId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2" fillId="0" borderId="0"/>
    <xf numFmtId="9" fontId="1" fillId="0" borderId="0" applyFont="0" applyFill="0" applyBorder="0" applyAlignment="0" applyProtection="0"/>
    <xf numFmtId="165" fontId="13" fillId="0" borderId="0" applyBorder="0" applyProtection="0"/>
    <xf numFmtId="165" fontId="15" fillId="0" borderId="0" applyNumberFormat="0" applyBorder="0" applyProtection="0">
      <alignment horizontal="center"/>
    </xf>
    <xf numFmtId="165" fontId="16" fillId="0" borderId="0" applyBorder="0" applyProtection="0">
      <alignment horizontal="center"/>
    </xf>
    <xf numFmtId="165" fontId="16" fillId="0" borderId="0" applyBorder="0" applyProtection="0">
      <alignment horizontal="center"/>
    </xf>
    <xf numFmtId="165" fontId="15" fillId="0" borderId="0" applyNumberFormat="0" applyBorder="0" applyProtection="0">
      <alignment horizontal="center" textRotation="90"/>
    </xf>
    <xf numFmtId="165" fontId="16" fillId="0" borderId="0" applyBorder="0" applyProtection="0">
      <alignment horizontal="center" textRotation="90"/>
    </xf>
    <xf numFmtId="165" fontId="16" fillId="0" borderId="0" applyBorder="0" applyProtection="0">
      <alignment horizontal="center" textRotation="90"/>
    </xf>
    <xf numFmtId="165" fontId="17" fillId="0" borderId="0" applyNumberFormat="0" applyBorder="0" applyProtection="0"/>
    <xf numFmtId="165" fontId="18" fillId="0" borderId="0" applyBorder="0" applyProtection="0"/>
    <xf numFmtId="165" fontId="18" fillId="0" borderId="0" applyBorder="0" applyProtection="0"/>
    <xf numFmtId="165" fontId="18" fillId="0" borderId="0" applyBorder="0" applyProtection="0"/>
    <xf numFmtId="165" fontId="1" fillId="0" borderId="0"/>
    <xf numFmtId="165" fontId="12" fillId="0" borderId="0"/>
    <xf numFmtId="165" fontId="13" fillId="0" borderId="0" applyBorder="0" applyProtection="0"/>
    <xf numFmtId="165" fontId="13" fillId="0" borderId="0" applyBorder="0" applyProtection="0"/>
    <xf numFmtId="165" fontId="13" fillId="0" borderId="0" applyBorder="0" applyProtection="0"/>
    <xf numFmtId="165" fontId="13" fillId="0" borderId="0" applyBorder="0" applyProtection="0"/>
    <xf numFmtId="165" fontId="13" fillId="0" borderId="0" applyBorder="0" applyProtection="0">
      <alignment horizontal="left"/>
    </xf>
    <xf numFmtId="165" fontId="13" fillId="0" borderId="0" applyBorder="0" applyProtection="0">
      <alignment horizontal="left"/>
    </xf>
    <xf numFmtId="165" fontId="20" fillId="7" borderId="0" applyNumberFormat="0" applyBorder="0" applyProtection="0"/>
    <xf numFmtId="165" fontId="19" fillId="0" borderId="0" applyBorder="0" applyProtection="0"/>
    <xf numFmtId="165" fontId="19" fillId="0" borderId="0" applyBorder="0" applyProtection="0"/>
    <xf numFmtId="165" fontId="12" fillId="0" borderId="0" applyFont="0" applyBorder="0" applyProtection="0"/>
    <xf numFmtId="165" fontId="1" fillId="0" borderId="0"/>
    <xf numFmtId="165" fontId="22" fillId="0" borderId="0" applyBorder="0" applyProtection="0"/>
    <xf numFmtId="165" fontId="22" fillId="0" borderId="0" applyBorder="0" applyProtection="0"/>
    <xf numFmtId="165" fontId="22" fillId="0" borderId="0" applyBorder="0" applyProtection="0">
      <alignment horizontal="left"/>
    </xf>
    <xf numFmtId="165" fontId="22" fillId="0" borderId="0" applyBorder="0" applyProtection="0">
      <alignment horizontal="left"/>
    </xf>
    <xf numFmtId="165" fontId="13" fillId="0" borderId="0" applyBorder="0" applyProtection="0"/>
    <xf numFmtId="165" fontId="13" fillId="0" borderId="0" applyBorder="0" applyProtection="0"/>
    <xf numFmtId="165" fontId="1" fillId="0" borderId="0"/>
    <xf numFmtId="0" fontId="12" fillId="0" borderId="0"/>
    <xf numFmtId="173" fontId="13" fillId="0" borderId="0" applyBorder="0" applyProtection="0"/>
    <xf numFmtId="173" fontId="13" fillId="0" borderId="0" applyBorder="0" applyProtection="0"/>
    <xf numFmtId="173" fontId="13" fillId="0" borderId="0" applyBorder="0" applyProtection="0"/>
    <xf numFmtId="173" fontId="13" fillId="0" borderId="0" applyBorder="0" applyProtection="0"/>
    <xf numFmtId="173" fontId="13" fillId="0" borderId="0" applyBorder="0" applyProtection="0">
      <alignment horizontal="left"/>
    </xf>
    <xf numFmtId="173" fontId="13" fillId="0" borderId="0" applyBorder="0" applyProtection="0">
      <alignment horizontal="left"/>
    </xf>
    <xf numFmtId="173" fontId="19" fillId="0" borderId="0" applyBorder="0" applyProtection="0"/>
    <xf numFmtId="173" fontId="12" fillId="0" borderId="0" applyFont="0" applyBorder="0" applyProtection="0"/>
    <xf numFmtId="173" fontId="22" fillId="0" borderId="0" applyBorder="0" applyProtection="0"/>
    <xf numFmtId="173" fontId="22" fillId="0" borderId="0" applyBorder="0" applyProtection="0"/>
    <xf numFmtId="173" fontId="22" fillId="0" borderId="0" applyBorder="0" applyProtection="0">
      <alignment horizontal="left"/>
    </xf>
    <xf numFmtId="173" fontId="22" fillId="0" borderId="0" applyBorder="0" applyProtection="0">
      <alignment horizontal="left"/>
    </xf>
    <xf numFmtId="173" fontId="13" fillId="0" borderId="0" applyBorder="0" applyProtection="0"/>
    <xf numFmtId="173" fontId="13" fillId="0" borderId="0" applyBorder="0" applyProtection="0"/>
    <xf numFmtId="0" fontId="12" fillId="0" borderId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/>
    <xf numFmtId="0" fontId="1" fillId="0" borderId="0"/>
    <xf numFmtId="165" fontId="1" fillId="0" borderId="0"/>
    <xf numFmtId="165" fontId="1" fillId="0" borderId="0"/>
    <xf numFmtId="165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4" fillId="0" borderId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/>
    <xf numFmtId="0" fontId="1" fillId="0" borderId="0"/>
    <xf numFmtId="165" fontId="1" fillId="0" borderId="0"/>
    <xf numFmtId="0" fontId="1" fillId="0" borderId="0"/>
    <xf numFmtId="165" fontId="1" fillId="0" borderId="0"/>
    <xf numFmtId="165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4" fillId="0" borderId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54" fillId="0" borderId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/>
    <xf numFmtId="0" fontId="1" fillId="0" borderId="0"/>
    <xf numFmtId="165" fontId="1" fillId="0" borderId="0"/>
    <xf numFmtId="165" fontId="1" fillId="0" borderId="0"/>
    <xf numFmtId="165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/>
    <xf numFmtId="0" fontId="1" fillId="0" borderId="0"/>
    <xf numFmtId="165" fontId="1" fillId="0" borderId="0"/>
    <xf numFmtId="165" fontId="1" fillId="0" borderId="0"/>
    <xf numFmtId="165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/>
    <xf numFmtId="0" fontId="1" fillId="0" borderId="0"/>
    <xf numFmtId="165" fontId="1" fillId="0" borderId="0"/>
    <xf numFmtId="0" fontId="1" fillId="0" borderId="0"/>
    <xf numFmtId="165" fontId="1" fillId="0" borderId="0"/>
    <xf numFmtId="165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4" fillId="0" borderId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54" fillId="0" borderId="0"/>
    <xf numFmtId="0" fontId="54" fillId="0" borderId="0"/>
    <xf numFmtId="0" fontId="54" fillId="0" borderId="0"/>
    <xf numFmtId="9" fontId="5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" fillId="0" borderId="0" applyFont="0" applyFill="0" applyBorder="0" applyAlignment="0" applyProtection="0"/>
  </cellStyleXfs>
  <cellXfs count="315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72" fontId="11" fillId="6" borderId="46" xfId="2" applyNumberFormat="1" applyFont="1" applyFill="1" applyBorder="1" applyAlignment="1">
      <alignment horizontal="right"/>
    </xf>
    <xf numFmtId="172" fontId="11" fillId="6" borderId="47" xfId="2" applyNumberFormat="1" applyFont="1" applyFill="1" applyBorder="1" applyAlignment="1">
      <alignment horizontal="left"/>
    </xf>
    <xf numFmtId="172" fontId="11" fillId="6" borderId="48" xfId="2" applyNumberFormat="1" applyFont="1" applyFill="1" applyBorder="1" applyAlignment="1">
      <alignment horizontal="left"/>
    </xf>
    <xf numFmtId="172" fontId="2" fillId="0" borderId="44" xfId="2" applyNumberFormat="1" applyFont="1" applyBorder="1" applyAlignment="1">
      <alignment horizontal="left"/>
    </xf>
    <xf numFmtId="172" fontId="2" fillId="0" borderId="45" xfId="2" applyNumberFormat="1" applyFont="1" applyBorder="1" applyAlignment="1">
      <alignment horizontal="left"/>
    </xf>
    <xf numFmtId="172" fontId="2" fillId="0" borderId="35" xfId="2" applyNumberFormat="1" applyFont="1" applyBorder="1" applyAlignment="1">
      <alignment horizontal="left"/>
    </xf>
    <xf numFmtId="172" fontId="2" fillId="0" borderId="39" xfId="2" applyNumberFormat="1" applyFont="1" applyBorder="1" applyAlignment="1">
      <alignment horizontal="left"/>
    </xf>
    <xf numFmtId="172" fontId="2" fillId="0" borderId="41" xfId="2" applyNumberFormat="1" applyFont="1" applyBorder="1" applyAlignment="1">
      <alignment horizontal="left"/>
    </xf>
    <xf numFmtId="172" fontId="2" fillId="0" borderId="42" xfId="2" applyNumberFormat="1" applyFont="1" applyBorder="1" applyAlignment="1">
      <alignment horizontal="left"/>
    </xf>
    <xf numFmtId="172" fontId="23" fillId="0" borderId="35" xfId="2" applyNumberFormat="1" applyFont="1" applyBorder="1" applyAlignment="1">
      <alignment horizontal="left"/>
    </xf>
    <xf numFmtId="172" fontId="23" fillId="0" borderId="41" xfId="2" applyNumberFormat="1" applyFont="1" applyBorder="1" applyAlignment="1">
      <alignment horizontal="left"/>
    </xf>
    <xf numFmtId="0" fontId="2" fillId="0" borderId="43" xfId="2" applyNumberFormat="1" applyFont="1" applyBorder="1" applyAlignment="1">
      <alignment horizontal="right"/>
    </xf>
    <xf numFmtId="0" fontId="2" fillId="0" borderId="38" xfId="2" applyNumberFormat="1" applyFont="1" applyBorder="1" applyAlignment="1">
      <alignment horizontal="right"/>
    </xf>
    <xf numFmtId="0" fontId="23" fillId="0" borderId="38" xfId="2" applyNumberFormat="1" applyFont="1" applyBorder="1" applyAlignment="1">
      <alignment horizontal="right"/>
    </xf>
    <xf numFmtId="0" fontId="23" fillId="0" borderId="40" xfId="2" applyNumberFormat="1" applyFont="1" applyBorder="1" applyAlignment="1">
      <alignment horizontal="right"/>
    </xf>
    <xf numFmtId="0" fontId="0" fillId="0" borderId="1" xfId="0" applyFill="1" applyBorder="1" applyAlignment="1">
      <alignment horizontal="center"/>
    </xf>
    <xf numFmtId="0" fontId="5" fillId="4" borderId="0" xfId="0" applyFont="1" applyFill="1" applyBorder="1" applyAlignment="1" applyProtection="1">
      <alignment horizontal="center" wrapText="1"/>
    </xf>
    <xf numFmtId="164" fontId="5" fillId="4" borderId="0" xfId="1" applyNumberFormat="1" applyFont="1" applyFill="1" applyBorder="1" applyAlignment="1" applyProtection="1">
      <alignment horizontal="center"/>
    </xf>
    <xf numFmtId="0" fontId="5" fillId="3" borderId="0" xfId="0" applyFont="1" applyFill="1" applyBorder="1" applyAlignment="1" applyProtection="1">
      <alignment horizontal="center" vertical="center" wrapText="1"/>
    </xf>
    <xf numFmtId="1" fontId="25" fillId="3" borderId="0" xfId="1" applyNumberFormat="1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/>
    </xf>
    <xf numFmtId="0" fontId="3" fillId="2" borderId="4" xfId="0" applyFont="1" applyFill="1" applyBorder="1" applyAlignment="1" applyProtection="1">
      <alignment horizontal="center"/>
    </xf>
    <xf numFmtId="0" fontId="3" fillId="9" borderId="15" xfId="0" applyFont="1" applyFill="1" applyBorder="1" applyAlignment="1" applyProtection="1">
      <alignment horizontal="center" vertical="center"/>
    </xf>
    <xf numFmtId="0" fontId="2" fillId="9" borderId="9" xfId="0" applyFont="1" applyFill="1" applyBorder="1" applyAlignment="1" applyProtection="1">
      <alignment horizontal="center" vertical="center"/>
    </xf>
    <xf numFmtId="0" fontId="3" fillId="9" borderId="16" xfId="0" applyFont="1" applyFill="1" applyBorder="1" applyAlignment="1" applyProtection="1">
      <alignment horizontal="center"/>
    </xf>
    <xf numFmtId="0" fontId="2" fillId="2" borderId="8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/>
    </xf>
    <xf numFmtId="14" fontId="7" fillId="2" borderId="1" xfId="0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center"/>
    </xf>
    <xf numFmtId="0" fontId="5" fillId="4" borderId="21" xfId="0" applyFont="1" applyFill="1" applyBorder="1" applyAlignment="1" applyProtection="1">
      <alignment horizontal="center"/>
    </xf>
    <xf numFmtId="0" fontId="10" fillId="4" borderId="1" xfId="0" applyFon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 vertical="center"/>
    </xf>
    <xf numFmtId="0" fontId="0" fillId="4" borderId="0" xfId="0" applyFill="1" applyAlignment="1" applyProtection="1">
      <alignment horizontal="center"/>
    </xf>
    <xf numFmtId="0" fontId="0" fillId="4" borderId="22" xfId="0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31" fillId="4" borderId="1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Alignment="1" applyProtection="1">
      <alignment horizontal="center" vertical="center"/>
    </xf>
    <xf numFmtId="164" fontId="24" fillId="4" borderId="0" xfId="1" applyNumberFormat="1" applyFont="1" applyFill="1" applyBorder="1" applyAlignment="1" applyProtection="1">
      <alignment horizontal="center" vertical="center"/>
    </xf>
    <xf numFmtId="164" fontId="5" fillId="4" borderId="0" xfId="1" applyNumberFormat="1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/>
    </xf>
    <xf numFmtId="0" fontId="36" fillId="0" borderId="0" xfId="0" applyFont="1"/>
    <xf numFmtId="0" fontId="36" fillId="0" borderId="0" xfId="0" applyFont="1" applyAlignment="1">
      <alignment horizontal="center"/>
    </xf>
    <xf numFmtId="0" fontId="2" fillId="2" borderId="50" xfId="0" applyFont="1" applyFill="1" applyBorder="1" applyAlignment="1" applyProtection="1">
      <alignment horizontal="center" vertical="center"/>
      <protection locked="0"/>
    </xf>
    <xf numFmtId="0" fontId="34" fillId="9" borderId="29" xfId="0" applyFont="1" applyFill="1" applyBorder="1" applyAlignment="1" applyProtection="1">
      <alignment horizontal="center" vertical="center"/>
    </xf>
    <xf numFmtId="0" fontId="34" fillId="9" borderId="28" xfId="0" applyFont="1" applyFill="1" applyBorder="1" applyAlignment="1" applyProtection="1">
      <alignment horizontal="center" vertical="center"/>
    </xf>
    <xf numFmtId="0" fontId="34" fillId="9" borderId="56" xfId="0" applyFont="1" applyFill="1" applyBorder="1" applyAlignment="1" applyProtection="1">
      <alignment horizontal="center" vertical="center"/>
    </xf>
    <xf numFmtId="1" fontId="0" fillId="0" borderId="81" xfId="0" applyNumberFormat="1" applyBorder="1" applyAlignment="1">
      <alignment horizontal="center"/>
    </xf>
    <xf numFmtId="0" fontId="0" fillId="0" borderId="73" xfId="0" applyBorder="1"/>
    <xf numFmtId="1" fontId="0" fillId="0" borderId="80" xfId="0" applyNumberFormat="1" applyBorder="1" applyAlignment="1">
      <alignment horizontal="center"/>
    </xf>
    <xf numFmtId="1" fontId="0" fillId="0" borderId="82" xfId="0" applyNumberFormat="1" applyBorder="1" applyAlignment="1">
      <alignment horizontal="center"/>
    </xf>
    <xf numFmtId="1" fontId="0" fillId="0" borderId="83" xfId="0" applyNumberFormat="1" applyBorder="1" applyAlignment="1">
      <alignment horizontal="center"/>
    </xf>
    <xf numFmtId="1" fontId="0" fillId="0" borderId="84" xfId="0" applyNumberFormat="1" applyBorder="1" applyAlignment="1">
      <alignment horizontal="center"/>
    </xf>
    <xf numFmtId="1" fontId="0" fillId="0" borderId="85" xfId="0" applyNumberFormat="1" applyBorder="1" applyAlignment="1">
      <alignment horizontal="center"/>
    </xf>
    <xf numFmtId="0" fontId="3" fillId="2" borderId="0" xfId="0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/>
    </xf>
    <xf numFmtId="0" fontId="2" fillId="2" borderId="0" xfId="0" applyFont="1" applyFill="1" applyBorder="1" applyAlignment="1" applyProtection="1">
      <alignment horizontal="center" vertical="center"/>
    </xf>
    <xf numFmtId="1" fontId="2" fillId="2" borderId="0" xfId="0" applyNumberFormat="1" applyFont="1" applyFill="1" applyBorder="1" applyAlignment="1" applyProtection="1">
      <alignment horizontal="center" vertical="center"/>
    </xf>
    <xf numFmtId="1" fontId="3" fillId="2" borderId="0" xfId="0" applyNumberFormat="1" applyFont="1" applyFill="1" applyBorder="1" applyAlignment="1" applyProtection="1">
      <alignment horizontal="center" vertical="center"/>
    </xf>
    <xf numFmtId="0" fontId="27" fillId="2" borderId="0" xfId="0" applyFont="1" applyFill="1" applyBorder="1" applyAlignment="1" applyProtection="1">
      <alignment horizontal="center" vertical="center"/>
    </xf>
    <xf numFmtId="1" fontId="27" fillId="2" borderId="0" xfId="0" applyNumberFormat="1" applyFont="1" applyFill="1" applyBorder="1" applyAlignment="1" applyProtection="1">
      <alignment horizontal="center" vertical="center"/>
    </xf>
    <xf numFmtId="0" fontId="34" fillId="9" borderId="30" xfId="0" applyFont="1" applyFill="1" applyBorder="1" applyAlignment="1" applyProtection="1">
      <alignment horizontal="center" vertical="center"/>
    </xf>
    <xf numFmtId="0" fontId="0" fillId="0" borderId="0" xfId="0" applyAlignment="1">
      <alignment horizontal="right"/>
    </xf>
    <xf numFmtId="0" fontId="36" fillId="0" borderId="0" xfId="0" applyFont="1" applyAlignment="1">
      <alignment horizontal="right"/>
    </xf>
    <xf numFmtId="0" fontId="0" fillId="0" borderId="0" xfId="0" applyBorder="1"/>
    <xf numFmtId="0" fontId="0" fillId="0" borderId="0" xfId="0" applyFill="1" applyBorder="1"/>
    <xf numFmtId="0" fontId="36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center"/>
    </xf>
    <xf numFmtId="0" fontId="36" fillId="12" borderId="86" xfId="0" applyFont="1" applyFill="1" applyBorder="1" applyAlignment="1">
      <alignment horizontal="right"/>
    </xf>
    <xf numFmtId="1" fontId="0" fillId="0" borderId="87" xfId="0" applyNumberFormat="1" applyBorder="1" applyAlignment="1">
      <alignment horizontal="center"/>
    </xf>
    <xf numFmtId="1" fontId="0" fillId="0" borderId="88" xfId="0" applyNumberFormat="1" applyBorder="1" applyAlignment="1">
      <alignment horizontal="center"/>
    </xf>
    <xf numFmtId="0" fontId="36" fillId="12" borderId="89" xfId="0" applyFont="1" applyFill="1" applyBorder="1" applyAlignment="1">
      <alignment horizontal="right"/>
    </xf>
    <xf numFmtId="0" fontId="36" fillId="12" borderId="90" xfId="0" applyFont="1" applyFill="1" applyBorder="1" applyAlignment="1">
      <alignment horizontal="right"/>
    </xf>
    <xf numFmtId="0" fontId="36" fillId="12" borderId="91" xfId="0" applyFont="1" applyFill="1" applyBorder="1" applyAlignment="1">
      <alignment horizontal="right"/>
    </xf>
    <xf numFmtId="1" fontId="0" fillId="0" borderId="92" xfId="0" applyNumberFormat="1" applyBorder="1" applyAlignment="1">
      <alignment horizontal="center"/>
    </xf>
    <xf numFmtId="1" fontId="0" fillId="0" borderId="93" xfId="0" applyNumberFormat="1" applyBorder="1" applyAlignment="1">
      <alignment horizontal="center"/>
    </xf>
    <xf numFmtId="1" fontId="0" fillId="0" borderId="94" xfId="0" applyNumberFormat="1" applyBorder="1" applyAlignment="1">
      <alignment horizontal="center"/>
    </xf>
    <xf numFmtId="1" fontId="0" fillId="0" borderId="95" xfId="0" applyNumberFormat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4" xfId="0" applyBorder="1" applyAlignment="1">
      <alignment horizontal="center"/>
    </xf>
    <xf numFmtId="1" fontId="2" fillId="9" borderId="6" xfId="0" applyNumberFormat="1" applyFont="1" applyFill="1" applyBorder="1" applyAlignment="1" applyProtection="1">
      <alignment horizontal="center" vertical="center"/>
    </xf>
    <xf numFmtId="1" fontId="2" fillId="9" borderId="12" xfId="0" applyNumberFormat="1" applyFont="1" applyFill="1" applyBorder="1" applyAlignment="1" applyProtection="1">
      <alignment horizontal="center" vertical="center"/>
    </xf>
    <xf numFmtId="1" fontId="2" fillId="9" borderId="34" xfId="0" applyNumberFormat="1" applyFont="1" applyFill="1" applyBorder="1" applyAlignment="1" applyProtection="1">
      <alignment horizontal="center" vertical="center"/>
    </xf>
    <xf numFmtId="1" fontId="2" fillId="9" borderId="67" xfId="0" applyNumberFormat="1" applyFont="1" applyFill="1" applyBorder="1" applyAlignment="1" applyProtection="1">
      <alignment horizontal="center" vertical="center"/>
    </xf>
    <xf numFmtId="0" fontId="2" fillId="2" borderId="0" xfId="0" applyNumberFormat="1" applyFont="1" applyFill="1" applyBorder="1" applyAlignment="1" applyProtection="1">
      <alignment horizontal="center" vertical="center"/>
    </xf>
    <xf numFmtId="0" fontId="27" fillId="2" borderId="0" xfId="0" applyNumberFormat="1" applyFont="1" applyFill="1" applyBorder="1" applyAlignment="1" applyProtection="1">
      <alignment horizontal="center" vertical="center"/>
    </xf>
    <xf numFmtId="1" fontId="25" fillId="9" borderId="26" xfId="0" applyNumberFormat="1" applyFont="1" applyFill="1" applyBorder="1" applyAlignment="1" applyProtection="1">
      <alignment horizontal="center" vertical="center"/>
      <protection locked="0"/>
    </xf>
    <xf numFmtId="1" fontId="25" fillId="9" borderId="27" xfId="0" applyNumberFormat="1" applyFont="1" applyFill="1" applyBorder="1" applyAlignment="1" applyProtection="1">
      <alignment horizontal="center" vertical="center"/>
      <protection locked="0"/>
    </xf>
    <xf numFmtId="1" fontId="25" fillId="9" borderId="31" xfId="0" applyNumberFormat="1" applyFont="1" applyFill="1" applyBorder="1" applyAlignment="1" applyProtection="1">
      <alignment horizontal="center" vertical="center"/>
      <protection locked="0"/>
    </xf>
    <xf numFmtId="1" fontId="25" fillId="9" borderId="57" xfId="1" applyNumberFormat="1" applyFont="1" applyFill="1" applyBorder="1" applyAlignment="1" applyProtection="1">
      <alignment horizontal="center" vertical="center"/>
      <protection locked="0"/>
    </xf>
    <xf numFmtId="1" fontId="2" fillId="9" borderId="7" xfId="0" applyNumberFormat="1" applyFont="1" applyFill="1" applyBorder="1" applyAlignment="1" applyProtection="1">
      <alignment horizontal="center"/>
    </xf>
    <xf numFmtId="1" fontId="2" fillId="9" borderId="10" xfId="0" applyNumberFormat="1" applyFont="1" applyFill="1" applyBorder="1" applyAlignment="1" applyProtection="1">
      <alignment horizontal="center"/>
    </xf>
    <xf numFmtId="1" fontId="2" fillId="9" borderId="13" xfId="0" applyNumberFormat="1" applyFont="1" applyFill="1" applyBorder="1" applyAlignment="1" applyProtection="1">
      <alignment horizontal="center"/>
    </xf>
    <xf numFmtId="0" fontId="2" fillId="2" borderId="74" xfId="0" applyFont="1" applyFill="1" applyBorder="1" applyAlignment="1" applyProtection="1">
      <alignment horizontal="center"/>
      <protection locked="0"/>
    </xf>
    <xf numFmtId="0" fontId="2" fillId="2" borderId="74" xfId="0" applyFont="1" applyFill="1" applyBorder="1" applyAlignment="1" applyProtection="1">
      <alignment horizontal="center" vertical="center"/>
      <protection locked="0"/>
    </xf>
    <xf numFmtId="0" fontId="2" fillId="2" borderId="68" xfId="0" applyFont="1" applyFill="1" applyBorder="1" applyAlignment="1" applyProtection="1">
      <alignment horizontal="center"/>
      <protection locked="0"/>
    </xf>
    <xf numFmtId="0" fontId="2" fillId="2" borderId="34" xfId="0" applyFont="1" applyFill="1" applyBorder="1" applyAlignment="1" applyProtection="1">
      <alignment horizontal="center"/>
      <protection locked="0"/>
    </xf>
    <xf numFmtId="0" fontId="2" fillId="2" borderId="69" xfId="0" applyFont="1" applyFill="1" applyBorder="1" applyAlignment="1" applyProtection="1">
      <alignment horizontal="center" vertical="center"/>
      <protection locked="0"/>
    </xf>
    <xf numFmtId="0" fontId="2" fillId="2" borderId="68" xfId="0" applyFont="1" applyFill="1" applyBorder="1" applyAlignment="1" applyProtection="1">
      <alignment horizontal="center" vertical="center"/>
      <protection locked="0"/>
    </xf>
    <xf numFmtId="0" fontId="3" fillId="2" borderId="65" xfId="0" applyFont="1" applyFill="1" applyBorder="1" applyAlignment="1" applyProtection="1">
      <alignment horizontal="center"/>
    </xf>
    <xf numFmtId="0" fontId="2" fillId="2" borderId="101" xfId="0" applyFont="1" applyFill="1" applyBorder="1" applyAlignment="1" applyProtection="1">
      <alignment horizontal="center" vertical="center"/>
    </xf>
    <xf numFmtId="0" fontId="28" fillId="2" borderId="68" xfId="0" applyFont="1" applyFill="1" applyBorder="1" applyAlignment="1" applyProtection="1">
      <alignment horizontal="center" vertical="center" wrapText="1"/>
      <protection locked="0"/>
    </xf>
    <xf numFmtId="1" fontId="28" fillId="2" borderId="68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103" xfId="0" applyFont="1" applyFill="1" applyBorder="1" applyAlignment="1" applyProtection="1">
      <alignment horizontal="center"/>
    </xf>
    <xf numFmtId="0" fontId="3" fillId="9" borderId="103" xfId="0" applyFont="1" applyFill="1" applyBorder="1" applyAlignment="1" applyProtection="1">
      <alignment horizontal="center" vertical="center"/>
    </xf>
    <xf numFmtId="0" fontId="3" fillId="9" borderId="103" xfId="0" applyFont="1" applyFill="1" applyBorder="1" applyAlignment="1" applyProtection="1">
      <alignment horizontal="center"/>
    </xf>
    <xf numFmtId="0" fontId="34" fillId="9" borderId="4" xfId="0" applyFont="1" applyFill="1" applyBorder="1" applyAlignment="1" applyProtection="1">
      <alignment horizontal="center"/>
    </xf>
    <xf numFmtId="164" fontId="24" fillId="2" borderId="75" xfId="1" applyNumberFormat="1" applyFont="1" applyFill="1" applyBorder="1" applyAlignment="1" applyProtection="1">
      <alignment horizontal="center" vertical="center"/>
    </xf>
    <xf numFmtId="164" fontId="5" fillId="9" borderId="76" xfId="1" applyNumberFormat="1" applyFont="1" applyFill="1" applyBorder="1" applyAlignment="1" applyProtection="1">
      <alignment horizontal="center" vertical="center"/>
    </xf>
    <xf numFmtId="0" fontId="2" fillId="2" borderId="69" xfId="0" applyFont="1" applyFill="1" applyBorder="1" applyAlignment="1" applyProtection="1">
      <alignment horizontal="center"/>
      <protection locked="0"/>
    </xf>
    <xf numFmtId="0" fontId="2" fillId="2" borderId="106" xfId="0" applyFont="1" applyFill="1" applyBorder="1" applyAlignment="1" applyProtection="1">
      <alignment horizontal="center" vertical="center"/>
      <protection locked="0"/>
    </xf>
    <xf numFmtId="0" fontId="2" fillId="2" borderId="106" xfId="0" applyFont="1" applyFill="1" applyBorder="1" applyAlignment="1" applyProtection="1">
      <alignment horizontal="center"/>
      <protection locked="0"/>
    </xf>
    <xf numFmtId="0" fontId="2" fillId="2" borderId="107" xfId="0" applyFont="1" applyFill="1" applyBorder="1" applyAlignment="1" applyProtection="1">
      <alignment horizontal="center" vertical="center"/>
    </xf>
    <xf numFmtId="0" fontId="2" fillId="5" borderId="102" xfId="0" applyFont="1" applyFill="1" applyBorder="1" applyAlignment="1" applyProtection="1">
      <alignment horizontal="center" vertical="center"/>
    </xf>
    <xf numFmtId="1" fontId="3" fillId="9" borderId="103" xfId="0" applyNumberFormat="1" applyFont="1" applyFill="1" applyBorder="1" applyAlignment="1" applyProtection="1">
      <alignment horizontal="center" vertical="center"/>
    </xf>
    <xf numFmtId="1" fontId="3" fillId="5" borderId="103" xfId="0" applyNumberFormat="1" applyFont="1" applyFill="1" applyBorder="1" applyAlignment="1" applyProtection="1">
      <alignment horizontal="center" vertical="center"/>
    </xf>
    <xf numFmtId="0" fontId="3" fillId="2" borderId="109" xfId="0" applyFont="1" applyFill="1" applyBorder="1" applyAlignment="1" applyProtection="1">
      <alignment horizontal="center" vertical="center"/>
    </xf>
    <xf numFmtId="1" fontId="37" fillId="0" borderId="112" xfId="122" applyNumberFormat="1" applyFont="1" applyFill="1" applyBorder="1" applyAlignment="1" applyProtection="1">
      <alignment horizontal="center" vertical="center"/>
      <protection locked="0"/>
    </xf>
    <xf numFmtId="1" fontId="38" fillId="0" borderId="112" xfId="122" applyNumberFormat="1" applyFont="1" applyFill="1" applyBorder="1" applyAlignment="1" applyProtection="1">
      <alignment horizontal="center" vertical="center"/>
      <protection locked="0"/>
    </xf>
    <xf numFmtId="1" fontId="38" fillId="0" borderId="113" xfId="122" applyNumberFormat="1" applyFont="1" applyFill="1" applyBorder="1" applyAlignment="1" applyProtection="1">
      <alignment horizontal="center" vertical="center"/>
      <protection locked="0"/>
    </xf>
    <xf numFmtId="1" fontId="2" fillId="9" borderId="9" xfId="0" applyNumberFormat="1" applyFont="1" applyFill="1" applyBorder="1" applyAlignment="1" applyProtection="1">
      <alignment horizontal="center" vertical="center"/>
    </xf>
    <xf numFmtId="0" fontId="2" fillId="2" borderId="34" xfId="0" applyFont="1" applyFill="1" applyBorder="1" applyAlignment="1" applyProtection="1">
      <alignment horizontal="center" vertical="center"/>
      <protection locked="0"/>
    </xf>
    <xf numFmtId="1" fontId="3" fillId="9" borderId="15" xfId="0" applyNumberFormat="1" applyFont="1" applyFill="1" applyBorder="1" applyAlignment="1" applyProtection="1">
      <alignment horizontal="center" vertical="center"/>
    </xf>
    <xf numFmtId="0" fontId="2" fillId="9" borderId="114" xfId="0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center"/>
    </xf>
    <xf numFmtId="0" fontId="2" fillId="5" borderId="103" xfId="0" applyFon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0" fillId="2" borderId="0" xfId="0" applyFill="1" applyAlignment="1">
      <alignment horizontal="center"/>
    </xf>
    <xf numFmtId="0" fontId="9" fillId="2" borderId="1" xfId="0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33" fillId="2" borderId="1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/>
      <protection locked="0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0" fillId="4" borderId="17" xfId="0" applyFill="1" applyBorder="1" applyAlignment="1" applyProtection="1">
      <alignment horizontal="center"/>
    </xf>
    <xf numFmtId="0" fontId="5" fillId="4" borderId="18" xfId="0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</xf>
    <xf numFmtId="0" fontId="5" fillId="3" borderId="17" xfId="0" applyFont="1" applyFill="1" applyBorder="1" applyAlignment="1" applyProtection="1">
      <alignment horizontal="center"/>
    </xf>
    <xf numFmtId="0" fontId="5" fillId="3" borderId="21" xfId="0" applyFont="1" applyFill="1" applyBorder="1" applyAlignment="1" applyProtection="1">
      <alignment horizontal="center"/>
    </xf>
    <xf numFmtId="0" fontId="0" fillId="3" borderId="18" xfId="0" applyFill="1" applyBorder="1" applyAlignment="1" applyProtection="1">
      <alignment horizontal="center"/>
    </xf>
    <xf numFmtId="0" fontId="0" fillId="0" borderId="0" xfId="0" applyFill="1" applyAlignment="1">
      <alignment horizontal="center"/>
    </xf>
    <xf numFmtId="0" fontId="0" fillId="4" borderId="23" xfId="0" applyFill="1" applyBorder="1" applyAlignment="1" applyProtection="1">
      <alignment horizontal="center"/>
    </xf>
    <xf numFmtId="0" fontId="10" fillId="4" borderId="0" xfId="0" applyFont="1" applyFill="1" applyBorder="1" applyAlignment="1" applyProtection="1">
      <alignment horizontal="center"/>
    </xf>
    <xf numFmtId="0" fontId="10" fillId="4" borderId="24" xfId="0" applyFont="1" applyFill="1" applyBorder="1" applyAlignment="1" applyProtection="1">
      <alignment horizontal="center"/>
    </xf>
    <xf numFmtId="0" fontId="4" fillId="3" borderId="23" xfId="0" applyFont="1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6" fillId="3" borderId="24" xfId="0" applyFont="1" applyFill="1" applyBorder="1" applyAlignment="1" applyProtection="1">
      <alignment horizontal="center"/>
    </xf>
    <xf numFmtId="0" fontId="0" fillId="4" borderId="24" xfId="0" applyFill="1" applyBorder="1" applyAlignment="1" applyProtection="1">
      <alignment horizontal="center"/>
    </xf>
    <xf numFmtId="0" fontId="5" fillId="2" borderId="0" xfId="0" applyFont="1" applyFill="1" applyBorder="1" applyAlignment="1" applyProtection="1">
      <alignment horizontal="center"/>
    </xf>
    <xf numFmtId="0" fontId="0" fillId="3" borderId="23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0" fillId="3" borderId="24" xfId="0" applyFill="1" applyBorder="1" applyAlignment="1" applyProtection="1">
      <alignment horizontal="center"/>
    </xf>
    <xf numFmtId="0" fontId="34" fillId="9" borderId="2" xfId="0" applyFont="1" applyFill="1" applyBorder="1" applyAlignment="1" applyProtection="1">
      <alignment horizontal="center"/>
    </xf>
    <xf numFmtId="0" fontId="34" fillId="9" borderId="3" xfId="0" applyFont="1" applyFill="1" applyBorder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25" fillId="9" borderId="105" xfId="0" applyFont="1" applyFill="1" applyBorder="1" applyAlignment="1" applyProtection="1">
      <alignment horizontal="center" vertical="center"/>
    </xf>
    <xf numFmtId="0" fontId="25" fillId="9" borderId="75" xfId="0" applyFont="1" applyFill="1" applyBorder="1" applyAlignment="1" applyProtection="1">
      <alignment horizontal="center" vertical="center"/>
    </xf>
    <xf numFmtId="0" fontId="25" fillId="9" borderId="79" xfId="0" applyFont="1" applyFill="1" applyBorder="1" applyAlignment="1" applyProtection="1">
      <alignment horizontal="center" vertical="center"/>
      <protection locked="0"/>
    </xf>
    <xf numFmtId="0" fontId="25" fillId="4" borderId="0" xfId="0" applyFont="1" applyFill="1" applyBorder="1" applyAlignment="1" applyProtection="1">
      <alignment horizontal="center" vertical="center"/>
    </xf>
    <xf numFmtId="1" fontId="25" fillId="3" borderId="0" xfId="0" applyNumberFormat="1" applyFont="1" applyFill="1" applyBorder="1" applyAlignment="1" applyProtection="1">
      <alignment horizontal="center" vertical="center"/>
    </xf>
    <xf numFmtId="0" fontId="25" fillId="3" borderId="0" xfId="0" applyFont="1" applyFill="1" applyBorder="1" applyAlignment="1" applyProtection="1">
      <alignment horizontal="center" vertical="center"/>
    </xf>
    <xf numFmtId="0" fontId="25" fillId="4" borderId="0" xfId="0" applyFont="1" applyFill="1" applyBorder="1" applyAlignment="1" applyProtection="1">
      <alignment horizontal="center"/>
    </xf>
    <xf numFmtId="164" fontId="25" fillId="4" borderId="0" xfId="1" applyNumberFormat="1" applyFont="1" applyFill="1" applyBorder="1" applyAlignment="1" applyProtection="1">
      <alignment horizontal="center"/>
    </xf>
    <xf numFmtId="0" fontId="2" fillId="3" borderId="0" xfId="0" applyFont="1" applyFill="1" applyBorder="1" applyAlignment="1" applyProtection="1">
      <alignment horizontal="center"/>
    </xf>
    <xf numFmtId="164" fontId="2" fillId="2" borderId="6" xfId="1" applyNumberFormat="1" applyFont="1" applyFill="1" applyBorder="1" applyAlignment="1" applyProtection="1">
      <alignment horizontal="center"/>
    </xf>
    <xf numFmtId="164" fontId="2" fillId="2" borderId="9" xfId="1" applyNumberFormat="1" applyFont="1" applyFill="1" applyBorder="1" applyAlignment="1" applyProtection="1">
      <alignment horizontal="center"/>
    </xf>
    <xf numFmtId="164" fontId="2" fillId="2" borderId="67" xfId="1" applyNumberFormat="1" applyFont="1" applyFill="1" applyBorder="1" applyAlignment="1" applyProtection="1">
      <alignment horizontal="center"/>
    </xf>
    <xf numFmtId="0" fontId="3" fillId="2" borderId="102" xfId="0" applyFont="1" applyFill="1" applyBorder="1" applyAlignment="1" applyProtection="1">
      <alignment horizontal="center"/>
    </xf>
    <xf numFmtId="164" fontId="3" fillId="2" borderId="103" xfId="1" applyNumberFormat="1" applyFont="1" applyFill="1" applyBorder="1" applyAlignment="1" applyProtection="1">
      <alignment horizontal="center"/>
    </xf>
    <xf numFmtId="0" fontId="3" fillId="5" borderId="104" xfId="0" applyFont="1" applyFill="1" applyBorder="1" applyAlignment="1" applyProtection="1">
      <alignment horizontal="center"/>
    </xf>
    <xf numFmtId="164" fontId="3" fillId="4" borderId="0" xfId="1" applyNumberFormat="1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3" fillId="5" borderId="102" xfId="0" applyFont="1" applyFill="1" applyBorder="1" applyAlignment="1" applyProtection="1">
      <alignment horizontal="center" vertical="center"/>
    </xf>
    <xf numFmtId="0" fontId="0" fillId="3" borderId="19" xfId="0" applyFill="1" applyBorder="1" applyAlignment="1" applyProtection="1">
      <alignment horizontal="center"/>
    </xf>
    <xf numFmtId="0" fontId="0" fillId="3" borderId="22" xfId="0" applyFill="1" applyBorder="1" applyAlignment="1" applyProtection="1">
      <alignment horizontal="center"/>
    </xf>
    <xf numFmtId="0" fontId="0" fillId="3" borderId="20" xfId="0" applyFill="1" applyBorder="1" applyAlignment="1" applyProtection="1">
      <alignment horizontal="center"/>
    </xf>
    <xf numFmtId="0" fontId="4" fillId="10" borderId="17" xfId="0" applyFont="1" applyFill="1" applyBorder="1" applyAlignment="1" applyProtection="1">
      <alignment horizontal="center"/>
    </xf>
    <xf numFmtId="0" fontId="4" fillId="10" borderId="21" xfId="0" applyFont="1" applyFill="1" applyBorder="1" applyAlignment="1" applyProtection="1">
      <alignment horizontal="center"/>
    </xf>
    <xf numFmtId="0" fontId="4" fillId="10" borderId="18" xfId="0" applyFont="1" applyFill="1" applyBorder="1" applyAlignment="1" applyProtection="1">
      <alignment horizontal="center"/>
    </xf>
    <xf numFmtId="0" fontId="4" fillId="10" borderId="23" xfId="0" applyFont="1" applyFill="1" applyBorder="1" applyAlignment="1" applyProtection="1">
      <alignment horizontal="center"/>
    </xf>
    <xf numFmtId="0" fontId="4" fillId="10" borderId="1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10" borderId="23" xfId="0" applyFont="1" applyFill="1" applyBorder="1" applyAlignment="1" applyProtection="1">
      <alignment horizontal="center"/>
      <protection locked="0"/>
    </xf>
    <xf numFmtId="0" fontId="4" fillId="10" borderId="0" xfId="0" applyFont="1" applyFill="1" applyBorder="1" applyAlignment="1" applyProtection="1">
      <alignment horizontal="center"/>
      <protection locked="0"/>
    </xf>
    <xf numFmtId="0" fontId="4" fillId="10" borderId="24" xfId="0" applyFont="1" applyFill="1" applyBorder="1" applyAlignment="1" applyProtection="1">
      <alignment horizontal="center"/>
      <protection locked="0"/>
    </xf>
    <xf numFmtId="164" fontId="2" fillId="2" borderId="12" xfId="1" applyNumberFormat="1" applyFont="1" applyFill="1" applyBorder="1" applyAlignment="1" applyProtection="1">
      <alignment horizontal="center"/>
    </xf>
    <xf numFmtId="0" fontId="3" fillId="2" borderId="14" xfId="0" applyFont="1" applyFill="1" applyBorder="1" applyAlignment="1" applyProtection="1">
      <alignment horizontal="center"/>
    </xf>
    <xf numFmtId="164" fontId="3" fillId="2" borderId="15" xfId="1" applyNumberFormat="1" applyFont="1" applyFill="1" applyBorder="1" applyAlignment="1" applyProtection="1">
      <alignment horizontal="center"/>
    </xf>
    <xf numFmtId="0" fontId="0" fillId="4" borderId="19" xfId="0" applyFill="1" applyBorder="1" applyAlignment="1" applyProtection="1">
      <alignment horizontal="center"/>
    </xf>
    <xf numFmtId="0" fontId="0" fillId="4" borderId="20" xfId="0" applyFill="1" applyBorder="1" applyAlignment="1" applyProtection="1">
      <alignment horizontal="center"/>
    </xf>
    <xf numFmtId="0" fontId="4" fillId="10" borderId="19" xfId="0" applyFont="1" applyFill="1" applyBorder="1" applyAlignment="1" applyProtection="1">
      <alignment horizontal="center"/>
      <protection locked="0"/>
    </xf>
    <xf numFmtId="0" fontId="4" fillId="10" borderId="22" xfId="0" applyFont="1" applyFill="1" applyBorder="1" applyAlignment="1" applyProtection="1">
      <alignment horizontal="center"/>
      <protection locked="0"/>
    </xf>
    <xf numFmtId="0" fontId="4" fillId="10" borderId="20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</xf>
    <xf numFmtId="0" fontId="2" fillId="2" borderId="0" xfId="0" applyFont="1" applyFill="1" applyBorder="1" applyAlignment="1" applyProtection="1">
      <alignment horizontal="center"/>
    </xf>
    <xf numFmtId="0" fontId="26" fillId="2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30" fillId="3" borderId="1" xfId="0" applyFont="1" applyFill="1" applyBorder="1" applyAlignment="1" applyProtection="1">
      <alignment horizontal="left"/>
    </xf>
    <xf numFmtId="0" fontId="37" fillId="0" borderId="112" xfId="122" applyNumberFormat="1" applyFont="1" applyFill="1" applyBorder="1" applyAlignment="1" applyProtection="1">
      <alignment horizontal="center" vertical="center"/>
      <protection locked="0"/>
    </xf>
    <xf numFmtId="0" fontId="38" fillId="0" borderId="113" xfId="122" applyNumberFormat="1" applyFont="1" applyFill="1" applyBorder="1" applyAlignment="1" applyProtection="1">
      <alignment horizontal="center" vertical="center"/>
      <protection locked="0"/>
    </xf>
    <xf numFmtId="0" fontId="37" fillId="0" borderId="74" xfId="0" applyFont="1" applyFill="1" applyBorder="1" applyAlignment="1" applyProtection="1">
      <alignment horizontal="center" vertical="center"/>
      <protection locked="0"/>
    </xf>
    <xf numFmtId="0" fontId="38" fillId="0" borderId="74" xfId="122" applyNumberFormat="1" applyFont="1" applyFill="1" applyBorder="1" applyAlignment="1" applyProtection="1">
      <alignment horizontal="center" vertical="center"/>
      <protection locked="0"/>
    </xf>
    <xf numFmtId="0" fontId="4" fillId="10" borderId="0" xfId="0" applyFont="1" applyFill="1" applyBorder="1" applyAlignment="1" applyProtection="1">
      <alignment horizontal="left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8" fillId="0" borderId="6" xfId="0" applyFont="1" applyBorder="1" applyAlignment="1" applyProtection="1">
      <alignment horizontal="center"/>
      <protection locked="0"/>
    </xf>
    <xf numFmtId="1" fontId="28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6" xfId="0" applyNumberFormat="1" applyFont="1" applyFill="1" applyBorder="1" applyAlignment="1" applyProtection="1">
      <alignment horizontal="center"/>
      <protection locked="0"/>
    </xf>
    <xf numFmtId="0" fontId="2" fillId="2" borderId="12" xfId="0" applyFont="1" applyFill="1" applyBorder="1" applyAlignment="1" applyProtection="1">
      <alignment horizont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1" fontId="25" fillId="9" borderId="75" xfId="0" applyNumberFormat="1" applyFont="1" applyFill="1" applyBorder="1" applyAlignment="1" applyProtection="1">
      <alignment horizontal="center" vertical="center"/>
    </xf>
    <xf numFmtId="1" fontId="37" fillId="0" borderId="74" xfId="122" applyNumberFormat="1" applyFont="1" applyFill="1" applyBorder="1" applyAlignment="1" applyProtection="1">
      <alignment horizontal="center" vertical="center"/>
      <protection locked="0"/>
    </xf>
    <xf numFmtId="1" fontId="38" fillId="0" borderId="70" xfId="122" applyNumberFormat="1" applyFont="1" applyFill="1" applyBorder="1" applyAlignment="1" applyProtection="1">
      <alignment horizontal="center" vertical="center"/>
      <protection locked="0"/>
    </xf>
    <xf numFmtId="1" fontId="38" fillId="0" borderId="74" xfId="0" applyNumberFormat="1" applyFont="1" applyFill="1" applyBorder="1" applyAlignment="1" applyProtection="1">
      <alignment horizontal="center" vertical="center"/>
      <protection locked="0"/>
    </xf>
    <xf numFmtId="0" fontId="30" fillId="10" borderId="1" xfId="0" applyFont="1" applyFill="1" applyBorder="1" applyAlignment="1" applyProtection="1">
      <alignment horizontal="left"/>
    </xf>
    <xf numFmtId="0" fontId="32" fillId="2" borderId="1" xfId="0" applyFont="1" applyFill="1" applyBorder="1" applyAlignment="1" applyProtection="1">
      <alignment horizontal="left"/>
    </xf>
    <xf numFmtId="0" fontId="2" fillId="2" borderId="50" xfId="0" applyFont="1" applyFill="1" applyBorder="1" applyAlignment="1" applyProtection="1">
      <alignment horizontal="center"/>
      <protection locked="0"/>
    </xf>
    <xf numFmtId="0" fontId="3" fillId="5" borderId="109" xfId="0" applyFont="1" applyFill="1" applyBorder="1" applyAlignment="1" applyProtection="1">
      <alignment horizontal="center"/>
    </xf>
    <xf numFmtId="0" fontId="38" fillId="0" borderId="71" xfId="122" applyNumberFormat="1" applyFont="1" applyFill="1" applyBorder="1" applyAlignment="1" applyProtection="1">
      <alignment horizontal="center" vertical="center"/>
      <protection locked="0"/>
    </xf>
    <xf numFmtId="0" fontId="37" fillId="0" borderId="75" xfId="122" applyNumberFormat="1" applyFont="1" applyFill="1" applyBorder="1" applyAlignment="1" applyProtection="1">
      <alignment horizontal="center" vertical="center"/>
      <protection locked="0"/>
    </xf>
    <xf numFmtId="0" fontId="28" fillId="2" borderId="124" xfId="0" applyFont="1" applyFill="1" applyBorder="1" applyAlignment="1" applyProtection="1">
      <alignment horizontal="center" vertical="center" wrapText="1"/>
      <protection locked="0"/>
    </xf>
    <xf numFmtId="1" fontId="37" fillId="0" borderId="125" xfId="122" applyNumberFormat="1" applyFont="1" applyFill="1" applyBorder="1" applyAlignment="1" applyProtection="1">
      <alignment horizontal="center" vertical="center"/>
      <protection locked="0"/>
    </xf>
    <xf numFmtId="0" fontId="55" fillId="0" borderId="74" xfId="0" applyFont="1" applyFill="1" applyBorder="1" applyAlignment="1" applyProtection="1">
      <alignment horizontal="center" vertical="center"/>
      <protection locked="0"/>
    </xf>
    <xf numFmtId="0" fontId="29" fillId="2" borderId="0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11" xfId="0" applyFont="1" applyFill="1" applyBorder="1" applyAlignment="1" applyProtection="1">
      <alignment horizontal="center" vertical="center"/>
    </xf>
    <xf numFmtId="0" fontId="2" fillId="9" borderId="6" xfId="0" applyFont="1" applyFill="1" applyBorder="1" applyAlignment="1" applyProtection="1">
      <alignment horizontal="center" vertical="center"/>
    </xf>
    <xf numFmtId="0" fontId="2" fillId="9" borderId="12" xfId="0" applyFont="1" applyFill="1" applyBorder="1" applyAlignment="1" applyProtection="1">
      <alignment horizontal="center" vertical="center"/>
    </xf>
    <xf numFmtId="0" fontId="2" fillId="2" borderId="66" xfId="0" applyFont="1" applyFill="1" applyBorder="1" applyAlignment="1" applyProtection="1">
      <alignment horizontal="center" vertical="center"/>
    </xf>
    <xf numFmtId="0" fontId="2" fillId="9" borderId="34" xfId="0" applyFont="1" applyFill="1" applyBorder="1" applyAlignment="1" applyProtection="1">
      <alignment horizontal="center" vertical="center"/>
    </xf>
    <xf numFmtId="0" fontId="2" fillId="9" borderId="67" xfId="0" applyFont="1" applyFill="1" applyBorder="1" applyAlignment="1" applyProtection="1">
      <alignment horizontal="center" vertical="center"/>
    </xf>
    <xf numFmtId="0" fontId="3" fillId="5" borderId="103" xfId="0" applyFont="1" applyFill="1" applyBorder="1" applyAlignment="1" applyProtection="1">
      <alignment horizontal="center" vertical="center"/>
    </xf>
    <xf numFmtId="0" fontId="3" fillId="2" borderId="36" xfId="0" applyFont="1" applyFill="1" applyBorder="1" applyAlignment="1" applyProtection="1">
      <alignment horizontal="center"/>
    </xf>
    <xf numFmtId="0" fontId="35" fillId="11" borderId="70" xfId="0" applyFont="1" applyFill="1" applyBorder="1" applyAlignment="1">
      <alignment horizontal="center"/>
    </xf>
    <xf numFmtId="0" fontId="35" fillId="11" borderId="71" xfId="0" applyFont="1" applyFill="1" applyBorder="1" applyAlignment="1">
      <alignment horizontal="center"/>
    </xf>
    <xf numFmtId="1" fontId="2" fillId="9" borderId="52" xfId="0" applyNumberFormat="1" applyFont="1" applyFill="1" applyBorder="1" applyAlignment="1" applyProtection="1">
      <alignment horizontal="center"/>
    </xf>
    <xf numFmtId="1" fontId="2" fillId="9" borderId="53" xfId="0" applyNumberFormat="1" applyFont="1" applyFill="1" applyBorder="1" applyAlignment="1" applyProtection="1">
      <alignment horizontal="center"/>
    </xf>
    <xf numFmtId="1" fontId="2" fillId="9" borderId="54" xfId="0" applyNumberFormat="1" applyFont="1" applyFill="1" applyBorder="1" applyAlignment="1" applyProtection="1">
      <alignment horizontal="center"/>
    </xf>
    <xf numFmtId="1" fontId="2" fillId="9" borderId="55" xfId="0" applyNumberFormat="1" applyFont="1" applyFill="1" applyBorder="1" applyAlignment="1" applyProtection="1">
      <alignment horizontal="center"/>
    </xf>
    <xf numFmtId="0" fontId="2" fillId="8" borderId="25" xfId="0" applyFont="1" applyFill="1" applyBorder="1" applyAlignment="1" applyProtection="1">
      <alignment horizontal="center"/>
    </xf>
    <xf numFmtId="0" fontId="2" fillId="8" borderId="49" xfId="0" applyFont="1" applyFill="1" applyBorder="1" applyAlignment="1" applyProtection="1">
      <alignment horizontal="center"/>
    </xf>
    <xf numFmtId="0" fontId="3" fillId="2" borderId="36" xfId="0" applyFont="1" applyFill="1" applyBorder="1" applyAlignment="1" applyProtection="1">
      <alignment horizontal="center"/>
    </xf>
    <xf numFmtId="0" fontId="3" fillId="2" borderId="37" xfId="0" applyFont="1" applyFill="1" applyBorder="1" applyAlignment="1" applyProtection="1">
      <alignment horizontal="center"/>
    </xf>
    <xf numFmtId="1" fontId="2" fillId="9" borderId="50" xfId="0" applyNumberFormat="1" applyFont="1" applyFill="1" applyBorder="1" applyAlignment="1" applyProtection="1">
      <alignment horizontal="center"/>
    </xf>
    <xf numFmtId="1" fontId="2" fillId="9" borderId="51" xfId="0" applyNumberFormat="1" applyFont="1" applyFill="1" applyBorder="1" applyAlignment="1" applyProtection="1">
      <alignment horizontal="center"/>
    </xf>
    <xf numFmtId="0" fontId="29" fillId="2" borderId="61" xfId="0" applyFont="1" applyFill="1" applyBorder="1" applyAlignment="1" applyProtection="1">
      <alignment horizontal="center" vertical="center"/>
    </xf>
    <xf numFmtId="0" fontId="29" fillId="2" borderId="26" xfId="0" applyFont="1" applyFill="1" applyBorder="1" applyAlignment="1" applyProtection="1">
      <alignment horizontal="center" vertical="center"/>
    </xf>
    <xf numFmtId="164" fontId="24" fillId="2" borderId="62" xfId="1" applyNumberFormat="1" applyFont="1" applyFill="1" applyBorder="1" applyAlignment="1" applyProtection="1">
      <alignment horizontal="center" vertical="center"/>
    </xf>
    <xf numFmtId="164" fontId="24" fillId="2" borderId="63" xfId="1" applyNumberFormat="1" applyFont="1" applyFill="1" applyBorder="1" applyAlignment="1" applyProtection="1">
      <alignment horizontal="center" vertical="center"/>
    </xf>
    <xf numFmtId="0" fontId="3" fillId="2" borderId="68" xfId="0" applyFont="1" applyFill="1" applyBorder="1" applyAlignment="1" applyProtection="1">
      <alignment horizontal="center" vertical="center"/>
      <protection locked="0"/>
    </xf>
    <xf numFmtId="0" fontId="3" fillId="2" borderId="108" xfId="0" applyFont="1" applyFill="1" applyBorder="1" applyAlignment="1" applyProtection="1">
      <alignment horizontal="center" vertical="center"/>
      <protection locked="0"/>
    </xf>
    <xf numFmtId="0" fontId="3" fillId="5" borderId="109" xfId="0" applyFont="1" applyFill="1" applyBorder="1" applyAlignment="1" applyProtection="1">
      <alignment horizontal="center" vertical="center"/>
    </xf>
    <xf numFmtId="0" fontId="3" fillId="5" borderId="110" xfId="0" applyFont="1" applyFill="1" applyBorder="1" applyAlignment="1" applyProtection="1">
      <alignment horizontal="center" vertical="center"/>
    </xf>
    <xf numFmtId="0" fontId="3" fillId="5" borderId="111" xfId="0" applyFont="1" applyFill="1" applyBorder="1" applyAlignment="1" applyProtection="1">
      <alignment horizontal="center" vertical="center"/>
    </xf>
    <xf numFmtId="0" fontId="3" fillId="2" borderId="74" xfId="0" applyFont="1" applyFill="1" applyBorder="1" applyAlignment="1" applyProtection="1">
      <alignment horizontal="center" vertical="center"/>
      <protection locked="0"/>
    </xf>
    <xf numFmtId="0" fontId="3" fillId="2" borderId="72" xfId="0" applyFont="1" applyFill="1" applyBorder="1" applyAlignment="1" applyProtection="1">
      <alignment horizontal="center" vertical="center"/>
      <protection locked="0"/>
    </xf>
    <xf numFmtId="0" fontId="3" fillId="2" borderId="50" xfId="0" applyFont="1" applyFill="1" applyBorder="1" applyAlignment="1" applyProtection="1">
      <alignment horizontal="center" vertical="center"/>
      <protection locked="0"/>
    </xf>
    <xf numFmtId="0" fontId="3" fillId="2" borderId="60" xfId="0" applyFont="1" applyFill="1" applyBorder="1" applyAlignment="1" applyProtection="1">
      <alignment horizontal="center" vertical="center"/>
      <protection locked="0"/>
    </xf>
    <xf numFmtId="0" fontId="3" fillId="2" borderId="78" xfId="0" applyFont="1" applyFill="1" applyBorder="1" applyAlignment="1" applyProtection="1">
      <alignment horizontal="center" vertical="center"/>
      <protection locked="0"/>
    </xf>
    <xf numFmtId="0" fontId="3" fillId="2" borderId="36" xfId="0" applyFont="1" applyFill="1" applyBorder="1" applyAlignment="1" applyProtection="1">
      <alignment horizontal="center" vertical="center"/>
    </xf>
    <xf numFmtId="0" fontId="3" fillId="2" borderId="77" xfId="0" applyFont="1" applyFill="1" applyBorder="1" applyAlignment="1" applyProtection="1">
      <alignment horizontal="center" vertical="center"/>
    </xf>
    <xf numFmtId="0" fontId="3" fillId="2" borderId="32" xfId="0" applyFont="1" applyFill="1" applyBorder="1" applyAlignment="1" applyProtection="1">
      <alignment horizontal="center" vertical="center"/>
    </xf>
    <xf numFmtId="0" fontId="2" fillId="2" borderId="33" xfId="0" applyFont="1" applyFill="1" applyBorder="1" applyAlignment="1" applyProtection="1">
      <alignment horizontal="center" vertical="center"/>
    </xf>
    <xf numFmtId="0" fontId="2" fillId="2" borderId="66" xfId="0" applyFont="1" applyFill="1" applyBorder="1" applyAlignment="1" applyProtection="1">
      <alignment horizontal="center" vertical="center"/>
    </xf>
    <xf numFmtId="0" fontId="2" fillId="9" borderId="6" xfId="0" applyFont="1" applyFill="1" applyBorder="1" applyAlignment="1" applyProtection="1">
      <alignment horizontal="center" vertical="center"/>
    </xf>
    <xf numFmtId="0" fontId="2" fillId="9" borderId="67" xfId="0" applyFont="1" applyFill="1" applyBorder="1" applyAlignment="1" applyProtection="1">
      <alignment horizontal="center" vertical="center"/>
    </xf>
    <xf numFmtId="0" fontId="27" fillId="2" borderId="96" xfId="0" applyFont="1" applyFill="1" applyBorder="1" applyAlignment="1" applyProtection="1">
      <alignment horizontal="center" vertical="center"/>
      <protection locked="0"/>
    </xf>
    <xf numFmtId="0" fontId="27" fillId="2" borderId="97" xfId="0" applyFont="1" applyFill="1" applyBorder="1" applyAlignment="1" applyProtection="1">
      <alignment horizontal="center" vertical="center"/>
      <protection locked="0"/>
    </xf>
    <xf numFmtId="0" fontId="27" fillId="2" borderId="98" xfId="0" applyFont="1" applyFill="1" applyBorder="1" applyAlignment="1" applyProtection="1">
      <alignment horizontal="center" vertical="center"/>
      <protection locked="0"/>
    </xf>
    <xf numFmtId="0" fontId="27" fillId="2" borderId="73" xfId="0" applyFont="1" applyFill="1" applyBorder="1" applyAlignment="1" applyProtection="1">
      <alignment horizontal="center" vertical="center"/>
      <protection locked="0"/>
    </xf>
    <xf numFmtId="0" fontId="27" fillId="2" borderId="0" xfId="0" applyFont="1" applyFill="1" applyBorder="1" applyAlignment="1" applyProtection="1">
      <alignment horizontal="center" vertical="center"/>
      <protection locked="0"/>
    </xf>
    <xf numFmtId="0" fontId="27" fillId="2" borderId="24" xfId="0" applyFont="1" applyFill="1" applyBorder="1" applyAlignment="1" applyProtection="1">
      <alignment horizontal="center" vertical="center"/>
      <protection locked="0"/>
    </xf>
    <xf numFmtId="0" fontId="3" fillId="5" borderId="103" xfId="0" applyFont="1" applyFill="1" applyBorder="1" applyAlignment="1" applyProtection="1">
      <alignment horizontal="center" vertical="center"/>
    </xf>
    <xf numFmtId="0" fontId="3" fillId="5" borderId="104" xfId="0" applyFont="1" applyFill="1" applyBorder="1" applyAlignment="1" applyProtection="1">
      <alignment horizontal="center" vertical="center"/>
    </xf>
    <xf numFmtId="0" fontId="29" fillId="2" borderId="17" xfId="0" applyFont="1" applyFill="1" applyBorder="1" applyAlignment="1" applyProtection="1">
      <alignment horizontal="center" vertical="center"/>
    </xf>
    <xf numFmtId="0" fontId="29" fillId="2" borderId="21" xfId="0" applyFont="1" applyFill="1" applyBorder="1" applyAlignment="1" applyProtection="1">
      <alignment horizontal="center" vertical="center"/>
    </xf>
    <xf numFmtId="0" fontId="29" fillId="2" borderId="18" xfId="0" applyFont="1" applyFill="1" applyBorder="1" applyAlignment="1" applyProtection="1">
      <alignment horizontal="center" vertical="center"/>
    </xf>
    <xf numFmtId="0" fontId="29" fillId="2" borderId="23" xfId="0" applyFont="1" applyFill="1" applyBorder="1" applyAlignment="1" applyProtection="1">
      <alignment horizontal="center" vertical="center"/>
    </xf>
    <xf numFmtId="0" fontId="29" fillId="2" borderId="0" xfId="0" applyFont="1" applyFill="1" applyBorder="1" applyAlignment="1" applyProtection="1">
      <alignment horizontal="center" vertical="center"/>
    </xf>
    <xf numFmtId="0" fontId="29" fillId="2" borderId="24" xfId="0" applyFont="1" applyFill="1" applyBorder="1" applyAlignment="1" applyProtection="1">
      <alignment horizontal="center" vertical="center"/>
    </xf>
    <xf numFmtId="0" fontId="2" fillId="2" borderId="11" xfId="0" applyFont="1" applyFill="1" applyBorder="1" applyAlignment="1" applyProtection="1">
      <alignment horizontal="center" vertical="center"/>
    </xf>
    <xf numFmtId="0" fontId="2" fillId="9" borderId="12" xfId="0" applyFont="1" applyFill="1" applyBorder="1" applyAlignment="1" applyProtection="1">
      <alignment horizontal="center" vertical="center"/>
    </xf>
    <xf numFmtId="0" fontId="27" fillId="2" borderId="99" xfId="0" applyFont="1" applyFill="1" applyBorder="1" applyAlignment="1" applyProtection="1">
      <alignment horizontal="center" vertical="center"/>
      <protection locked="0"/>
    </xf>
    <xf numFmtId="0" fontId="27" fillId="2" borderId="1" xfId="0" applyFont="1" applyFill="1" applyBorder="1" applyAlignment="1" applyProtection="1">
      <alignment horizontal="center" vertical="center"/>
      <protection locked="0"/>
    </xf>
    <xf numFmtId="0" fontId="27" fillId="2" borderId="100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</xf>
    <xf numFmtId="0" fontId="27" fillId="2" borderId="74" xfId="0" applyFont="1" applyFill="1" applyBorder="1" applyAlignment="1" applyProtection="1">
      <alignment horizontal="center" vertical="center"/>
      <protection locked="0"/>
    </xf>
    <xf numFmtId="0" fontId="27" fillId="2" borderId="72" xfId="0" applyFont="1" applyFill="1" applyBorder="1" applyAlignment="1" applyProtection="1">
      <alignment horizontal="center" vertical="center"/>
      <protection locked="0"/>
    </xf>
    <xf numFmtId="0" fontId="29" fillId="2" borderId="19" xfId="0" applyFont="1" applyFill="1" applyBorder="1" applyAlignment="1" applyProtection="1">
      <alignment horizontal="center" vertical="center"/>
    </xf>
    <xf numFmtId="0" fontId="29" fillId="2" borderId="22" xfId="0" applyFont="1" applyFill="1" applyBorder="1" applyAlignment="1" applyProtection="1">
      <alignment horizontal="center" vertical="center"/>
    </xf>
    <xf numFmtId="0" fontId="29" fillId="2" borderId="20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27" fillId="2" borderId="68" xfId="0" applyFont="1" applyFill="1" applyBorder="1" applyAlignment="1" applyProtection="1">
      <alignment horizontal="center" vertical="center"/>
      <protection locked="0"/>
    </xf>
    <xf numFmtId="0" fontId="27" fillId="2" borderId="69" xfId="0" applyFont="1" applyFill="1" applyBorder="1" applyAlignment="1" applyProtection="1">
      <alignment horizontal="center" vertical="center"/>
      <protection locked="0"/>
    </xf>
    <xf numFmtId="0" fontId="2" fillId="9" borderId="34" xfId="0" applyFont="1" applyFill="1" applyBorder="1" applyAlignment="1" applyProtection="1">
      <alignment horizontal="center" vertical="center"/>
    </xf>
    <xf numFmtId="0" fontId="27" fillId="2" borderId="106" xfId="0" applyFont="1" applyFill="1" applyBorder="1" applyAlignment="1" applyProtection="1">
      <alignment horizontal="center" vertical="center"/>
      <protection locked="0"/>
    </xf>
    <xf numFmtId="0" fontId="34" fillId="9" borderId="17" xfId="0" applyFont="1" applyFill="1" applyBorder="1" applyAlignment="1" applyProtection="1">
      <alignment horizontal="center" vertical="center" wrapText="1"/>
    </xf>
    <xf numFmtId="0" fontId="34" fillId="9" borderId="21" xfId="0" applyFont="1" applyFill="1" applyBorder="1" applyAlignment="1" applyProtection="1">
      <alignment horizontal="center" vertical="center" wrapText="1"/>
    </xf>
    <xf numFmtId="0" fontId="34" fillId="9" borderId="19" xfId="0" applyFont="1" applyFill="1" applyBorder="1" applyAlignment="1" applyProtection="1">
      <alignment horizontal="center" vertical="center" wrapText="1"/>
    </xf>
    <xf numFmtId="0" fontId="34" fillId="9" borderId="22" xfId="0" applyFont="1" applyFill="1" applyBorder="1" applyAlignment="1" applyProtection="1">
      <alignment horizontal="center" vertical="center" wrapText="1"/>
    </xf>
    <xf numFmtId="0" fontId="34" fillId="9" borderId="18" xfId="0" applyFont="1" applyFill="1" applyBorder="1" applyAlignment="1" applyProtection="1">
      <alignment horizontal="center" vertical="center" wrapText="1"/>
    </xf>
    <xf numFmtId="0" fontId="34" fillId="9" borderId="20" xfId="0" applyFont="1" applyFill="1" applyBorder="1" applyAlignment="1" applyProtection="1">
      <alignment horizontal="center" vertical="center" wrapText="1"/>
    </xf>
    <xf numFmtId="0" fontId="34" fillId="9" borderId="36" xfId="0" applyFont="1" applyFill="1" applyBorder="1" applyAlignment="1" applyProtection="1">
      <alignment horizontal="center" vertical="center"/>
    </xf>
    <xf numFmtId="0" fontId="34" fillId="9" borderId="32" xfId="0" applyFont="1" applyFill="1" applyBorder="1" applyAlignment="1" applyProtection="1">
      <alignment horizontal="center" vertical="center"/>
    </xf>
    <xf numFmtId="176" fontId="25" fillId="9" borderId="58" xfId="575" applyNumberFormat="1" applyFont="1" applyFill="1" applyBorder="1" applyAlignment="1" applyProtection="1">
      <alignment horizontal="center" vertical="center"/>
      <protection locked="0"/>
    </xf>
    <xf numFmtId="176" fontId="25" fillId="9" borderId="59" xfId="575" applyNumberFormat="1" applyFont="1" applyFill="1" applyBorder="1" applyAlignment="1" applyProtection="1">
      <alignment horizontal="center" vertical="center"/>
      <protection locked="0"/>
    </xf>
  </cellXfs>
  <cellStyles count="576">
    <cellStyle name="20% - Cor1" xfId="179" builtinId="30" customBuiltin="1"/>
    <cellStyle name="20% - Cor1 2" xfId="224"/>
    <cellStyle name="20% - Cor1 2 2" xfId="299"/>
    <cellStyle name="20% - Cor1 2 2 2" xfId="455"/>
    <cellStyle name="20% - Cor1 2 3" xfId="384"/>
    <cellStyle name="20% - Cor1 2 3 2" xfId="539"/>
    <cellStyle name="20% - Cor1 2 4" xfId="410"/>
    <cellStyle name="20% - Cor1 3" xfId="333"/>
    <cellStyle name="20% - Cor1 3 2" xfId="488"/>
    <cellStyle name="20% - Cor1 4" xfId="286"/>
    <cellStyle name="20% - Cor1 4 2" xfId="442"/>
    <cellStyle name="20% - Cor1 5" xfId="371"/>
    <cellStyle name="20% - Cor1 5 2" xfId="526"/>
    <cellStyle name="20% - Cor1 6" xfId="397"/>
    <cellStyle name="20% - Cor2" xfId="183" builtinId="34" customBuiltin="1"/>
    <cellStyle name="20% - Cor2 2" xfId="226"/>
    <cellStyle name="20% - Cor2 2 2" xfId="301"/>
    <cellStyle name="20% - Cor2 2 2 2" xfId="457"/>
    <cellStyle name="20% - Cor2 2 3" xfId="386"/>
    <cellStyle name="20% - Cor2 2 3 2" xfId="541"/>
    <cellStyle name="20% - Cor2 2 4" xfId="412"/>
    <cellStyle name="20% - Cor2 3" xfId="335"/>
    <cellStyle name="20% - Cor2 3 2" xfId="490"/>
    <cellStyle name="20% - Cor2 4" xfId="288"/>
    <cellStyle name="20% - Cor2 4 2" xfId="444"/>
    <cellStyle name="20% - Cor2 5" xfId="373"/>
    <cellStyle name="20% - Cor2 5 2" xfId="528"/>
    <cellStyle name="20% - Cor2 6" xfId="399"/>
    <cellStyle name="20% - Cor3" xfId="187" builtinId="38" customBuiltin="1"/>
    <cellStyle name="20% - Cor3 2" xfId="228"/>
    <cellStyle name="20% - Cor3 2 2" xfId="303"/>
    <cellStyle name="20% - Cor3 2 2 2" xfId="459"/>
    <cellStyle name="20% - Cor3 2 3" xfId="388"/>
    <cellStyle name="20% - Cor3 2 3 2" xfId="543"/>
    <cellStyle name="20% - Cor3 2 4" xfId="414"/>
    <cellStyle name="20% - Cor3 3" xfId="337"/>
    <cellStyle name="20% - Cor3 3 2" xfId="492"/>
    <cellStyle name="20% - Cor3 4" xfId="290"/>
    <cellStyle name="20% - Cor3 4 2" xfId="446"/>
    <cellStyle name="20% - Cor3 5" xfId="375"/>
    <cellStyle name="20% - Cor3 5 2" xfId="530"/>
    <cellStyle name="20% - Cor3 6" xfId="401"/>
    <cellStyle name="20% - Cor4" xfId="191" builtinId="42" customBuiltin="1"/>
    <cellStyle name="20% - Cor4 2" xfId="230"/>
    <cellStyle name="20% - Cor4 2 2" xfId="305"/>
    <cellStyle name="20% - Cor4 2 2 2" xfId="461"/>
    <cellStyle name="20% - Cor4 2 3" xfId="390"/>
    <cellStyle name="20% - Cor4 2 3 2" xfId="545"/>
    <cellStyle name="20% - Cor4 2 4" xfId="416"/>
    <cellStyle name="20% - Cor4 3" xfId="339"/>
    <cellStyle name="20% - Cor4 3 2" xfId="494"/>
    <cellStyle name="20% - Cor4 4" xfId="292"/>
    <cellStyle name="20% - Cor4 4 2" xfId="448"/>
    <cellStyle name="20% - Cor4 5" xfId="377"/>
    <cellStyle name="20% - Cor4 5 2" xfId="532"/>
    <cellStyle name="20% - Cor4 6" xfId="403"/>
    <cellStyle name="20% - Cor5" xfId="195" builtinId="46" customBuiltin="1"/>
    <cellStyle name="20% - Cor5 2" xfId="232"/>
    <cellStyle name="20% - Cor5 2 2" xfId="307"/>
    <cellStyle name="20% - Cor5 2 2 2" xfId="463"/>
    <cellStyle name="20% - Cor5 2 3" xfId="392"/>
    <cellStyle name="20% - Cor5 2 3 2" xfId="547"/>
    <cellStyle name="20% - Cor5 2 4" xfId="418"/>
    <cellStyle name="20% - Cor5 3" xfId="341"/>
    <cellStyle name="20% - Cor5 3 2" xfId="496"/>
    <cellStyle name="20% - Cor5 4" xfId="294"/>
    <cellStyle name="20% - Cor5 4 2" xfId="450"/>
    <cellStyle name="20% - Cor5 5" xfId="379"/>
    <cellStyle name="20% - Cor5 5 2" xfId="534"/>
    <cellStyle name="20% - Cor5 6" xfId="405"/>
    <cellStyle name="20% - Cor6" xfId="199" builtinId="50" customBuiltin="1"/>
    <cellStyle name="20% - Cor6 2" xfId="234"/>
    <cellStyle name="20% - Cor6 2 2" xfId="309"/>
    <cellStyle name="20% - Cor6 2 2 2" xfId="465"/>
    <cellStyle name="20% - Cor6 2 3" xfId="394"/>
    <cellStyle name="20% - Cor6 2 3 2" xfId="549"/>
    <cellStyle name="20% - Cor6 2 4" xfId="420"/>
    <cellStyle name="20% - Cor6 3" xfId="343"/>
    <cellStyle name="20% - Cor6 3 2" xfId="498"/>
    <cellStyle name="20% - Cor6 4" xfId="296"/>
    <cellStyle name="20% - Cor6 4 2" xfId="452"/>
    <cellStyle name="20% - Cor6 5" xfId="381"/>
    <cellStyle name="20% - Cor6 5 2" xfId="536"/>
    <cellStyle name="20% - Cor6 6" xfId="407"/>
    <cellStyle name="40% - Cor1" xfId="180" builtinId="31" customBuiltin="1"/>
    <cellStyle name="40% - Cor1 2" xfId="225"/>
    <cellStyle name="40% - Cor1 2 2" xfId="300"/>
    <cellStyle name="40% - Cor1 2 2 2" xfId="456"/>
    <cellStyle name="40% - Cor1 2 3" xfId="385"/>
    <cellStyle name="40% - Cor1 2 3 2" xfId="540"/>
    <cellStyle name="40% - Cor1 2 4" xfId="411"/>
    <cellStyle name="40% - Cor1 3" xfId="334"/>
    <cellStyle name="40% - Cor1 3 2" xfId="489"/>
    <cellStyle name="40% - Cor1 4" xfId="287"/>
    <cellStyle name="40% - Cor1 4 2" xfId="443"/>
    <cellStyle name="40% - Cor1 5" xfId="372"/>
    <cellStyle name="40% - Cor1 5 2" xfId="527"/>
    <cellStyle name="40% - Cor1 6" xfId="398"/>
    <cellStyle name="40% - Cor2" xfId="184" builtinId="35" customBuiltin="1"/>
    <cellStyle name="40% - Cor2 2" xfId="227"/>
    <cellStyle name="40% - Cor2 2 2" xfId="302"/>
    <cellStyle name="40% - Cor2 2 2 2" xfId="458"/>
    <cellStyle name="40% - Cor2 2 3" xfId="387"/>
    <cellStyle name="40% - Cor2 2 3 2" xfId="542"/>
    <cellStyle name="40% - Cor2 2 4" xfId="413"/>
    <cellStyle name="40% - Cor2 3" xfId="336"/>
    <cellStyle name="40% - Cor2 3 2" xfId="491"/>
    <cellStyle name="40% - Cor2 4" xfId="289"/>
    <cellStyle name="40% - Cor2 4 2" xfId="445"/>
    <cellStyle name="40% - Cor2 5" xfId="374"/>
    <cellStyle name="40% - Cor2 5 2" xfId="529"/>
    <cellStyle name="40% - Cor2 6" xfId="400"/>
    <cellStyle name="40% - Cor3" xfId="188" builtinId="39" customBuiltin="1"/>
    <cellStyle name="40% - Cor3 2" xfId="229"/>
    <cellStyle name="40% - Cor3 2 2" xfId="304"/>
    <cellStyle name="40% - Cor3 2 2 2" xfId="460"/>
    <cellStyle name="40% - Cor3 2 3" xfId="389"/>
    <cellStyle name="40% - Cor3 2 3 2" xfId="544"/>
    <cellStyle name="40% - Cor3 2 4" xfId="415"/>
    <cellStyle name="40% - Cor3 3" xfId="338"/>
    <cellStyle name="40% - Cor3 3 2" xfId="493"/>
    <cellStyle name="40% - Cor3 4" xfId="291"/>
    <cellStyle name="40% - Cor3 4 2" xfId="447"/>
    <cellStyle name="40% - Cor3 5" xfId="376"/>
    <cellStyle name="40% - Cor3 5 2" xfId="531"/>
    <cellStyle name="40% - Cor3 6" xfId="402"/>
    <cellStyle name="40% - Cor4" xfId="192" builtinId="43" customBuiltin="1"/>
    <cellStyle name="40% - Cor4 2" xfId="231"/>
    <cellStyle name="40% - Cor4 2 2" xfId="306"/>
    <cellStyle name="40% - Cor4 2 2 2" xfId="462"/>
    <cellStyle name="40% - Cor4 2 3" xfId="391"/>
    <cellStyle name="40% - Cor4 2 3 2" xfId="546"/>
    <cellStyle name="40% - Cor4 2 4" xfId="417"/>
    <cellStyle name="40% - Cor4 3" xfId="340"/>
    <cellStyle name="40% - Cor4 3 2" xfId="495"/>
    <cellStyle name="40% - Cor4 4" xfId="293"/>
    <cellStyle name="40% - Cor4 4 2" xfId="449"/>
    <cellStyle name="40% - Cor4 5" xfId="378"/>
    <cellStyle name="40% - Cor4 5 2" xfId="533"/>
    <cellStyle name="40% - Cor4 6" xfId="404"/>
    <cellStyle name="40% - Cor5" xfId="196" builtinId="47" customBuiltin="1"/>
    <cellStyle name="40% - Cor5 2" xfId="233"/>
    <cellStyle name="40% - Cor5 2 2" xfId="308"/>
    <cellStyle name="40% - Cor5 2 2 2" xfId="464"/>
    <cellStyle name="40% - Cor5 2 3" xfId="393"/>
    <cellStyle name="40% - Cor5 2 3 2" xfId="548"/>
    <cellStyle name="40% - Cor5 2 4" xfId="419"/>
    <cellStyle name="40% - Cor5 3" xfId="342"/>
    <cellStyle name="40% - Cor5 3 2" xfId="497"/>
    <cellStyle name="40% - Cor5 4" xfId="295"/>
    <cellStyle name="40% - Cor5 4 2" xfId="451"/>
    <cellStyle name="40% - Cor5 5" xfId="380"/>
    <cellStyle name="40% - Cor5 5 2" xfId="535"/>
    <cellStyle name="40% - Cor5 6" xfId="406"/>
    <cellStyle name="40% - Cor6" xfId="200" builtinId="51" customBuiltin="1"/>
    <cellStyle name="40% - Cor6 2" xfId="235"/>
    <cellStyle name="40% - Cor6 2 2" xfId="310"/>
    <cellStyle name="40% - Cor6 2 2 2" xfId="466"/>
    <cellStyle name="40% - Cor6 2 3" xfId="395"/>
    <cellStyle name="40% - Cor6 2 3 2" xfId="550"/>
    <cellStyle name="40% - Cor6 2 4" xfId="421"/>
    <cellStyle name="40% - Cor6 3" xfId="344"/>
    <cellStyle name="40% - Cor6 3 2" xfId="499"/>
    <cellStyle name="40% - Cor6 4" xfId="297"/>
    <cellStyle name="40% - Cor6 4 2" xfId="453"/>
    <cellStyle name="40% - Cor6 5" xfId="382"/>
    <cellStyle name="40% - Cor6 5 2" xfId="537"/>
    <cellStyle name="40% - Cor6 6" xfId="408"/>
    <cellStyle name="60% - Cor1" xfId="181" builtinId="32" customBuiltin="1"/>
    <cellStyle name="60% - Cor2" xfId="185" builtinId="36" customBuiltin="1"/>
    <cellStyle name="60% - Cor3" xfId="189" builtinId="40" customBuiltin="1"/>
    <cellStyle name="60% - Cor4" xfId="193" builtinId="44" customBuiltin="1"/>
    <cellStyle name="60% - Cor5" xfId="197" builtinId="48" customBuiltin="1"/>
    <cellStyle name="60% - Cor6" xfId="201" builtinId="52" customBuiltin="1"/>
    <cellStyle name="Cabeçalho 1" xfId="163" builtinId="16" customBuiltin="1"/>
    <cellStyle name="Cabeçalho 2" xfId="164" builtinId="17" customBuiltin="1"/>
    <cellStyle name="Cabeçalho 3" xfId="165" builtinId="18" customBuiltin="1"/>
    <cellStyle name="Cabeçalho 4" xfId="166" builtinId="19" customBuiltin="1"/>
    <cellStyle name="Cálculo" xfId="172" builtinId="22" customBuiltin="1"/>
    <cellStyle name="Campo da tabela dinâmica" xfId="31"/>
    <cellStyle name="Campo da tabela dinâmica 2" xfId="32"/>
    <cellStyle name="Campo da tabela dinâmica 2 2" xfId="113"/>
    <cellStyle name="Campo da tabela dinâmica 2 2 2" xfId="272"/>
    <cellStyle name="Campo da tabela dinâmica 2 2 3" xfId="205"/>
    <cellStyle name="Campo da tabela dinâmica 2 3" xfId="253"/>
    <cellStyle name="Campo da tabela dinâmica 3" xfId="112"/>
    <cellStyle name="Campo da tabela dinâmica 3 2" xfId="271"/>
    <cellStyle name="Campo da tabela dinâmica 3 3" xfId="204"/>
    <cellStyle name="Campo da tabela dinâmica 4" xfId="252"/>
    <cellStyle name="Canto da tabela dinâmica" xfId="33"/>
    <cellStyle name="Canto da tabela dinâmica 2" xfId="34"/>
    <cellStyle name="Canto da tabela dinâmica 2 2" xfId="115"/>
    <cellStyle name="Canto da tabela dinâmica 2 2 2" xfId="274"/>
    <cellStyle name="Canto da tabela dinâmica 2 2 3" xfId="207"/>
    <cellStyle name="Canto da tabela dinâmica 2 3" xfId="255"/>
    <cellStyle name="Canto da tabela dinâmica 3" xfId="114"/>
    <cellStyle name="Canto da tabela dinâmica 3 2" xfId="273"/>
    <cellStyle name="Canto da tabela dinâmica 3 3" xfId="206"/>
    <cellStyle name="Canto da tabela dinâmica 4" xfId="254"/>
    <cellStyle name="Categoria da tabela dinâmica" xfId="35"/>
    <cellStyle name="Categoria da tabela dinâmica 2" xfId="36"/>
    <cellStyle name="Categoria da tabela dinâmica 2 2" xfId="117"/>
    <cellStyle name="Categoria da tabela dinâmica 2 2 2" xfId="276"/>
    <cellStyle name="Categoria da tabela dinâmica 2 2 3" xfId="209"/>
    <cellStyle name="Categoria da tabela dinâmica 2 3" xfId="257"/>
    <cellStyle name="Categoria da tabela dinâmica 3" xfId="116"/>
    <cellStyle name="Categoria da tabela dinâmica 3 2" xfId="275"/>
    <cellStyle name="Categoria da tabela dinâmica 3 3" xfId="208"/>
    <cellStyle name="Categoria da tabela dinâmica 4" xfId="256"/>
    <cellStyle name="Célula Ligada" xfId="173" builtinId="24" customBuiltin="1"/>
    <cellStyle name="Comma  - Style1" xfId="37"/>
    <cellStyle name="Comma  - Style1 2" xfId="38"/>
    <cellStyle name="Comma  - Style2" xfId="39"/>
    <cellStyle name="Comma  - Style2 2" xfId="40"/>
    <cellStyle name="Comma  - Style3" xfId="41"/>
    <cellStyle name="Comma  - Style3 2" xfId="42"/>
    <cellStyle name="Comma  - Style4" xfId="43"/>
    <cellStyle name="Comma  - Style4 2" xfId="44"/>
    <cellStyle name="Comma  - Style5" xfId="45"/>
    <cellStyle name="Comma  - Style5 2" xfId="46"/>
    <cellStyle name="Comma  - Style6" xfId="47"/>
    <cellStyle name="Comma  - Style6 2" xfId="48"/>
    <cellStyle name="Comma  - Style7" xfId="49"/>
    <cellStyle name="Comma  - Style7 2" xfId="50"/>
    <cellStyle name="Comma  - Style8" xfId="51"/>
    <cellStyle name="Comma  - Style8 2" xfId="52"/>
    <cellStyle name="Comma [0]_99f&amp;spsn" xfId="53"/>
    <cellStyle name="Comma_99f&amp;spsn" xfId="54"/>
    <cellStyle name="Cor1" xfId="178" builtinId="29" customBuiltin="1"/>
    <cellStyle name="Cor2" xfId="182" builtinId="33" customBuiltin="1"/>
    <cellStyle name="Cor3" xfId="186" builtinId="37" customBuiltin="1"/>
    <cellStyle name="Cor4" xfId="190" builtinId="41" customBuiltin="1"/>
    <cellStyle name="Cor5" xfId="194" builtinId="45" customBuiltin="1"/>
    <cellStyle name="Cor6" xfId="198" builtinId="49" customBuiltin="1"/>
    <cellStyle name="Correcto" xfId="167" builtinId="26" customBuiltin="1"/>
    <cellStyle name="Currency [0]_99f&amp;spsn" xfId="55"/>
    <cellStyle name="Currency_99f&amp;spsn" xfId="56"/>
    <cellStyle name="Entrada" xfId="170" builtinId="20" customBuiltin="1"/>
    <cellStyle name="Excel Built-in Good" xfId="57"/>
    <cellStyle name="Excel Built-in Good 2" xfId="118"/>
    <cellStyle name="Excel Built-in Good 3" xfId="258"/>
    <cellStyle name="Excel Built-in Normal" xfId="5"/>
    <cellStyle name="Excel Built-in Normal 1" xfId="6"/>
    <cellStyle name="Excel Built-in Normal 1 2" xfId="7"/>
    <cellStyle name="Excel Built-in Normal 1 2 2" xfId="94"/>
    <cellStyle name="Excel Built-in Normal 1 3" xfId="93"/>
    <cellStyle name="Excel Built-in Normal 2" xfId="8"/>
    <cellStyle name="Excel Built-in Normal 2 2" xfId="95"/>
    <cellStyle name="Excel Built-in Normal 3" xfId="92"/>
    <cellStyle name="Excel Built-in Normal 4" xfId="144"/>
    <cellStyle name="Excel Built-in Percent" xfId="9"/>
    <cellStyle name="Excel Built-in Percent 1" xfId="10"/>
    <cellStyle name="Excel Built-in Percent 1 2" xfId="11"/>
    <cellStyle name="Excel Built-in Percent 2" xfId="12"/>
    <cellStyle name="Excel Built-in Percent 2 2" xfId="97"/>
    <cellStyle name="Excel Built-in Percent 3" xfId="96"/>
    <cellStyle name="Excel Built-in Percent 4" xfId="239"/>
    <cellStyle name="Excel_BuiltIn_Percent" xfId="145"/>
    <cellStyle name="Heading" xfId="13"/>
    <cellStyle name="Heading 1" xfId="14"/>
    <cellStyle name="Heading 1 2" xfId="15"/>
    <cellStyle name="Heading 1 2 2" xfId="100"/>
    <cellStyle name="Heading 1 2 3" xfId="242"/>
    <cellStyle name="Heading 1 2 4" xfId="210"/>
    <cellStyle name="Heading 1 3" xfId="58"/>
    <cellStyle name="Heading 1 3 2" xfId="119"/>
    <cellStyle name="Heading 1 4" xfId="99"/>
    <cellStyle name="Heading 1 5" xfId="241"/>
    <cellStyle name="Heading 2" xfId="16"/>
    <cellStyle name="Heading 2 2" xfId="101"/>
    <cellStyle name="Heading 3" xfId="98"/>
    <cellStyle name="Heading 4" xfId="240"/>
    <cellStyle name="Heading1" xfId="17"/>
    <cellStyle name="Heading1 1" xfId="18"/>
    <cellStyle name="Heading1 1 2" xfId="19"/>
    <cellStyle name="Heading1 1 2 2" xfId="104"/>
    <cellStyle name="Heading1 1 2 3" xfId="245"/>
    <cellStyle name="Heading1 1 2 4" xfId="211"/>
    <cellStyle name="Heading1 1 3" xfId="59"/>
    <cellStyle name="Heading1 1 3 2" xfId="120"/>
    <cellStyle name="Heading1 1 4" xfId="103"/>
    <cellStyle name="Heading1 1 5" xfId="244"/>
    <cellStyle name="Heading1 2" xfId="20"/>
    <cellStyle name="Heading1 2 2" xfId="105"/>
    <cellStyle name="Heading1 3" xfId="102"/>
    <cellStyle name="Heading1 4" xfId="243"/>
    <cellStyle name="Hyperlink_VERA" xfId="60"/>
    <cellStyle name="Incorrecto" xfId="168" builtinId="27" customBuiltin="1"/>
    <cellStyle name="Neutro" xfId="169" builtinId="28" customBuiltin="1"/>
    <cellStyle name="Normal" xfId="0" builtinId="0"/>
    <cellStyle name="Normal - Style1" xfId="61"/>
    <cellStyle name="Normal - Style1 2" xfId="62"/>
    <cellStyle name="Normal 10" xfId="77"/>
    <cellStyle name="Normal 10 2" xfId="153"/>
    <cellStyle name="Normal 10 2 2" xfId="363"/>
    <cellStyle name="Normal 10 2 2 2" xfId="518"/>
    <cellStyle name="Normal 10 2 3" xfId="325"/>
    <cellStyle name="Normal 10 2 3 2" xfId="481"/>
    <cellStyle name="Normal 10 2 4" xfId="436"/>
    <cellStyle name="Normal 10 3" xfId="146"/>
    <cellStyle name="Normal 10 3 2" xfId="358"/>
    <cellStyle name="Normal 10 3 2 2" xfId="513"/>
    <cellStyle name="Normal 10 3 3" xfId="322"/>
    <cellStyle name="Normal 10 3 3 2" xfId="478"/>
    <cellStyle name="Normal 10 3 4" xfId="433"/>
    <cellStyle name="Normal 11" xfId="78"/>
    <cellStyle name="Normal 12" xfId="79"/>
    <cellStyle name="Normal 13" xfId="80"/>
    <cellStyle name="Normal 14" xfId="82"/>
    <cellStyle name="Normal 15" xfId="83"/>
    <cellStyle name="Normal 16" xfId="84"/>
    <cellStyle name="Normal 17" xfId="85"/>
    <cellStyle name="Normal 18" xfId="86"/>
    <cellStyle name="Normal 19" xfId="87"/>
    <cellStyle name="Normal 2" xfId="63"/>
    <cellStyle name="Normal 2 2" xfId="64"/>
    <cellStyle name="Normal 2 2 2" xfId="122"/>
    <cellStyle name="Normal 2 2 2 2" xfId="161"/>
    <cellStyle name="Normal 2 2 2 3" xfId="553"/>
    <cellStyle name="Normal 2 2 2 4" xfId="213"/>
    <cellStyle name="Normal 2 2 3" xfId="260"/>
    <cellStyle name="Normal 2 3" xfId="121"/>
    <cellStyle name="Normal 2 3 2" xfId="148"/>
    <cellStyle name="Normal 2 3 3" xfId="277"/>
    <cellStyle name="Normal 2 3 4" xfId="212"/>
    <cellStyle name="Normal 2 4" xfId="259"/>
    <cellStyle name="Normal 2 5" xfId="396"/>
    <cellStyle name="Normal 2 5 2" xfId="551"/>
    <cellStyle name="Normal 20" xfId="88"/>
    <cellStyle name="Normal 21" xfId="89"/>
    <cellStyle name="Normal 22" xfId="90"/>
    <cellStyle name="Normal 23" xfId="91"/>
    <cellStyle name="Normal 24" xfId="133"/>
    <cellStyle name="Normal 25" xfId="134"/>
    <cellStyle name="Normal 26" xfId="135"/>
    <cellStyle name="Normal 27" xfId="136"/>
    <cellStyle name="Normal 28" xfId="137"/>
    <cellStyle name="Normal 29" xfId="138"/>
    <cellStyle name="Normal 3" xfId="65"/>
    <cellStyle name="Normal 3 2" xfId="123"/>
    <cellStyle name="Normal 3 2 2" xfId="278"/>
    <cellStyle name="Normal 3 2 3" xfId="214"/>
    <cellStyle name="Normal 3 3" xfId="261"/>
    <cellStyle name="Normal 30" xfId="139"/>
    <cellStyle name="Normal 31" xfId="140"/>
    <cellStyle name="Normal 32" xfId="141"/>
    <cellStyle name="Normal 33" xfId="2"/>
    <cellStyle name="Normal 33 2" xfId="347"/>
    <cellStyle name="Normal 33 2 2" xfId="502"/>
    <cellStyle name="Normal 33 3" xfId="314"/>
    <cellStyle name="Normal 33 3 2" xfId="470"/>
    <cellStyle name="Normal 33 4" xfId="425"/>
    <cellStyle name="Normal 34" xfId="142"/>
    <cellStyle name="Normal 35" xfId="157"/>
    <cellStyle name="Normal 35 2" xfId="312"/>
    <cellStyle name="Normal 35 2 2" xfId="468"/>
    <cellStyle name="Normal 35 3" xfId="423"/>
    <cellStyle name="Normal 36" xfId="156"/>
    <cellStyle name="Normal 36 2" xfId="315"/>
    <cellStyle name="Normal 36 2 2" xfId="471"/>
    <cellStyle name="Normal 36 3" xfId="426"/>
    <cellStyle name="Normal 37" xfId="158"/>
    <cellStyle name="Normal 37 2" xfId="330"/>
    <cellStyle name="Normal 37 2 2" xfId="486"/>
    <cellStyle name="Normal 37 3" xfId="441"/>
    <cellStyle name="Normal 38" xfId="159"/>
    <cellStyle name="Normal 38 2" xfId="328"/>
    <cellStyle name="Normal 38 2 2" xfId="484"/>
    <cellStyle name="Normal 38 3" xfId="439"/>
    <cellStyle name="Normal 39" xfId="160"/>
    <cellStyle name="Normal 39 2" xfId="329"/>
    <cellStyle name="Normal 39 2 2" xfId="485"/>
    <cellStyle name="Normal 39 3" xfId="440"/>
    <cellStyle name="Normal 4" xfId="30"/>
    <cellStyle name="Normal 4 2" xfId="111"/>
    <cellStyle name="Normal 4 3" xfId="251"/>
    <cellStyle name="Normal 4 4" xfId="552"/>
    <cellStyle name="Normal 40" xfId="331"/>
    <cellStyle name="Normal 41" xfId="345"/>
    <cellStyle name="Normal 41 2" xfId="500"/>
    <cellStyle name="Normal 42" xfId="360"/>
    <cellStyle name="Normal 42 2" xfId="515"/>
    <cellStyle name="Normal 43" xfId="366"/>
    <cellStyle name="Normal 43 2" xfId="521"/>
    <cellStyle name="Normal 44" xfId="361"/>
    <cellStyle name="Normal 44 2" xfId="516"/>
    <cellStyle name="Normal 45" xfId="354"/>
    <cellStyle name="Normal 45 2" xfId="509"/>
    <cellStyle name="Normal 46" xfId="353"/>
    <cellStyle name="Normal 46 2" xfId="508"/>
    <cellStyle name="Normal 47" xfId="368"/>
    <cellStyle name="Normal 47 2" xfId="523"/>
    <cellStyle name="Normal 48" xfId="348"/>
    <cellStyle name="Normal 48 2" xfId="503"/>
    <cellStyle name="Normal 49" xfId="367"/>
    <cellStyle name="Normal 49 2" xfId="522"/>
    <cellStyle name="Normal 5" xfId="29"/>
    <cellStyle name="Normal 5 2" xfId="110"/>
    <cellStyle name="Normal 5 2 2" xfId="355"/>
    <cellStyle name="Normal 5 2 2 2" xfId="510"/>
    <cellStyle name="Normal 5 2 3" xfId="319"/>
    <cellStyle name="Normal 5 2 3 2" xfId="475"/>
    <cellStyle name="Normal 5 2 4" xfId="430"/>
    <cellStyle name="Normal 5 3" xfId="150"/>
    <cellStyle name="Normal 5 4" xfId="250"/>
    <cellStyle name="Normal 5 4 2" xfId="316"/>
    <cellStyle name="Normal 5 4 2 2" xfId="472"/>
    <cellStyle name="Normal 5 4 3" xfId="427"/>
    <cellStyle name="Normal 5 5" xfId="349"/>
    <cellStyle name="Normal 5 5 2" xfId="504"/>
    <cellStyle name="Normal 5 6" xfId="559"/>
    <cellStyle name="Normal 5 7" xfId="564"/>
    <cellStyle name="Normal 5 8" xfId="569"/>
    <cellStyle name="Normal 50" xfId="350"/>
    <cellStyle name="Normal 50 2" xfId="505"/>
    <cellStyle name="Normal 51" xfId="369"/>
    <cellStyle name="Normal 51 2" xfId="524"/>
    <cellStyle name="Normal 52" xfId="202"/>
    <cellStyle name="Normal 53" xfId="285"/>
    <cellStyle name="Normal 54" xfId="571"/>
    <cellStyle name="Normal 55" xfId="270"/>
    <cellStyle name="Normal 56" xfId="203"/>
    <cellStyle name="Normal 57" xfId="574"/>
    <cellStyle name="Normal 58" xfId="573"/>
    <cellStyle name="Normal 59" xfId="572"/>
    <cellStyle name="Normal 6" xfId="66"/>
    <cellStyle name="Normal 6 2" xfId="124"/>
    <cellStyle name="Normal 6 2 2" xfId="356"/>
    <cellStyle name="Normal 6 2 2 2" xfId="511"/>
    <cellStyle name="Normal 6 2 3" xfId="320"/>
    <cellStyle name="Normal 6 2 3 2" xfId="476"/>
    <cellStyle name="Normal 6 2 4" xfId="431"/>
    <cellStyle name="Normal 6 3" xfId="151"/>
    <cellStyle name="Normal 6 4" xfId="262"/>
    <cellStyle name="Normal 6 4 2" xfId="317"/>
    <cellStyle name="Normal 6 4 2 2" xfId="473"/>
    <cellStyle name="Normal 6 4 3" xfId="428"/>
    <cellStyle name="Normal 6 5" xfId="351"/>
    <cellStyle name="Normal 6 5 2" xfId="506"/>
    <cellStyle name="Normal 6 6" xfId="560"/>
    <cellStyle name="Normal 6 7" xfId="565"/>
    <cellStyle name="Normal 6 8" xfId="570"/>
    <cellStyle name="Normal 6 9" xfId="222"/>
    <cellStyle name="Normal 7" xfId="75"/>
    <cellStyle name="Normal 7 2" xfId="132"/>
    <cellStyle name="Normal 7 2 2" xfId="357"/>
    <cellStyle name="Normal 7 2 2 2" xfId="512"/>
    <cellStyle name="Normal 7 2 3" xfId="321"/>
    <cellStyle name="Normal 7 2 3 2" xfId="477"/>
    <cellStyle name="Normal 7 2 4" xfId="432"/>
    <cellStyle name="Normal 7 3" xfId="269"/>
    <cellStyle name="Normal 7 3 2" xfId="318"/>
    <cellStyle name="Normal 7 3 2 2" xfId="474"/>
    <cellStyle name="Normal 7 3 3" xfId="429"/>
    <cellStyle name="Normal 7 4" xfId="352"/>
    <cellStyle name="Normal 7 4 2" xfId="507"/>
    <cellStyle name="Normal 7 5" xfId="237"/>
    <cellStyle name="Normal 8" xfId="3"/>
    <cellStyle name="Normal 8 2" xfId="154"/>
    <cellStyle name="Normal 8 2 2" xfId="364"/>
    <cellStyle name="Normal 8 2 2 2" xfId="519"/>
    <cellStyle name="Normal 8 2 3" xfId="326"/>
    <cellStyle name="Normal 8 2 3 2" xfId="482"/>
    <cellStyle name="Normal 8 2 4" xfId="437"/>
    <cellStyle name="Normal 8 3" xfId="147"/>
    <cellStyle name="Normal 8 3 2" xfId="359"/>
    <cellStyle name="Normal 8 3 2 2" xfId="514"/>
    <cellStyle name="Normal 8 3 3" xfId="323"/>
    <cellStyle name="Normal 8 3 3 2" xfId="479"/>
    <cellStyle name="Normal 8 3 4" xfId="434"/>
    <cellStyle name="Normal 8 4" xfId="556"/>
    <cellStyle name="Normal 8 5" xfId="562"/>
    <cellStyle name="Normal 8 6" xfId="567"/>
    <cellStyle name="Normal 9" xfId="76"/>
    <cellStyle name="Normal 9 2" xfId="155"/>
    <cellStyle name="Normal 9 2 2" xfId="365"/>
    <cellStyle name="Normal 9 2 2 2" xfId="520"/>
    <cellStyle name="Normal 9 2 3" xfId="327"/>
    <cellStyle name="Normal 9 2 3 2" xfId="483"/>
    <cellStyle name="Normal 9 2 4" xfId="438"/>
    <cellStyle name="Normal 9 3" xfId="152"/>
    <cellStyle name="Normal 9 3 2" xfId="362"/>
    <cellStyle name="Normal 9 3 2 2" xfId="517"/>
    <cellStyle name="Normal 9 3 3" xfId="324"/>
    <cellStyle name="Normal 9 3 3 2" xfId="480"/>
    <cellStyle name="Normal 9 3 4" xfId="435"/>
    <cellStyle name="Nota 2" xfId="223"/>
    <cellStyle name="Nota 2 2" xfId="236"/>
    <cellStyle name="Nota 2 2 2" xfId="311"/>
    <cellStyle name="Nota 2 2 2 2" xfId="467"/>
    <cellStyle name="Nota 2 2 3" xfId="422"/>
    <cellStyle name="Nota 2 3" xfId="298"/>
    <cellStyle name="Nota 2 3 2" xfId="454"/>
    <cellStyle name="Nota 2 4" xfId="383"/>
    <cellStyle name="Nota 2 4 2" xfId="538"/>
    <cellStyle name="Nota 2 5" xfId="409"/>
    <cellStyle name="Nota 3" xfId="332"/>
    <cellStyle name="Nota 3 2" xfId="487"/>
    <cellStyle name="Nota 4" xfId="370"/>
    <cellStyle name="Nota 4 2" xfId="525"/>
    <cellStyle name="Percentagem" xfId="1" builtinId="5"/>
    <cellStyle name="Percentagem 2" xfId="4"/>
    <cellStyle name="Percentagem 2 2" xfId="554"/>
    <cellStyle name="Percentagem 3" xfId="143"/>
    <cellStyle name="Percentagem 3 2" xfId="558"/>
    <cellStyle name="Percentagem 3 2 2" xfId="563"/>
    <cellStyle name="Percentagem 3 2 3" xfId="568"/>
    <cellStyle name="Percentagem 3 3" xfId="555"/>
    <cellStyle name="Percentagem 3 4" xfId="561"/>
    <cellStyle name="Percentagem 3 5" xfId="566"/>
    <cellStyle name="Percentagem 4" xfId="238"/>
    <cellStyle name="Percentagem 4 2" xfId="313"/>
    <cellStyle name="Percentagem 4 2 2" xfId="469"/>
    <cellStyle name="Percentagem 4 3" xfId="424"/>
    <cellStyle name="Percentagem 4 4" xfId="557"/>
    <cellStyle name="Percentagem 5" xfId="346"/>
    <cellStyle name="Percentagem 5 2" xfId="501"/>
    <cellStyle name="Result" xfId="21"/>
    <cellStyle name="Result 1" xfId="22"/>
    <cellStyle name="Result 1 2" xfId="23"/>
    <cellStyle name="Result 1 2 2" xfId="108"/>
    <cellStyle name="Result 1 2 3" xfId="248"/>
    <cellStyle name="Result 1 2 4" xfId="215"/>
    <cellStyle name="Result 1 3" xfId="67"/>
    <cellStyle name="Result 1 3 2" xfId="125"/>
    <cellStyle name="Result 1 4" xfId="107"/>
    <cellStyle name="Result 1 5" xfId="247"/>
    <cellStyle name="Result 2" xfId="24"/>
    <cellStyle name="Result 2 2" xfId="109"/>
    <cellStyle name="Result 3" xfId="106"/>
    <cellStyle name="Result 4" xfId="246"/>
    <cellStyle name="Result2" xfId="25"/>
    <cellStyle name="Result2 1" xfId="26"/>
    <cellStyle name="Result2 1 2" xfId="27"/>
    <cellStyle name="Result2 1 3" xfId="68"/>
    <cellStyle name="Result2 1 4" xfId="249"/>
    <cellStyle name="Result2 2" xfId="28"/>
    <cellStyle name="Resultado da tabela dinâmica" xfId="69"/>
    <cellStyle name="Resultado da tabela dinâmica 2" xfId="70"/>
    <cellStyle name="Resultado da tabela dinâmica 2 2" xfId="127"/>
    <cellStyle name="Resultado da tabela dinâmica 2 2 2" xfId="280"/>
    <cellStyle name="Resultado da tabela dinâmica 2 2 3" xfId="217"/>
    <cellStyle name="Resultado da tabela dinâmica 2 3" xfId="264"/>
    <cellStyle name="Resultado da tabela dinâmica 3" xfId="126"/>
    <cellStyle name="Resultado da tabela dinâmica 3 2" xfId="279"/>
    <cellStyle name="Resultado da tabela dinâmica 3 3" xfId="216"/>
    <cellStyle name="Resultado da tabela dinâmica 4" xfId="263"/>
    <cellStyle name="Saída" xfId="171" builtinId="21" customBuiltin="1"/>
    <cellStyle name="Texto de Aviso" xfId="175" builtinId="11" customBuiltin="1"/>
    <cellStyle name="Texto Explicativo" xfId="176" builtinId="53" customBuiltin="1"/>
    <cellStyle name="Título" xfId="162" builtinId="15" customBuiltin="1"/>
    <cellStyle name="Título da Tabela dinâmica" xfId="71"/>
    <cellStyle name="Título da Tabela dinâmica 2" xfId="72"/>
    <cellStyle name="Título da Tabela dinâmica 2 2" xfId="129"/>
    <cellStyle name="Título da Tabela dinâmica 2 2 2" xfId="282"/>
    <cellStyle name="Título da Tabela dinâmica 2 2 3" xfId="219"/>
    <cellStyle name="Título da Tabela dinâmica 2 3" xfId="266"/>
    <cellStyle name="Título da Tabela dinâmica 3" xfId="128"/>
    <cellStyle name="Título da Tabela dinâmica 3 2" xfId="281"/>
    <cellStyle name="Título da Tabela dinâmica 3 3" xfId="218"/>
    <cellStyle name="Título da Tabela dinâmica 4" xfId="265"/>
    <cellStyle name="Total" xfId="177" builtinId="25" customBuiltin="1"/>
    <cellStyle name="Valor da tabela dinâmica" xfId="73"/>
    <cellStyle name="Valor da tabela dinâmica 2" xfId="74"/>
    <cellStyle name="Valor da tabela dinâmica 2 2" xfId="131"/>
    <cellStyle name="Valor da tabela dinâmica 2 2 2" xfId="284"/>
    <cellStyle name="Valor da tabela dinâmica 2 2 3" xfId="221"/>
    <cellStyle name="Valor da tabela dinâmica 2 3" xfId="268"/>
    <cellStyle name="Valor da tabela dinâmica 3" xfId="130"/>
    <cellStyle name="Valor da tabela dinâmica 3 2" xfId="283"/>
    <cellStyle name="Valor da tabela dinâmica 3 3" xfId="220"/>
    <cellStyle name="Valor da tabela dinâmica 4" xfId="267"/>
    <cellStyle name="Verificar Célula" xfId="174" builtinId="23" customBuiltin="1"/>
    <cellStyle name="Vírgula" xfId="575" builtinId="3"/>
    <cellStyle name="Vírgula 2" xfId="81"/>
    <cellStyle name="Vírgula 2 2" xfId="149"/>
  </cellStyles>
  <dxfs count="7272"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33CC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33CC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33CC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</dxfs>
  <tableStyles count="0" defaultTableStyle="TableStyleMedium2" defaultPivotStyle="PivotStyleMedium9"/>
  <colors>
    <mruColors>
      <color rgb="FF0033CC"/>
      <color rgb="FF0000CC"/>
      <color rgb="FF0066FF"/>
      <color rgb="FF66FFFF"/>
      <color rgb="FFFDFCDF"/>
      <color rgb="FFFCFAD8"/>
      <color rgb="FFFFFFCC"/>
      <color rgb="FFDABE14"/>
      <color rgb="FF0099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L1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T1'!$G$12:$I$12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35E-4B97-BC16-10B0E714697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35E-4B97-BC16-10B0E714697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35E-4B97-BC16-10B0E714697B}"/>
              </c:ext>
            </c:extLst>
          </c:dPt>
          <c:dLbls>
            <c:dLbl>
              <c:idx val="1"/>
              <c:layout>
                <c:manualLayout>
                  <c:x val="-7.2473722527967438E-2"/>
                  <c:y val="-8.66666666666666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5E-4B97-BC16-10B0E714697B}"/>
                </c:ext>
              </c:extLst>
            </c:dLbl>
            <c:dLbl>
              <c:idx val="2"/>
              <c:layout>
                <c:manualLayout>
                  <c:x val="8.7000036029832764E-2"/>
                  <c:y val="-8.666719160104986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5E-4B97-BC16-10B0E714697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T1'!$G$12:$I$12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T1'!$G$21:$I$21</c:f>
              <c:numCache>
                <c:formatCode>General</c:formatCode>
                <c:ptCount val="3"/>
                <c:pt idx="0">
                  <c:v>1410</c:v>
                </c:pt>
                <c:pt idx="1">
                  <c:v>970</c:v>
                </c:pt>
                <c:pt idx="2" formatCode="0">
                  <c:v>120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35E-4B97-BC16-10B0E714697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L2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T1'!$G$25:$I$25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EB6-4D05-900C-9B7202307F6C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EB6-4D05-900C-9B7202307F6C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EB6-4D05-900C-9B7202307F6C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6-4D05-900C-9B7202307F6C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EB6-4D05-900C-9B7202307F6C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T1'!$G$25:$I$25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T1'!$G$34:$I$34</c:f>
              <c:numCache>
                <c:formatCode>General</c:formatCode>
                <c:ptCount val="3"/>
                <c:pt idx="0">
                  <c:v>6168</c:v>
                </c:pt>
                <c:pt idx="1">
                  <c:v>280</c:v>
                </c:pt>
                <c:pt idx="2" formatCode="0">
                  <c:v>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EB6-4D05-900C-9B7202307F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L4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T1'!$G$51:$I$51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912-4B1C-A665-ED3C8FAC60A4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912-4B1C-A665-ED3C8FAC60A4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912-4B1C-A665-ED3C8FAC60A4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12-4B1C-A665-ED3C8FAC60A4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12-4B1C-A665-ED3C8FAC60A4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T1'!$G$25:$I$25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T1'!$G$60:$I$60</c:f>
              <c:numCache>
                <c:formatCode>General</c:formatCode>
                <c:ptCount val="3"/>
                <c:pt idx="0">
                  <c:v>6456</c:v>
                </c:pt>
                <c:pt idx="1">
                  <c:v>700</c:v>
                </c:pt>
                <c:pt idx="2">
                  <c:v>80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912-4B1C-A665-ED3C8FAC60A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L5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T1'!$G$64:$I$64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8D7-4EC4-88A1-1E0B9F64FE1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8D7-4EC4-88A1-1E0B9F64FE1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8D7-4EC4-88A1-1E0B9F64FE15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D7-4EC4-88A1-1E0B9F64FE15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8D7-4EC4-88A1-1E0B9F64FE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T1'!$G$25:$I$25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T1'!$G$73:$I$73</c:f>
              <c:numCache>
                <c:formatCode>General</c:formatCode>
                <c:ptCount val="3"/>
                <c:pt idx="0">
                  <c:v>6264</c:v>
                </c:pt>
                <c:pt idx="1">
                  <c:v>520</c:v>
                </c:pt>
                <c:pt idx="2">
                  <c:v>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8D7-4EC4-88A1-1E0B9F64FE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output global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'02-09 T1'!$G$116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val>
            <c:numRef>
              <c:f>'02-09 T1'!$G$117:$G$124</c:f>
              <c:numCache>
                <c:formatCode>General</c:formatCode>
                <c:ptCount val="8"/>
                <c:pt idx="0">
                  <c:v>6304</c:v>
                </c:pt>
                <c:pt idx="1">
                  <c:v>6456</c:v>
                </c:pt>
                <c:pt idx="2">
                  <c:v>6409</c:v>
                </c:pt>
                <c:pt idx="3">
                  <c:v>5864</c:v>
                </c:pt>
                <c:pt idx="4">
                  <c:v>6080</c:v>
                </c:pt>
                <c:pt idx="5">
                  <c:v>6214</c:v>
                </c:pt>
                <c:pt idx="6">
                  <c:v>6450</c:v>
                </c:pt>
                <c:pt idx="7">
                  <c:v>5325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6BA-40DB-93C7-EF27A3382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axId val="108254720"/>
        <c:axId val="108256256"/>
      </c:barChart>
      <c:catAx>
        <c:axId val="108254720"/>
        <c:scaling>
          <c:orientation val="minMax"/>
        </c:scaling>
        <c:delete val="0"/>
        <c:axPos val="b"/>
        <c:majorTickMark val="out"/>
        <c:minorTickMark val="none"/>
        <c:tickLblPos val="nextTo"/>
        <c:crossAx val="108256256"/>
        <c:crosses val="autoZero"/>
        <c:auto val="1"/>
        <c:lblAlgn val="ctr"/>
        <c:lblOffset val="100"/>
        <c:noMultiLvlLbl val="0"/>
      </c:catAx>
      <c:valAx>
        <c:axId val="108256256"/>
        <c:scaling>
          <c:orientation val="minMax"/>
          <c:max val="8500"/>
          <c:min val="3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2547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 qualidade</a:t>
            </a:r>
            <a:r>
              <a:rPr lang="en-US" sz="1200" baseline="0"/>
              <a:t> global</a:t>
            </a:r>
            <a:endParaRPr lang="en-US" sz="12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'02-09 T1'!$H$116</c:f>
              <c:strCache>
                <c:ptCount val="1"/>
                <c:pt idx="0">
                  <c:v>% qld.</c:v>
                </c:pt>
              </c:strCache>
            </c:strRef>
          </c:tx>
          <c:invertIfNegative val="0"/>
          <c:val>
            <c:numRef>
              <c:f>'02-09 T1'!$H$117:$H$124</c:f>
              <c:numCache>
                <c:formatCode>0.0%</c:formatCode>
                <c:ptCount val="8"/>
                <c:pt idx="0">
                  <c:v>0.84470177664974622</c:v>
                </c:pt>
                <c:pt idx="1">
                  <c:v>0.87453531598513012</c:v>
                </c:pt>
                <c:pt idx="2">
                  <c:v>0.89717584646590731</c:v>
                </c:pt>
                <c:pt idx="3">
                  <c:v>0.89563437926330147</c:v>
                </c:pt>
                <c:pt idx="4">
                  <c:v>0.88190789473684206</c:v>
                </c:pt>
                <c:pt idx="5">
                  <c:v>0.87479884132603802</c:v>
                </c:pt>
                <c:pt idx="6">
                  <c:v>0.82077519379844965</c:v>
                </c:pt>
                <c:pt idx="7">
                  <c:v>0.82403755868544604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82-4E0A-BA2E-208157E55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axId val="108645376"/>
        <c:axId val="109032192"/>
      </c:barChart>
      <c:catAx>
        <c:axId val="1086453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9032192"/>
        <c:crosses val="autoZero"/>
        <c:auto val="1"/>
        <c:lblAlgn val="ctr"/>
        <c:lblOffset val="100"/>
        <c:noMultiLvlLbl val="0"/>
      </c:catAx>
      <c:valAx>
        <c:axId val="109032192"/>
        <c:scaling>
          <c:orientation val="minMax"/>
          <c:max val="1"/>
          <c:min val="0.60000000000000009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08645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pt-PT" sz="1200"/>
              <a:t>% qualidade global</a:t>
            </a:r>
          </a:p>
        </c:rich>
      </c:tx>
      <c:layout>
        <c:manualLayout>
          <c:xMode val="edge"/>
          <c:yMode val="edge"/>
          <c:x val="0.62453821687257238"/>
          <c:y val="5.527895924663919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095532302866577"/>
          <c:y val="7.0496632843971868E-2"/>
          <c:w val="0.55537369832718764"/>
          <c:h val="0.8817443776147782"/>
        </c:manualLayout>
      </c:layout>
      <c:doughnutChart>
        <c:varyColors val="1"/>
        <c:ser>
          <c:idx val="0"/>
          <c:order val="0"/>
          <c:tx>
            <c:strRef>
              <c:f>'02-09 T1'!$G$7:$I$7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3C6-4133-B89A-44C29333B161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3C6-4133-B89A-44C29333B161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3C6-4133-B89A-44C29333B161}"/>
              </c:ext>
            </c:extLst>
          </c:dPt>
          <c:dLbls>
            <c:dLbl>
              <c:idx val="1"/>
              <c:layout>
                <c:manualLayout>
                  <c:x val="-0.11704320762360075"/>
                  <c:y val="-0.1014814814814814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C6-4133-B89A-44C29333B161}"/>
                </c:ext>
              </c:extLst>
            </c:dLbl>
            <c:dLbl>
              <c:idx val="2"/>
              <c:layout>
                <c:manualLayout>
                  <c:x val="0.13455744266699565"/>
                  <c:y val="-8.31542087092653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3C6-4133-B89A-44C29333B16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T1'!$G$12:$I$12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T1'!$G$8:$I$8</c:f>
              <c:numCache>
                <c:formatCode>General</c:formatCode>
                <c:ptCount val="3"/>
                <c:pt idx="0">
                  <c:v>42453</c:v>
                </c:pt>
                <c:pt idx="1">
                  <c:v>4300</c:v>
                </c:pt>
                <c:pt idx="2" formatCode="0">
                  <c:v>2349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13C6-4133-B89A-44C29333B16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73908788090636179"/>
          <c:y val="0.1815246401245445"/>
          <c:w val="0.19513463374959447"/>
          <c:h val="0.58952833699562479"/>
        </c:manualLayout>
      </c:layout>
      <c:overlay val="0"/>
      <c:txPr>
        <a:bodyPr/>
        <a:lstStyle/>
        <a:p>
          <a:pPr>
            <a:defRPr sz="10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 sz="1400"/>
              <a:t>distribuição da embalagem (output)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5.2863098606077054E-2"/>
          <c:y val="0.2189006996412555"/>
          <c:w val="0.68013710620027679"/>
          <c:h val="0.59849939103762739"/>
        </c:manualLayout>
      </c:layout>
      <c:doughnutChart>
        <c:varyColors val="1"/>
        <c:ser>
          <c:idx val="0"/>
          <c:order val="0"/>
          <c:tx>
            <c:strRef>
              <c:f>'02-09 T1'!$AA$7:$AD$7</c:f>
              <c:strCache>
                <c:ptCount val="1"/>
                <c:pt idx="0">
                  <c:v>SETS (pçs) OS 1ª OS 2ª N-IKEA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5C7-4B1B-8256-BA6B597616DF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5C7-4B1B-8256-BA6B597616DF}"/>
              </c:ext>
            </c:extLst>
          </c:dPt>
          <c:dPt>
            <c:idx val="2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chemeClr val="accent5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5C7-4B1B-8256-BA6B597616DF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5C7-4B1B-8256-BA6B597616DF}"/>
              </c:ext>
            </c:extLst>
          </c:dPt>
          <c:dPt>
            <c:idx val="4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55C7-4B1B-8256-BA6B597616DF}"/>
              </c:ext>
            </c:extLst>
          </c:dPt>
          <c:dLbls>
            <c:dLbl>
              <c:idx val="0"/>
              <c:layout>
                <c:manualLayout>
                  <c:x val="9.8072371414015994E-2"/>
                  <c:y val="7.05708772771332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C7-4B1B-8256-BA6B597616DF}"/>
                </c:ext>
              </c:extLst>
            </c:dLbl>
            <c:dLbl>
              <c:idx val="1"/>
              <c:layout>
                <c:manualLayout>
                  <c:x val="-8.4486999410678068E-2"/>
                  <c:y val="2.86989157892104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C7-4B1B-8256-BA6B597616DF}"/>
                </c:ext>
              </c:extLst>
            </c:dLbl>
            <c:dLbl>
              <c:idx val="2"/>
              <c:layout>
                <c:manualLayout>
                  <c:x val="-8.5538050058700341E-2"/>
                  <c:y val="-7.13019248845804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C7-4B1B-8256-BA6B597616DF}"/>
                </c:ext>
              </c:extLst>
            </c:dLbl>
            <c:dLbl>
              <c:idx val="3"/>
              <c:layout>
                <c:manualLayout>
                  <c:x val="-2.3495123977059513E-2"/>
                  <c:y val="-8.86901445047069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C7-4B1B-8256-BA6B597616DF}"/>
                </c:ext>
              </c:extLst>
            </c:dLbl>
            <c:dLbl>
              <c:idx val="4"/>
              <c:layout>
                <c:manualLayout>
                  <c:x val="-2.884481512176941E-3"/>
                  <c:y val="-8.7507887823645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C7-4B1B-8256-BA6B597616D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T1'!$AA$7:$AD$7</c:f>
              <c:strCache>
                <c:ptCount val="4"/>
                <c:pt idx="0">
                  <c:v>SETS (pçs)</c:v>
                </c:pt>
                <c:pt idx="1">
                  <c:v>OS 1ª</c:v>
                </c:pt>
                <c:pt idx="2">
                  <c:v>OS 2ª</c:v>
                </c:pt>
                <c:pt idx="3">
                  <c:v>N-IKEA</c:v>
                </c:pt>
              </c:strCache>
            </c:strRef>
          </c:cat>
          <c:val>
            <c:numRef>
              <c:f>'02-09 T1'!$AA$8:$AD$8</c:f>
              <c:numCache>
                <c:formatCode>0</c:formatCode>
                <c:ptCount val="4"/>
                <c:pt idx="0" formatCode="General">
                  <c:v>34344</c:v>
                </c:pt>
                <c:pt idx="1">
                  <c:v>18394</c:v>
                </c:pt>
                <c:pt idx="2">
                  <c:v>792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5C7-4B1B-8256-BA6B597616D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77847442854331261"/>
          <c:y val="6.4078097132889492E-2"/>
          <c:w val="0.2028733069853739"/>
          <c:h val="0.38634765814711325"/>
        </c:manualLayout>
      </c:layout>
      <c:overlay val="0"/>
      <c:txPr>
        <a:bodyPr/>
        <a:lstStyle/>
        <a:p>
          <a:pPr>
            <a:defRPr sz="10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L3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9877187123317295"/>
          <c:y val="0.30971582061997821"/>
          <c:w val="0.55127785154966236"/>
          <c:h val="0.49449094581055314"/>
        </c:manualLayout>
      </c:layout>
      <c:doughnutChart>
        <c:varyColors val="1"/>
        <c:ser>
          <c:idx val="0"/>
          <c:order val="0"/>
          <c:tx>
            <c:strRef>
              <c:f>'02-09 T1'!$G$25:$I$25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A58-46D9-A437-30775B7729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A58-46D9-A437-30775B7729B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A58-46D9-A437-30775B7729BB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58-46D9-A437-30775B7729BB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58-46D9-A437-30775B7729B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T1'!$G$25:$I$25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T1'!$G$47:$I$47</c:f>
              <c:numCache>
                <c:formatCode>General</c:formatCode>
                <c:ptCount val="3"/>
                <c:pt idx="0">
                  <c:v>4554</c:v>
                </c:pt>
                <c:pt idx="1">
                  <c:v>1580</c:v>
                </c:pt>
                <c:pt idx="2" formatCode="0">
                  <c:v>303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A58-46D9-A437-30775B7729B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L7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T1'!$G$90:$I$90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912-4B1C-A665-ED3C8FAC60A4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912-4B1C-A665-ED3C8FAC60A4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912-4B1C-A665-ED3C8FAC60A4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12-4B1C-A665-ED3C8FAC60A4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12-4B1C-A665-ED3C8FAC60A4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T1'!$G$25:$I$25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T1'!$G$99:$I$99</c:f>
              <c:numCache>
                <c:formatCode>General</c:formatCode>
                <c:ptCount val="3"/>
                <c:pt idx="0">
                  <c:v>6233</c:v>
                </c:pt>
                <c:pt idx="1">
                  <c:v>0</c:v>
                </c:pt>
                <c:pt idx="2">
                  <c:v>467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912-4B1C-A665-ED3C8FAC60A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L8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T1'!$G$103:$I$103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8D7-4EC4-88A1-1E0B9F64FE1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8D7-4EC4-88A1-1E0B9F64FE1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8D7-4EC4-88A1-1E0B9F64FE15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D7-4EC4-88A1-1E0B9F64FE15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8D7-4EC4-88A1-1E0B9F64FE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T1'!$G$25:$I$25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T1'!$G$112:$I$112</c:f>
              <c:numCache>
                <c:formatCode>General</c:formatCode>
                <c:ptCount val="3"/>
                <c:pt idx="0">
                  <c:v>4584</c:v>
                </c:pt>
                <c:pt idx="1">
                  <c:v>0</c:v>
                </c:pt>
                <c:pt idx="2">
                  <c:v>1209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8D7-4EC4-88A1-1E0B9F64FE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L6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9877187123317295"/>
          <c:y val="0.30971582061997821"/>
          <c:w val="0.55127785154966236"/>
          <c:h val="0.49449094581055314"/>
        </c:manualLayout>
      </c:layout>
      <c:doughnutChart>
        <c:varyColors val="1"/>
        <c:ser>
          <c:idx val="0"/>
          <c:order val="0"/>
          <c:tx>
            <c:strRef>
              <c:f>'02-09 T1'!$G$77:$I$77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A58-46D9-A437-30775B7729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A58-46D9-A437-30775B7729B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A58-46D9-A437-30775B7729BB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58-46D9-A437-30775B7729BB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58-46D9-A437-30775B7729B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T1'!$G$25:$I$25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T1'!$G$86:$I$86</c:f>
              <c:numCache>
                <c:formatCode>General</c:formatCode>
                <c:ptCount val="3"/>
                <c:pt idx="0">
                  <c:v>6784</c:v>
                </c:pt>
                <c:pt idx="1">
                  <c:v>250</c:v>
                </c:pt>
                <c:pt idx="2">
                  <c:v>124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A58-46D9-A437-30775B7729B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L1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T2'!$G$12:$I$12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35E-4B97-BC16-10B0E714697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35E-4B97-BC16-10B0E714697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35E-4B97-BC16-10B0E714697B}"/>
              </c:ext>
            </c:extLst>
          </c:dPt>
          <c:dLbls>
            <c:dLbl>
              <c:idx val="1"/>
              <c:layout>
                <c:manualLayout>
                  <c:x val="-7.2473722527967438E-2"/>
                  <c:y val="-8.66666666666666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5E-4B97-BC16-10B0E714697B}"/>
                </c:ext>
              </c:extLst>
            </c:dLbl>
            <c:dLbl>
              <c:idx val="2"/>
              <c:layout>
                <c:manualLayout>
                  <c:x val="8.7000036029832764E-2"/>
                  <c:y val="-8.666719160104986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5E-4B97-BC16-10B0E714697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T2'!$G$12:$I$12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T2'!$G$21:$I$21</c:f>
              <c:numCache>
                <c:formatCode>General</c:formatCode>
                <c:ptCount val="3"/>
                <c:pt idx="0">
                  <c:v>4886</c:v>
                </c:pt>
                <c:pt idx="1">
                  <c:v>470</c:v>
                </c:pt>
                <c:pt idx="2" formatCode="0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35E-4B97-BC16-10B0E714697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L2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T2'!$G$25:$I$25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EB6-4D05-900C-9B7202307F6C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EB6-4D05-900C-9B7202307F6C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EB6-4D05-900C-9B7202307F6C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6-4D05-900C-9B7202307F6C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EB6-4D05-900C-9B7202307F6C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T2'!$G$25:$I$25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T2'!$G$34:$I$34</c:f>
              <c:numCache>
                <c:formatCode>General</c:formatCode>
                <c:ptCount val="3"/>
                <c:pt idx="0">
                  <c:v>6543</c:v>
                </c:pt>
                <c:pt idx="1">
                  <c:v>290</c:v>
                </c:pt>
                <c:pt idx="2" formatCode="0">
                  <c:v>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EB6-4D05-900C-9B7202307F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L4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T2'!$G$51:$I$51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912-4B1C-A665-ED3C8FAC60A4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912-4B1C-A665-ED3C8FAC60A4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912-4B1C-A665-ED3C8FAC60A4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12-4B1C-A665-ED3C8FAC60A4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12-4B1C-A665-ED3C8FAC60A4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T2'!$G$25:$I$25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T2'!$G$60:$I$60</c:f>
              <c:numCache>
                <c:formatCode>General</c:formatCode>
                <c:ptCount val="3"/>
                <c:pt idx="0">
                  <c:v>6349</c:v>
                </c:pt>
                <c:pt idx="1">
                  <c:v>240</c:v>
                </c:pt>
                <c:pt idx="2">
                  <c:v>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912-4B1C-A665-ED3C8FAC60A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L5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T2'!$G$64:$I$64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8D7-4EC4-88A1-1E0B9F64FE1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8D7-4EC4-88A1-1E0B9F64FE1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8D7-4EC4-88A1-1E0B9F64FE15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D7-4EC4-88A1-1E0B9F64FE15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8D7-4EC4-88A1-1E0B9F64FE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T2'!$G$25:$I$25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T2'!$G$73:$I$73</c:f>
              <c:numCache>
                <c:formatCode>General</c:formatCode>
                <c:ptCount val="3"/>
                <c:pt idx="0">
                  <c:v>5760</c:v>
                </c:pt>
                <c:pt idx="1">
                  <c:v>315</c:v>
                </c:pt>
                <c:pt idx="2">
                  <c:v>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8D7-4EC4-88A1-1E0B9F64FE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output global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'02-09 T2'!$G$116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val>
            <c:numRef>
              <c:f>'02-09 T2'!$G$117:$G$124</c:f>
              <c:numCache>
                <c:formatCode>General</c:formatCode>
                <c:ptCount val="8"/>
                <c:pt idx="0">
                  <c:v>6109</c:v>
                </c:pt>
                <c:pt idx="1">
                  <c:v>6700</c:v>
                </c:pt>
                <c:pt idx="2">
                  <c:v>5676</c:v>
                </c:pt>
                <c:pt idx="3">
                  <c:v>6671</c:v>
                </c:pt>
                <c:pt idx="4">
                  <c:v>5697</c:v>
                </c:pt>
                <c:pt idx="5">
                  <c:v>6296</c:v>
                </c:pt>
                <c:pt idx="6">
                  <c:v>6315</c:v>
                </c:pt>
                <c:pt idx="7">
                  <c:v>5726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6BA-40DB-93C7-EF27A3382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axId val="6273280"/>
        <c:axId val="6283264"/>
      </c:barChart>
      <c:catAx>
        <c:axId val="6273280"/>
        <c:scaling>
          <c:orientation val="minMax"/>
        </c:scaling>
        <c:delete val="0"/>
        <c:axPos val="b"/>
        <c:majorTickMark val="out"/>
        <c:minorTickMark val="none"/>
        <c:tickLblPos val="nextTo"/>
        <c:crossAx val="6283264"/>
        <c:crosses val="autoZero"/>
        <c:auto val="1"/>
        <c:lblAlgn val="ctr"/>
        <c:lblOffset val="100"/>
        <c:noMultiLvlLbl val="0"/>
      </c:catAx>
      <c:valAx>
        <c:axId val="6283264"/>
        <c:scaling>
          <c:orientation val="minMax"/>
          <c:max val="8500"/>
          <c:min val="3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73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 qualidade</a:t>
            </a:r>
            <a:r>
              <a:rPr lang="en-US" sz="1200" baseline="0"/>
              <a:t> global</a:t>
            </a:r>
            <a:endParaRPr lang="en-US" sz="12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'02-09 T2'!$H$116</c:f>
              <c:strCache>
                <c:ptCount val="1"/>
                <c:pt idx="0">
                  <c:v>% qld.</c:v>
                </c:pt>
              </c:strCache>
            </c:strRef>
          </c:tx>
          <c:invertIfNegative val="0"/>
          <c:val>
            <c:numRef>
              <c:f>'02-09 T2'!$H$117:$H$124</c:f>
              <c:numCache>
                <c:formatCode>0.0%</c:formatCode>
                <c:ptCount val="8"/>
                <c:pt idx="0">
                  <c:v>0.89752823702733675</c:v>
                </c:pt>
                <c:pt idx="1">
                  <c:v>0.93388059701492532</c:v>
                </c:pt>
                <c:pt idx="2">
                  <c:v>0.96282593375616632</c:v>
                </c:pt>
                <c:pt idx="3">
                  <c:v>0.93179433368310594</c:v>
                </c:pt>
                <c:pt idx="4">
                  <c:v>0.95471300684570826</c:v>
                </c:pt>
                <c:pt idx="5">
                  <c:v>0.9539390088945362</c:v>
                </c:pt>
                <c:pt idx="6">
                  <c:v>0.96057007125890737</c:v>
                </c:pt>
                <c:pt idx="7">
                  <c:v>0.96192804750261962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82-4E0A-BA2E-208157E55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axId val="32198656"/>
        <c:axId val="32200192"/>
      </c:barChart>
      <c:catAx>
        <c:axId val="32198656"/>
        <c:scaling>
          <c:orientation val="minMax"/>
        </c:scaling>
        <c:delete val="0"/>
        <c:axPos val="b"/>
        <c:majorTickMark val="out"/>
        <c:minorTickMark val="none"/>
        <c:tickLblPos val="nextTo"/>
        <c:crossAx val="32200192"/>
        <c:crosses val="autoZero"/>
        <c:auto val="1"/>
        <c:lblAlgn val="ctr"/>
        <c:lblOffset val="100"/>
        <c:noMultiLvlLbl val="0"/>
      </c:catAx>
      <c:valAx>
        <c:axId val="32200192"/>
        <c:scaling>
          <c:orientation val="minMax"/>
          <c:max val="1"/>
          <c:min val="0.60000000000000009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219865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pt-PT" sz="1200"/>
              <a:t>% qualidade global</a:t>
            </a:r>
          </a:p>
        </c:rich>
      </c:tx>
      <c:layout>
        <c:manualLayout>
          <c:xMode val="edge"/>
          <c:yMode val="edge"/>
          <c:x val="0.62453821687257238"/>
          <c:y val="5.527895924663919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095532302866577"/>
          <c:y val="7.0496632843971868E-2"/>
          <c:w val="0.55537369832718764"/>
          <c:h val="0.8817443776147782"/>
        </c:manualLayout>
      </c:layout>
      <c:doughnutChart>
        <c:varyColors val="1"/>
        <c:ser>
          <c:idx val="0"/>
          <c:order val="0"/>
          <c:tx>
            <c:strRef>
              <c:f>'02-09 T2'!$G$7:$I$7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3C6-4133-B89A-44C29333B161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3C6-4133-B89A-44C29333B161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3C6-4133-B89A-44C29333B161}"/>
              </c:ext>
            </c:extLst>
          </c:dPt>
          <c:dLbls>
            <c:dLbl>
              <c:idx val="1"/>
              <c:layout>
                <c:manualLayout>
                  <c:x val="-0.11704320762360075"/>
                  <c:y val="-0.1014814814814814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C6-4133-B89A-44C29333B161}"/>
                </c:ext>
              </c:extLst>
            </c:dLbl>
            <c:dLbl>
              <c:idx val="2"/>
              <c:layout>
                <c:manualLayout>
                  <c:x val="0.13455744266699565"/>
                  <c:y val="-8.31542087092653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3C6-4133-B89A-44C29333B16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T2'!$G$12:$I$12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T2'!$G$8:$I$8</c:f>
              <c:numCache>
                <c:formatCode>General</c:formatCode>
                <c:ptCount val="3"/>
                <c:pt idx="0">
                  <c:v>46440</c:v>
                </c:pt>
                <c:pt idx="1">
                  <c:v>2079</c:v>
                </c:pt>
                <c:pt idx="2" formatCode="0">
                  <c:v>671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13C6-4133-B89A-44C29333B16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73908788090636179"/>
          <c:y val="0.1815246401245445"/>
          <c:w val="0.19513463374959447"/>
          <c:h val="0.58952833699562479"/>
        </c:manualLayout>
      </c:layout>
      <c:overlay val="0"/>
      <c:txPr>
        <a:bodyPr/>
        <a:lstStyle/>
        <a:p>
          <a:pPr>
            <a:defRPr sz="10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 sz="1400"/>
              <a:t>distribuição da embalagem (output)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5.2863098606077054E-2"/>
          <c:y val="0.2189006996412555"/>
          <c:w val="0.68013710620027679"/>
          <c:h val="0.59849939103762739"/>
        </c:manualLayout>
      </c:layout>
      <c:doughnutChart>
        <c:varyColors val="1"/>
        <c:ser>
          <c:idx val="0"/>
          <c:order val="0"/>
          <c:tx>
            <c:strRef>
              <c:f>'02-09 T2'!$AA$7:$AD$7</c:f>
              <c:strCache>
                <c:ptCount val="1"/>
                <c:pt idx="0">
                  <c:v>SETS (pçs) OS 1ª OS 2ª N-IKEA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5C7-4B1B-8256-BA6B597616DF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5C7-4B1B-8256-BA6B597616DF}"/>
              </c:ext>
            </c:extLst>
          </c:dPt>
          <c:dPt>
            <c:idx val="2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chemeClr val="accent5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5C7-4B1B-8256-BA6B597616DF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5C7-4B1B-8256-BA6B597616DF}"/>
              </c:ext>
            </c:extLst>
          </c:dPt>
          <c:dPt>
            <c:idx val="4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55C7-4B1B-8256-BA6B597616DF}"/>
              </c:ext>
            </c:extLst>
          </c:dPt>
          <c:dLbls>
            <c:dLbl>
              <c:idx val="0"/>
              <c:layout>
                <c:manualLayout>
                  <c:x val="9.8072371414015994E-2"/>
                  <c:y val="7.05708772771332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C7-4B1B-8256-BA6B597616DF}"/>
                </c:ext>
              </c:extLst>
            </c:dLbl>
            <c:dLbl>
              <c:idx val="1"/>
              <c:layout>
                <c:manualLayout>
                  <c:x val="-8.4486999410678068E-2"/>
                  <c:y val="2.86989157892104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C7-4B1B-8256-BA6B597616DF}"/>
                </c:ext>
              </c:extLst>
            </c:dLbl>
            <c:dLbl>
              <c:idx val="2"/>
              <c:layout>
                <c:manualLayout>
                  <c:x val="-8.5538050058700341E-2"/>
                  <c:y val="-7.13019248845804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C7-4B1B-8256-BA6B597616DF}"/>
                </c:ext>
              </c:extLst>
            </c:dLbl>
            <c:dLbl>
              <c:idx val="3"/>
              <c:layout>
                <c:manualLayout>
                  <c:x val="-2.3495123977059513E-2"/>
                  <c:y val="-8.86901445047069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C7-4B1B-8256-BA6B597616DF}"/>
                </c:ext>
              </c:extLst>
            </c:dLbl>
            <c:dLbl>
              <c:idx val="4"/>
              <c:layout>
                <c:manualLayout>
                  <c:x val="-2.884481512176941E-3"/>
                  <c:y val="-8.7507887823645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C7-4B1B-8256-BA6B597616D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T2'!$AA$7:$AD$7</c:f>
              <c:strCache>
                <c:ptCount val="4"/>
                <c:pt idx="0">
                  <c:v>SETS (pçs)</c:v>
                </c:pt>
                <c:pt idx="1">
                  <c:v>OS 1ª</c:v>
                </c:pt>
                <c:pt idx="2">
                  <c:v>OS 2ª</c:v>
                </c:pt>
                <c:pt idx="3">
                  <c:v>N-IKEA</c:v>
                </c:pt>
              </c:strCache>
            </c:strRef>
          </c:cat>
          <c:val>
            <c:numRef>
              <c:f>'02-09 T2'!$AA$8:$AD$8</c:f>
              <c:numCache>
                <c:formatCode>0</c:formatCode>
                <c:ptCount val="4"/>
                <c:pt idx="0" formatCode="General">
                  <c:v>16524</c:v>
                </c:pt>
                <c:pt idx="1">
                  <c:v>15988</c:v>
                </c:pt>
                <c:pt idx="2">
                  <c:v>10296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5C7-4B1B-8256-BA6B597616D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77847442854331261"/>
          <c:y val="6.4078097132889492E-2"/>
          <c:w val="0.2028733069853739"/>
          <c:h val="0.38634765814711325"/>
        </c:manualLayout>
      </c:layout>
      <c:overlay val="0"/>
      <c:txPr>
        <a:bodyPr/>
        <a:lstStyle/>
        <a:p>
          <a:pPr>
            <a:defRPr sz="10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L3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9877187123317295"/>
          <c:y val="0.30971582061997821"/>
          <c:w val="0.55127785154966236"/>
          <c:h val="0.49449094581055314"/>
        </c:manualLayout>
      </c:layout>
      <c:doughnutChart>
        <c:varyColors val="1"/>
        <c:ser>
          <c:idx val="0"/>
          <c:order val="0"/>
          <c:tx>
            <c:strRef>
              <c:f>'02-09 T2'!$G$25:$I$25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A58-46D9-A437-30775B7729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A58-46D9-A437-30775B7729B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A58-46D9-A437-30775B7729BB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58-46D9-A437-30775B7729BB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58-46D9-A437-30775B7729B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T2'!$G$25:$I$25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T2'!$G$47:$I$47</c:f>
              <c:numCache>
                <c:formatCode>General</c:formatCode>
                <c:ptCount val="3"/>
                <c:pt idx="0">
                  <c:v>5784</c:v>
                </c:pt>
                <c:pt idx="1">
                  <c:v>354</c:v>
                </c:pt>
                <c:pt idx="2" formatCode="0">
                  <c:v>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A58-46D9-A437-30775B7729B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L7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T2'!$G$90:$I$90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912-4B1C-A665-ED3C8FAC60A4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912-4B1C-A665-ED3C8FAC60A4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912-4B1C-A665-ED3C8FAC60A4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12-4B1C-A665-ED3C8FAC60A4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12-4B1C-A665-ED3C8FAC60A4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T2'!$G$25:$I$25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T2'!$G$99:$I$99</c:f>
              <c:numCache>
                <c:formatCode>General</c:formatCode>
                <c:ptCount val="3"/>
                <c:pt idx="0">
                  <c:v>4911</c:v>
                </c:pt>
                <c:pt idx="1">
                  <c:v>140</c:v>
                </c:pt>
                <c:pt idx="2">
                  <c:v>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912-4B1C-A665-ED3C8FAC60A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L8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T2'!$G$103:$I$103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8D7-4EC4-88A1-1E0B9F64FE1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8D7-4EC4-88A1-1E0B9F64FE1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8D7-4EC4-88A1-1E0B9F64FE15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D7-4EC4-88A1-1E0B9F64FE15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8D7-4EC4-88A1-1E0B9F64FE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T2'!$G$25:$I$25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T2'!$G$112:$I$112</c:f>
              <c:numCache>
                <c:formatCode>General</c:formatCode>
                <c:ptCount val="3"/>
                <c:pt idx="0">
                  <c:v>6624</c:v>
                </c:pt>
                <c:pt idx="1">
                  <c:v>60</c:v>
                </c:pt>
                <c:pt idx="2">
                  <c:v>253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8D7-4EC4-88A1-1E0B9F64FE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L6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9877187123317295"/>
          <c:y val="0.30971582061997821"/>
          <c:w val="0.55127785154966236"/>
          <c:h val="0.49449094581055314"/>
        </c:manualLayout>
      </c:layout>
      <c:doughnutChart>
        <c:varyColors val="1"/>
        <c:ser>
          <c:idx val="0"/>
          <c:order val="0"/>
          <c:tx>
            <c:strRef>
              <c:f>'02-09 T2'!$G$77:$I$77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A58-46D9-A437-30775B7729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A58-46D9-A437-30775B7729B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A58-46D9-A437-30775B7729BB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58-46D9-A437-30775B7729BB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58-46D9-A437-30775B7729B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T2'!$G$25:$I$25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T2'!$G$86:$I$86</c:f>
              <c:numCache>
                <c:formatCode>General</c:formatCode>
                <c:ptCount val="3"/>
                <c:pt idx="0">
                  <c:v>5583</c:v>
                </c:pt>
                <c:pt idx="1">
                  <c:v>210</c:v>
                </c:pt>
                <c:pt idx="2">
                  <c:v>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A58-46D9-A437-30775B7729B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L1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T3'!$G$12:$I$12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35E-4B97-BC16-10B0E714697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35E-4B97-BC16-10B0E714697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35E-4B97-BC16-10B0E714697B}"/>
              </c:ext>
            </c:extLst>
          </c:dPt>
          <c:dLbls>
            <c:dLbl>
              <c:idx val="1"/>
              <c:layout>
                <c:manualLayout>
                  <c:x val="-7.2473722527967438E-2"/>
                  <c:y val="-8.66666666666666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5E-4B97-BC16-10B0E714697B}"/>
                </c:ext>
              </c:extLst>
            </c:dLbl>
            <c:dLbl>
              <c:idx val="2"/>
              <c:layout>
                <c:manualLayout>
                  <c:x val="8.7000036029832764E-2"/>
                  <c:y val="-8.666719160104986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5E-4B97-BC16-10B0E714697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T3'!$G$12:$I$12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T3'!$G$21:$I$21</c:f>
              <c:numCache>
                <c:formatCode>General</c:formatCode>
                <c:ptCount val="3"/>
                <c:pt idx="0">
                  <c:v>6552</c:v>
                </c:pt>
                <c:pt idx="1">
                  <c:v>290</c:v>
                </c:pt>
                <c:pt idx="2" formatCode="0">
                  <c:v>148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35E-4B97-BC16-10B0E714697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L2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T3'!$G$25:$I$25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EB6-4D05-900C-9B7202307F6C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EB6-4D05-900C-9B7202307F6C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EB6-4D05-900C-9B7202307F6C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6-4D05-900C-9B7202307F6C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EB6-4D05-900C-9B7202307F6C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T3'!$G$25:$I$25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T3'!$G$34:$I$34</c:f>
              <c:numCache>
                <c:formatCode>General</c:formatCode>
                <c:ptCount val="3"/>
                <c:pt idx="0">
                  <c:v>6120</c:v>
                </c:pt>
                <c:pt idx="1">
                  <c:v>280</c:v>
                </c:pt>
                <c:pt idx="2" formatCode="0">
                  <c:v>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EB6-4D05-900C-9B7202307F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L4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T3'!$G$51:$I$51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912-4B1C-A665-ED3C8FAC60A4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912-4B1C-A665-ED3C8FAC60A4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912-4B1C-A665-ED3C8FAC60A4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12-4B1C-A665-ED3C8FAC60A4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12-4B1C-A665-ED3C8FAC60A4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T3'!$G$25:$I$25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T3'!$G$60:$I$60</c:f>
              <c:numCache>
                <c:formatCode>General</c:formatCode>
                <c:ptCount val="3"/>
                <c:pt idx="0">
                  <c:v>6216</c:v>
                </c:pt>
                <c:pt idx="1">
                  <c:v>420</c:v>
                </c:pt>
                <c:pt idx="2">
                  <c:v>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912-4B1C-A665-ED3C8FAC60A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L5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T3'!$G$64:$I$64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8D7-4EC4-88A1-1E0B9F64FE1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8D7-4EC4-88A1-1E0B9F64FE1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8D7-4EC4-88A1-1E0B9F64FE15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D7-4EC4-88A1-1E0B9F64FE15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8D7-4EC4-88A1-1E0B9F64FE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T3'!$G$25:$I$25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T3'!$G$73:$I$73</c:f>
              <c:numCache>
                <c:formatCode>General</c:formatCode>
                <c:ptCount val="3"/>
                <c:pt idx="0">
                  <c:v>5784</c:v>
                </c:pt>
                <c:pt idx="1">
                  <c:v>320</c:v>
                </c:pt>
                <c:pt idx="2">
                  <c:v>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8D7-4EC4-88A1-1E0B9F64FE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output global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'02-09 T3'!$G$116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val>
            <c:numRef>
              <c:f>'02-09 T3'!$G$117:$G$124</c:f>
              <c:numCache>
                <c:formatCode>General</c:formatCode>
                <c:ptCount val="8"/>
                <c:pt idx="0">
                  <c:v>6238</c:v>
                </c:pt>
                <c:pt idx="1">
                  <c:v>6123</c:v>
                </c:pt>
                <c:pt idx="2">
                  <c:v>6134</c:v>
                </c:pt>
                <c:pt idx="3">
                  <c:v>6743</c:v>
                </c:pt>
                <c:pt idx="4">
                  <c:v>6632</c:v>
                </c:pt>
                <c:pt idx="5">
                  <c:v>6584</c:v>
                </c:pt>
                <c:pt idx="6">
                  <c:v>5973</c:v>
                </c:pt>
                <c:pt idx="7">
                  <c:v>6185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6BA-40DB-93C7-EF27A3382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axId val="109715840"/>
        <c:axId val="109717376"/>
      </c:barChart>
      <c:catAx>
        <c:axId val="109715840"/>
        <c:scaling>
          <c:orientation val="minMax"/>
        </c:scaling>
        <c:delete val="0"/>
        <c:axPos val="b"/>
        <c:majorTickMark val="out"/>
        <c:minorTickMark val="none"/>
        <c:tickLblPos val="nextTo"/>
        <c:crossAx val="109717376"/>
        <c:crosses val="autoZero"/>
        <c:auto val="1"/>
        <c:lblAlgn val="ctr"/>
        <c:lblOffset val="100"/>
        <c:noMultiLvlLbl val="0"/>
      </c:catAx>
      <c:valAx>
        <c:axId val="109717376"/>
        <c:scaling>
          <c:orientation val="minMax"/>
          <c:max val="8500"/>
          <c:min val="3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71584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 qualidade</a:t>
            </a:r>
            <a:r>
              <a:rPr lang="en-US" sz="1200" baseline="0"/>
              <a:t> global</a:t>
            </a:r>
            <a:endParaRPr lang="en-US" sz="12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'02-09 T3'!$H$116</c:f>
              <c:strCache>
                <c:ptCount val="1"/>
                <c:pt idx="0">
                  <c:v>% qld.</c:v>
                </c:pt>
              </c:strCache>
            </c:strRef>
          </c:tx>
          <c:invertIfNegative val="0"/>
          <c:val>
            <c:numRef>
              <c:f>'02-09 T3'!$H$117:$H$124</c:f>
              <c:numCache>
                <c:formatCode>0.0%</c:formatCode>
                <c:ptCount val="8"/>
                <c:pt idx="0">
                  <c:v>0.92337287592176975</c:v>
                </c:pt>
                <c:pt idx="1">
                  <c:v>0.90935815776580109</c:v>
                </c:pt>
                <c:pt idx="2">
                  <c:v>0.95859145745027718</c:v>
                </c:pt>
                <c:pt idx="3">
                  <c:v>0.93964110929853184</c:v>
                </c:pt>
                <c:pt idx="4">
                  <c:v>0.9300361881785284</c:v>
                </c:pt>
                <c:pt idx="5">
                  <c:v>0.95139732685297695</c:v>
                </c:pt>
                <c:pt idx="6">
                  <c:v>0.94826720241084883</c:v>
                </c:pt>
                <c:pt idx="7">
                  <c:v>0.9665319320937753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82-4E0A-BA2E-208157E55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axId val="109873024"/>
        <c:axId val="109874560"/>
      </c:barChart>
      <c:catAx>
        <c:axId val="1098730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9874560"/>
        <c:crosses val="autoZero"/>
        <c:auto val="1"/>
        <c:lblAlgn val="ctr"/>
        <c:lblOffset val="100"/>
        <c:noMultiLvlLbl val="0"/>
      </c:catAx>
      <c:valAx>
        <c:axId val="109874560"/>
        <c:scaling>
          <c:orientation val="minMax"/>
          <c:max val="1"/>
          <c:min val="0.60000000000000009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0987302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pt-PT" sz="1200"/>
              <a:t>% qualidade global</a:t>
            </a:r>
          </a:p>
        </c:rich>
      </c:tx>
      <c:layout>
        <c:manualLayout>
          <c:xMode val="edge"/>
          <c:yMode val="edge"/>
          <c:x val="0.62453821687257238"/>
          <c:y val="5.527895924663919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095532302866577"/>
          <c:y val="7.0496632843971868E-2"/>
          <c:w val="0.55537369832718764"/>
          <c:h val="0.8817443776147782"/>
        </c:manualLayout>
      </c:layout>
      <c:doughnutChart>
        <c:varyColors val="1"/>
        <c:ser>
          <c:idx val="0"/>
          <c:order val="0"/>
          <c:tx>
            <c:strRef>
              <c:f>'02-09 T3'!$G$7:$I$7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3C6-4133-B89A-44C29333B161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3C6-4133-B89A-44C29333B161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3C6-4133-B89A-44C29333B161}"/>
              </c:ext>
            </c:extLst>
          </c:dPt>
          <c:dLbls>
            <c:dLbl>
              <c:idx val="1"/>
              <c:layout>
                <c:manualLayout>
                  <c:x val="-0.11704320762360075"/>
                  <c:y val="-0.1014814814814814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C6-4133-B89A-44C29333B161}"/>
                </c:ext>
              </c:extLst>
            </c:dLbl>
            <c:dLbl>
              <c:idx val="2"/>
              <c:layout>
                <c:manualLayout>
                  <c:x val="0.13455744266699565"/>
                  <c:y val="-8.31542087092653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3C6-4133-B89A-44C29333B16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T3'!$G$12:$I$12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T3'!$G$8:$I$8</c:f>
              <c:numCache>
                <c:formatCode>General</c:formatCode>
                <c:ptCount val="3"/>
                <c:pt idx="0">
                  <c:v>47618</c:v>
                </c:pt>
                <c:pt idx="1">
                  <c:v>2410</c:v>
                </c:pt>
                <c:pt idx="2" formatCode="0">
                  <c:v>584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13C6-4133-B89A-44C29333B16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73908788090636179"/>
          <c:y val="0.1815246401245445"/>
          <c:w val="0.19513463374959447"/>
          <c:h val="0.58952833699562479"/>
        </c:manualLayout>
      </c:layout>
      <c:overlay val="0"/>
      <c:txPr>
        <a:bodyPr/>
        <a:lstStyle/>
        <a:p>
          <a:pPr>
            <a:defRPr sz="10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 sz="1400"/>
              <a:t>distribuição da embalagem (output)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5.2863098606077054E-2"/>
          <c:y val="0.2189006996412555"/>
          <c:w val="0.68013710620027679"/>
          <c:h val="0.59849939103762739"/>
        </c:manualLayout>
      </c:layout>
      <c:doughnutChart>
        <c:varyColors val="1"/>
        <c:ser>
          <c:idx val="0"/>
          <c:order val="0"/>
          <c:tx>
            <c:strRef>
              <c:f>'02-09 T3'!$AA$7:$AD$7</c:f>
              <c:strCache>
                <c:ptCount val="1"/>
                <c:pt idx="0">
                  <c:v>SETS (pçs) OS 1ª OS 2ª N-IKEA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5C7-4B1B-8256-BA6B597616DF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5C7-4B1B-8256-BA6B597616DF}"/>
              </c:ext>
            </c:extLst>
          </c:dPt>
          <c:dPt>
            <c:idx val="2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chemeClr val="accent5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5C7-4B1B-8256-BA6B597616DF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5C7-4B1B-8256-BA6B597616DF}"/>
              </c:ext>
            </c:extLst>
          </c:dPt>
          <c:dPt>
            <c:idx val="4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55C7-4B1B-8256-BA6B597616DF}"/>
              </c:ext>
            </c:extLst>
          </c:dPt>
          <c:dLbls>
            <c:dLbl>
              <c:idx val="0"/>
              <c:layout>
                <c:manualLayout>
                  <c:x val="9.8072371414015994E-2"/>
                  <c:y val="7.05708772771332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C7-4B1B-8256-BA6B597616DF}"/>
                </c:ext>
              </c:extLst>
            </c:dLbl>
            <c:dLbl>
              <c:idx val="1"/>
              <c:layout>
                <c:manualLayout>
                  <c:x val="-8.4486999410678068E-2"/>
                  <c:y val="2.86989157892104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C7-4B1B-8256-BA6B597616DF}"/>
                </c:ext>
              </c:extLst>
            </c:dLbl>
            <c:dLbl>
              <c:idx val="2"/>
              <c:layout>
                <c:manualLayout>
                  <c:x val="-8.5538050058700341E-2"/>
                  <c:y val="-7.13019248845804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C7-4B1B-8256-BA6B597616DF}"/>
                </c:ext>
              </c:extLst>
            </c:dLbl>
            <c:dLbl>
              <c:idx val="3"/>
              <c:layout>
                <c:manualLayout>
                  <c:x val="-2.3495123977059513E-2"/>
                  <c:y val="-8.86901445047069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C7-4B1B-8256-BA6B597616DF}"/>
                </c:ext>
              </c:extLst>
            </c:dLbl>
            <c:dLbl>
              <c:idx val="4"/>
              <c:layout>
                <c:manualLayout>
                  <c:x val="-2.884481512176941E-3"/>
                  <c:y val="-8.7507887823645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C7-4B1B-8256-BA6B597616D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T3'!$AA$7:$AD$7</c:f>
              <c:strCache>
                <c:ptCount val="4"/>
                <c:pt idx="0">
                  <c:v>SETS (pçs)</c:v>
                </c:pt>
                <c:pt idx="1">
                  <c:v>OS 1ª</c:v>
                </c:pt>
                <c:pt idx="2">
                  <c:v>OS 2ª</c:v>
                </c:pt>
                <c:pt idx="3">
                  <c:v>N-IKEA</c:v>
                </c:pt>
              </c:strCache>
            </c:strRef>
          </c:cat>
          <c:val>
            <c:numRef>
              <c:f>'02-09 T3'!$AA$8:$AD$8</c:f>
              <c:numCache>
                <c:formatCode>0</c:formatCode>
                <c:ptCount val="4"/>
                <c:pt idx="0" formatCode="General">
                  <c:v>36936</c:v>
                </c:pt>
                <c:pt idx="1">
                  <c:v>11385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5C7-4B1B-8256-BA6B597616D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77847442854331261"/>
          <c:y val="6.4078097132889492E-2"/>
          <c:w val="0.2028733069853739"/>
          <c:h val="0.38634765814711325"/>
        </c:manualLayout>
      </c:layout>
      <c:overlay val="0"/>
      <c:txPr>
        <a:bodyPr/>
        <a:lstStyle/>
        <a:p>
          <a:pPr>
            <a:defRPr sz="10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L3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9877187123317295"/>
          <c:y val="0.30971582061997821"/>
          <c:w val="0.55127785154966236"/>
          <c:h val="0.49449094581055314"/>
        </c:manualLayout>
      </c:layout>
      <c:doughnutChart>
        <c:varyColors val="1"/>
        <c:ser>
          <c:idx val="0"/>
          <c:order val="0"/>
          <c:tx>
            <c:strRef>
              <c:f>'02-09 T3'!$G$25:$I$25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A58-46D9-A437-30775B7729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A58-46D9-A437-30775B7729B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A58-46D9-A437-30775B7729BB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58-46D9-A437-30775B7729BB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58-46D9-A437-30775B7729B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T3'!$G$25:$I$25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T3'!$G$47:$I$47</c:f>
              <c:numCache>
                <c:formatCode>General</c:formatCode>
                <c:ptCount val="3"/>
                <c:pt idx="0">
                  <c:v>5568</c:v>
                </c:pt>
                <c:pt idx="1">
                  <c:v>240</c:v>
                </c:pt>
                <c:pt idx="2" formatCode="0">
                  <c:v>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A58-46D9-A437-30775B7729B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L7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T3'!$G$90:$I$90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912-4B1C-A665-ED3C8FAC60A4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912-4B1C-A665-ED3C8FAC60A4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912-4B1C-A665-ED3C8FAC60A4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12-4B1C-A665-ED3C8FAC60A4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12-4B1C-A665-ED3C8FAC60A4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T3'!$G$25:$I$25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T3'!$G$99:$I$99</c:f>
              <c:numCache>
                <c:formatCode>General</c:formatCode>
                <c:ptCount val="3"/>
                <c:pt idx="0">
                  <c:v>7344</c:v>
                </c:pt>
                <c:pt idx="1">
                  <c:v>180</c:v>
                </c:pt>
                <c:pt idx="2">
                  <c:v>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912-4B1C-A665-ED3C8FAC60A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L8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'02-09 T3'!$G$103:$I$103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8D7-4EC4-88A1-1E0B9F64FE1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8D7-4EC4-88A1-1E0B9F64FE1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8D7-4EC4-88A1-1E0B9F64FE15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D7-4EC4-88A1-1E0B9F64FE15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8D7-4EC4-88A1-1E0B9F64FE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T3'!$G$25:$I$25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T3'!$G$112:$I$112</c:f>
              <c:numCache>
                <c:formatCode>General</c:formatCode>
                <c:ptCount val="3"/>
                <c:pt idx="0">
                  <c:v>6458</c:v>
                </c:pt>
                <c:pt idx="1">
                  <c:v>560</c:v>
                </c:pt>
                <c:pt idx="2">
                  <c:v>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8D7-4EC4-88A1-1E0B9F64FE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L6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9877187123317295"/>
          <c:y val="0.30971582061997821"/>
          <c:w val="0.55127785154966236"/>
          <c:h val="0.49449094581055314"/>
        </c:manualLayout>
      </c:layout>
      <c:doughnutChart>
        <c:varyColors val="1"/>
        <c:ser>
          <c:idx val="0"/>
          <c:order val="0"/>
          <c:tx>
            <c:strRef>
              <c:f>'02-09 T3'!$G$77:$I$77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A58-46D9-A437-30775B7729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A58-46D9-A437-30775B7729B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A58-46D9-A437-30775B7729BB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58-46D9-A437-30775B7729BB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58-46D9-A437-30775B7729B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'02-09 T3'!$G$25:$I$25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'02-09 T3'!$G$86:$I$86</c:f>
              <c:numCache>
                <c:formatCode>General</c:formatCode>
                <c:ptCount val="3"/>
                <c:pt idx="0">
                  <c:v>3576</c:v>
                </c:pt>
                <c:pt idx="1">
                  <c:v>120</c:v>
                </c:pt>
                <c:pt idx="2">
                  <c:v>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A58-46D9-A437-30775B7729B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chart" Target="../charts/chart9.xml"/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12" Type="http://schemas.openxmlformats.org/officeDocument/2006/relationships/chart" Target="../charts/chart8.xml"/><Relationship Id="rId2" Type="http://schemas.openxmlformats.org/officeDocument/2006/relationships/chart" Target="../charts/chart2.xml"/><Relationship Id="rId16" Type="http://schemas.openxmlformats.org/officeDocument/2006/relationships/chart" Target="../charts/chart12.xml"/><Relationship Id="rId1" Type="http://schemas.openxmlformats.org/officeDocument/2006/relationships/chart" Target="../charts/chart1.xml"/><Relationship Id="rId6" Type="http://schemas.microsoft.com/office/2007/relationships/hdphoto" Target="../media/hdphoto1.wdp"/><Relationship Id="rId11" Type="http://schemas.openxmlformats.org/officeDocument/2006/relationships/chart" Target="../charts/chart7.xml"/><Relationship Id="rId5" Type="http://schemas.openxmlformats.org/officeDocument/2006/relationships/image" Target="../media/image2.png"/><Relationship Id="rId15" Type="http://schemas.openxmlformats.org/officeDocument/2006/relationships/chart" Target="../charts/chart11.xml"/><Relationship Id="rId10" Type="http://schemas.openxmlformats.org/officeDocument/2006/relationships/chart" Target="../charts/chart6.xml"/><Relationship Id="rId4" Type="http://schemas.openxmlformats.org/officeDocument/2006/relationships/chart" Target="../charts/chart4.xml"/><Relationship Id="rId9" Type="http://schemas.openxmlformats.org/officeDocument/2006/relationships/chart" Target="../charts/chart5.xml"/><Relationship Id="rId14" Type="http://schemas.openxmlformats.org/officeDocument/2006/relationships/chart" Target="../charts/chart10.xml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chart" Target="../charts/chart21.xml"/><Relationship Id="rId3" Type="http://schemas.openxmlformats.org/officeDocument/2006/relationships/chart" Target="../charts/chart15.xml"/><Relationship Id="rId7" Type="http://schemas.openxmlformats.org/officeDocument/2006/relationships/image" Target="../media/image3.png"/><Relationship Id="rId12" Type="http://schemas.openxmlformats.org/officeDocument/2006/relationships/chart" Target="../charts/chart20.xml"/><Relationship Id="rId2" Type="http://schemas.openxmlformats.org/officeDocument/2006/relationships/chart" Target="../charts/chart14.xml"/><Relationship Id="rId16" Type="http://schemas.openxmlformats.org/officeDocument/2006/relationships/chart" Target="../charts/chart24.xml"/><Relationship Id="rId1" Type="http://schemas.openxmlformats.org/officeDocument/2006/relationships/chart" Target="../charts/chart13.xml"/><Relationship Id="rId6" Type="http://schemas.microsoft.com/office/2007/relationships/hdphoto" Target="../media/hdphoto1.wdp"/><Relationship Id="rId11" Type="http://schemas.openxmlformats.org/officeDocument/2006/relationships/chart" Target="../charts/chart19.xml"/><Relationship Id="rId5" Type="http://schemas.openxmlformats.org/officeDocument/2006/relationships/image" Target="../media/image2.png"/><Relationship Id="rId15" Type="http://schemas.openxmlformats.org/officeDocument/2006/relationships/chart" Target="../charts/chart23.xml"/><Relationship Id="rId10" Type="http://schemas.openxmlformats.org/officeDocument/2006/relationships/chart" Target="../charts/chart18.xml"/><Relationship Id="rId4" Type="http://schemas.openxmlformats.org/officeDocument/2006/relationships/chart" Target="../charts/chart16.xml"/><Relationship Id="rId9" Type="http://schemas.openxmlformats.org/officeDocument/2006/relationships/chart" Target="../charts/chart17.xml"/><Relationship Id="rId14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chart" Target="../charts/chart33.xml"/><Relationship Id="rId3" Type="http://schemas.openxmlformats.org/officeDocument/2006/relationships/chart" Target="../charts/chart27.xml"/><Relationship Id="rId7" Type="http://schemas.openxmlformats.org/officeDocument/2006/relationships/image" Target="../media/image3.png"/><Relationship Id="rId12" Type="http://schemas.openxmlformats.org/officeDocument/2006/relationships/chart" Target="../charts/chart32.xml"/><Relationship Id="rId2" Type="http://schemas.openxmlformats.org/officeDocument/2006/relationships/chart" Target="../charts/chart26.xml"/><Relationship Id="rId16" Type="http://schemas.openxmlformats.org/officeDocument/2006/relationships/chart" Target="../charts/chart36.xml"/><Relationship Id="rId1" Type="http://schemas.openxmlformats.org/officeDocument/2006/relationships/chart" Target="../charts/chart25.xml"/><Relationship Id="rId6" Type="http://schemas.microsoft.com/office/2007/relationships/hdphoto" Target="../media/hdphoto1.wdp"/><Relationship Id="rId11" Type="http://schemas.openxmlformats.org/officeDocument/2006/relationships/chart" Target="../charts/chart31.xml"/><Relationship Id="rId5" Type="http://schemas.openxmlformats.org/officeDocument/2006/relationships/image" Target="../media/image2.png"/><Relationship Id="rId15" Type="http://schemas.openxmlformats.org/officeDocument/2006/relationships/chart" Target="../charts/chart35.xml"/><Relationship Id="rId10" Type="http://schemas.openxmlformats.org/officeDocument/2006/relationships/chart" Target="../charts/chart30.xml"/><Relationship Id="rId4" Type="http://schemas.openxmlformats.org/officeDocument/2006/relationships/chart" Target="../charts/chart28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354704</xdr:colOff>
      <xdr:row>11</xdr:row>
      <xdr:rowOff>11909</xdr:rowOff>
    </xdr:from>
    <xdr:to>
      <xdr:col>18</xdr:col>
      <xdr:colOff>138994</xdr:colOff>
      <xdr:row>21</xdr:row>
      <xdr:rowOff>11909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354704</xdr:colOff>
      <xdr:row>24</xdr:row>
      <xdr:rowOff>11052</xdr:rowOff>
    </xdr:from>
    <xdr:to>
      <xdr:col>18</xdr:col>
      <xdr:colOff>136892</xdr:colOff>
      <xdr:row>34</xdr:row>
      <xdr:rowOff>26290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354704</xdr:colOff>
      <xdr:row>50</xdr:row>
      <xdr:rowOff>6107</xdr:rowOff>
    </xdr:from>
    <xdr:to>
      <xdr:col>18</xdr:col>
      <xdr:colOff>136892</xdr:colOff>
      <xdr:row>60</xdr:row>
      <xdr:rowOff>6107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354704</xdr:colOff>
      <xdr:row>63</xdr:row>
      <xdr:rowOff>5250</xdr:rowOff>
    </xdr:from>
    <xdr:to>
      <xdr:col>19</xdr:col>
      <xdr:colOff>148799</xdr:colOff>
      <xdr:row>72</xdr:row>
      <xdr:rowOff>174534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30816</xdr:colOff>
      <xdr:row>1</xdr:row>
      <xdr:rowOff>17371</xdr:rowOff>
    </xdr:from>
    <xdr:to>
      <xdr:col>3</xdr:col>
      <xdr:colOff>429313</xdr:colOff>
      <xdr:row>2</xdr:row>
      <xdr:rowOff>66118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0" b="100000" l="0" r="100000">
                      <a14:foregroundMark x1="3292" y1="16176" x2="3292" y2="16176"/>
                      <a14:foregroundMark x1="16049" y1="25000" x2="16049" y2="25000"/>
                      <a14:foregroundMark x1="24691" y1="45588" x2="24691" y2="45588"/>
                      <a14:foregroundMark x1="39095" y1="19118" x2="39095" y2="19118"/>
                      <a14:foregroundMark x1="53498" y1="11765" x2="53498" y2="11765"/>
                      <a14:foregroundMark x1="61728" y1="17647" x2="61728" y2="17647"/>
                      <a14:foregroundMark x1="76132" y1="26471" x2="76132" y2="26471"/>
                      <a14:foregroundMark x1="91770" y1="11765" x2="91770" y2="1176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16" y="207871"/>
          <a:ext cx="1522447" cy="315447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128</xdr:row>
      <xdr:rowOff>19050</xdr:rowOff>
    </xdr:from>
    <xdr:to>
      <xdr:col>2</xdr:col>
      <xdr:colOff>779689</xdr:colOff>
      <xdr:row>128</xdr:row>
      <xdr:rowOff>178253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100000" l="0" r="100000">
                      <a14:foregroundMark x1="3292" y1="16176" x2="3292" y2="16176"/>
                      <a14:foregroundMark x1="16049" y1="25000" x2="16049" y2="25000"/>
                      <a14:foregroundMark x1="24691" y1="45588" x2="24691" y2="45588"/>
                      <a14:foregroundMark x1="39095" y1="19118" x2="39095" y2="19118"/>
                      <a14:foregroundMark x1="53498" y1="11765" x2="53498" y2="11765"/>
                      <a14:foregroundMark x1="61728" y1="17647" x2="61728" y2="17647"/>
                      <a14:foregroundMark x1="76132" y1="26471" x2="76132" y2="26471"/>
                      <a14:foregroundMark x1="91770" y1="11765" x2="91770" y2="1176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707850"/>
          <a:ext cx="770164" cy="159203"/>
        </a:xfrm>
        <a:prstGeom prst="rect">
          <a:avLst/>
        </a:prstGeom>
      </xdr:spPr>
    </xdr:pic>
    <xdr:clientData/>
  </xdr:twoCellAnchor>
  <xdr:twoCellAnchor>
    <xdr:from>
      <xdr:col>11</xdr:col>
      <xdr:colOff>29975</xdr:colOff>
      <xdr:row>114</xdr:row>
      <xdr:rowOff>257737</xdr:rowOff>
    </xdr:from>
    <xdr:to>
      <xdr:col>12</xdr:col>
      <xdr:colOff>520514</xdr:colOff>
      <xdr:row>125</xdr:row>
      <xdr:rowOff>105617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28575</xdr:colOff>
      <xdr:row>115</xdr:row>
      <xdr:rowOff>2241</xdr:rowOff>
    </xdr:from>
    <xdr:to>
      <xdr:col>16</xdr:col>
      <xdr:colOff>414339</xdr:colOff>
      <xdr:row>125</xdr:row>
      <xdr:rowOff>105617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1012031</xdr:colOff>
      <xdr:row>3</xdr:row>
      <xdr:rowOff>62194</xdr:rowOff>
    </xdr:from>
    <xdr:to>
      <xdr:col>16</xdr:col>
      <xdr:colOff>559594</xdr:colOff>
      <xdr:row>10</xdr:row>
      <xdr:rowOff>166689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174732</xdr:colOff>
      <xdr:row>8</xdr:row>
      <xdr:rowOff>166688</xdr:rowOff>
    </xdr:from>
    <xdr:to>
      <xdr:col>37</xdr:col>
      <xdr:colOff>571501</xdr:colOff>
      <xdr:row>29</xdr:row>
      <xdr:rowOff>107157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476250</xdr:colOff>
          <xdr:row>8</xdr:row>
          <xdr:rowOff>19050</xdr:rowOff>
        </xdr:to>
        <xdr:sp macro="" textlink="">
          <xdr:nvSpPr>
            <xdr:cNvPr id="3031041" name="CommandButton1" hidden="1">
              <a:extLst>
                <a:ext uri="{63B3BB69-23CF-44E3-9099-C40C66FF867C}">
                  <a14:compatExt spid="_x0000_s303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14</xdr:col>
      <xdr:colOff>354704</xdr:colOff>
      <xdr:row>37</xdr:row>
      <xdr:rowOff>25433</xdr:rowOff>
    </xdr:from>
    <xdr:to>
      <xdr:col>18</xdr:col>
      <xdr:colOff>138994</xdr:colOff>
      <xdr:row>47</xdr:row>
      <xdr:rowOff>6964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354704</xdr:colOff>
      <xdr:row>88</xdr:row>
      <xdr:rowOff>189415</xdr:rowOff>
    </xdr:from>
    <xdr:to>
      <xdr:col>18</xdr:col>
      <xdr:colOff>136892</xdr:colOff>
      <xdr:row>98</xdr:row>
      <xdr:rowOff>189415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354704</xdr:colOff>
      <xdr:row>101</xdr:row>
      <xdr:rowOff>188560</xdr:rowOff>
    </xdr:from>
    <xdr:to>
      <xdr:col>19</xdr:col>
      <xdr:colOff>148799</xdr:colOff>
      <xdr:row>111</xdr:row>
      <xdr:rowOff>189803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354704</xdr:colOff>
      <xdr:row>75</xdr:row>
      <xdr:rowOff>173677</xdr:rowOff>
    </xdr:from>
    <xdr:to>
      <xdr:col>18</xdr:col>
      <xdr:colOff>138994</xdr:colOff>
      <xdr:row>85</xdr:row>
      <xdr:rowOff>190272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354704</xdr:colOff>
      <xdr:row>11</xdr:row>
      <xdr:rowOff>11909</xdr:rowOff>
    </xdr:from>
    <xdr:to>
      <xdr:col>18</xdr:col>
      <xdr:colOff>138994</xdr:colOff>
      <xdr:row>21</xdr:row>
      <xdr:rowOff>11909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354704</xdr:colOff>
      <xdr:row>24</xdr:row>
      <xdr:rowOff>11052</xdr:rowOff>
    </xdr:from>
    <xdr:to>
      <xdr:col>18</xdr:col>
      <xdr:colOff>136892</xdr:colOff>
      <xdr:row>34</xdr:row>
      <xdr:rowOff>26290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354704</xdr:colOff>
      <xdr:row>50</xdr:row>
      <xdr:rowOff>6107</xdr:rowOff>
    </xdr:from>
    <xdr:to>
      <xdr:col>18</xdr:col>
      <xdr:colOff>136892</xdr:colOff>
      <xdr:row>60</xdr:row>
      <xdr:rowOff>6107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354704</xdr:colOff>
      <xdr:row>63</xdr:row>
      <xdr:rowOff>5250</xdr:rowOff>
    </xdr:from>
    <xdr:to>
      <xdr:col>19</xdr:col>
      <xdr:colOff>148799</xdr:colOff>
      <xdr:row>72</xdr:row>
      <xdr:rowOff>174534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30816</xdr:colOff>
      <xdr:row>1</xdr:row>
      <xdr:rowOff>17371</xdr:rowOff>
    </xdr:from>
    <xdr:to>
      <xdr:col>3</xdr:col>
      <xdr:colOff>429313</xdr:colOff>
      <xdr:row>2</xdr:row>
      <xdr:rowOff>66118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0" b="100000" l="0" r="100000">
                      <a14:foregroundMark x1="3292" y1="16176" x2="3292" y2="16176"/>
                      <a14:foregroundMark x1="16049" y1="25000" x2="16049" y2="25000"/>
                      <a14:foregroundMark x1="24691" y1="45588" x2="24691" y2="45588"/>
                      <a14:foregroundMark x1="39095" y1="19118" x2="39095" y2="19118"/>
                      <a14:foregroundMark x1="53498" y1="11765" x2="53498" y2="11765"/>
                      <a14:foregroundMark x1="61728" y1="17647" x2="61728" y2="17647"/>
                      <a14:foregroundMark x1="76132" y1="26471" x2="76132" y2="26471"/>
                      <a14:foregroundMark x1="91770" y1="11765" x2="91770" y2="1176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16" y="207871"/>
          <a:ext cx="1522447" cy="315447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128</xdr:row>
      <xdr:rowOff>19050</xdr:rowOff>
    </xdr:from>
    <xdr:to>
      <xdr:col>2</xdr:col>
      <xdr:colOff>779689</xdr:colOff>
      <xdr:row>128</xdr:row>
      <xdr:rowOff>178253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100000" l="0" r="100000">
                      <a14:foregroundMark x1="3292" y1="16176" x2="3292" y2="16176"/>
                      <a14:foregroundMark x1="16049" y1="25000" x2="16049" y2="25000"/>
                      <a14:foregroundMark x1="24691" y1="45588" x2="24691" y2="45588"/>
                      <a14:foregroundMark x1="39095" y1="19118" x2="39095" y2="19118"/>
                      <a14:foregroundMark x1="53498" y1="11765" x2="53498" y2="11765"/>
                      <a14:foregroundMark x1="61728" y1="17647" x2="61728" y2="17647"/>
                      <a14:foregroundMark x1="76132" y1="26471" x2="76132" y2="26471"/>
                      <a14:foregroundMark x1="91770" y1="11765" x2="91770" y2="1176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707850"/>
          <a:ext cx="770164" cy="159203"/>
        </a:xfrm>
        <a:prstGeom prst="rect">
          <a:avLst/>
        </a:prstGeom>
      </xdr:spPr>
    </xdr:pic>
    <xdr:clientData/>
  </xdr:twoCellAnchor>
  <xdr:twoCellAnchor>
    <xdr:from>
      <xdr:col>11</xdr:col>
      <xdr:colOff>29975</xdr:colOff>
      <xdr:row>114</xdr:row>
      <xdr:rowOff>257737</xdr:rowOff>
    </xdr:from>
    <xdr:to>
      <xdr:col>12</xdr:col>
      <xdr:colOff>520514</xdr:colOff>
      <xdr:row>125</xdr:row>
      <xdr:rowOff>105617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28575</xdr:colOff>
      <xdr:row>115</xdr:row>
      <xdr:rowOff>2241</xdr:rowOff>
    </xdr:from>
    <xdr:to>
      <xdr:col>16</xdr:col>
      <xdr:colOff>414339</xdr:colOff>
      <xdr:row>125</xdr:row>
      <xdr:rowOff>105617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1012031</xdr:colOff>
      <xdr:row>3</xdr:row>
      <xdr:rowOff>62194</xdr:rowOff>
    </xdr:from>
    <xdr:to>
      <xdr:col>16</xdr:col>
      <xdr:colOff>559594</xdr:colOff>
      <xdr:row>10</xdr:row>
      <xdr:rowOff>166689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174732</xdr:colOff>
      <xdr:row>8</xdr:row>
      <xdr:rowOff>166688</xdr:rowOff>
    </xdr:from>
    <xdr:to>
      <xdr:col>37</xdr:col>
      <xdr:colOff>571501</xdr:colOff>
      <xdr:row>29</xdr:row>
      <xdr:rowOff>107157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476250</xdr:colOff>
          <xdr:row>8</xdr:row>
          <xdr:rowOff>19050</xdr:rowOff>
        </xdr:to>
        <xdr:sp macro="" textlink="">
          <xdr:nvSpPr>
            <xdr:cNvPr id="3032065" name="CommandButton1" hidden="1">
              <a:extLst>
                <a:ext uri="{63B3BB69-23CF-44E3-9099-C40C66FF867C}">
                  <a14:compatExt spid="_x0000_s303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14</xdr:col>
      <xdr:colOff>354704</xdr:colOff>
      <xdr:row>37</xdr:row>
      <xdr:rowOff>25433</xdr:rowOff>
    </xdr:from>
    <xdr:to>
      <xdr:col>18</xdr:col>
      <xdr:colOff>138994</xdr:colOff>
      <xdr:row>47</xdr:row>
      <xdr:rowOff>6964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354704</xdr:colOff>
      <xdr:row>88</xdr:row>
      <xdr:rowOff>189415</xdr:rowOff>
    </xdr:from>
    <xdr:to>
      <xdr:col>18</xdr:col>
      <xdr:colOff>136892</xdr:colOff>
      <xdr:row>98</xdr:row>
      <xdr:rowOff>189415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354704</xdr:colOff>
      <xdr:row>101</xdr:row>
      <xdr:rowOff>188560</xdr:rowOff>
    </xdr:from>
    <xdr:to>
      <xdr:col>19</xdr:col>
      <xdr:colOff>148799</xdr:colOff>
      <xdr:row>111</xdr:row>
      <xdr:rowOff>189803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354704</xdr:colOff>
      <xdr:row>75</xdr:row>
      <xdr:rowOff>173677</xdr:rowOff>
    </xdr:from>
    <xdr:to>
      <xdr:col>18</xdr:col>
      <xdr:colOff>138994</xdr:colOff>
      <xdr:row>85</xdr:row>
      <xdr:rowOff>190272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354704</xdr:colOff>
      <xdr:row>11</xdr:row>
      <xdr:rowOff>11909</xdr:rowOff>
    </xdr:from>
    <xdr:to>
      <xdr:col>18</xdr:col>
      <xdr:colOff>138994</xdr:colOff>
      <xdr:row>21</xdr:row>
      <xdr:rowOff>11909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354704</xdr:colOff>
      <xdr:row>24</xdr:row>
      <xdr:rowOff>11052</xdr:rowOff>
    </xdr:from>
    <xdr:to>
      <xdr:col>18</xdr:col>
      <xdr:colOff>136892</xdr:colOff>
      <xdr:row>34</xdr:row>
      <xdr:rowOff>26290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354704</xdr:colOff>
      <xdr:row>50</xdr:row>
      <xdr:rowOff>6107</xdr:rowOff>
    </xdr:from>
    <xdr:to>
      <xdr:col>18</xdr:col>
      <xdr:colOff>136892</xdr:colOff>
      <xdr:row>60</xdr:row>
      <xdr:rowOff>6107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354704</xdr:colOff>
      <xdr:row>63</xdr:row>
      <xdr:rowOff>5250</xdr:rowOff>
    </xdr:from>
    <xdr:to>
      <xdr:col>19</xdr:col>
      <xdr:colOff>148799</xdr:colOff>
      <xdr:row>72</xdr:row>
      <xdr:rowOff>174534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30816</xdr:colOff>
      <xdr:row>1</xdr:row>
      <xdr:rowOff>17371</xdr:rowOff>
    </xdr:from>
    <xdr:to>
      <xdr:col>3</xdr:col>
      <xdr:colOff>429313</xdr:colOff>
      <xdr:row>2</xdr:row>
      <xdr:rowOff>66118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0" b="100000" l="0" r="100000">
                      <a14:foregroundMark x1="3292" y1="16176" x2="3292" y2="16176"/>
                      <a14:foregroundMark x1="16049" y1="25000" x2="16049" y2="25000"/>
                      <a14:foregroundMark x1="24691" y1="45588" x2="24691" y2="45588"/>
                      <a14:foregroundMark x1="39095" y1="19118" x2="39095" y2="19118"/>
                      <a14:foregroundMark x1="53498" y1="11765" x2="53498" y2="11765"/>
                      <a14:foregroundMark x1="61728" y1="17647" x2="61728" y2="17647"/>
                      <a14:foregroundMark x1="76132" y1="26471" x2="76132" y2="26471"/>
                      <a14:foregroundMark x1="91770" y1="11765" x2="91770" y2="1176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16" y="207871"/>
          <a:ext cx="1522447" cy="315447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128</xdr:row>
      <xdr:rowOff>19050</xdr:rowOff>
    </xdr:from>
    <xdr:to>
      <xdr:col>2</xdr:col>
      <xdr:colOff>779689</xdr:colOff>
      <xdr:row>128</xdr:row>
      <xdr:rowOff>178253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100000" l="0" r="100000">
                      <a14:foregroundMark x1="3292" y1="16176" x2="3292" y2="16176"/>
                      <a14:foregroundMark x1="16049" y1="25000" x2="16049" y2="25000"/>
                      <a14:foregroundMark x1="24691" y1="45588" x2="24691" y2="45588"/>
                      <a14:foregroundMark x1="39095" y1="19118" x2="39095" y2="19118"/>
                      <a14:foregroundMark x1="53498" y1="11765" x2="53498" y2="11765"/>
                      <a14:foregroundMark x1="61728" y1="17647" x2="61728" y2="17647"/>
                      <a14:foregroundMark x1="76132" y1="26471" x2="76132" y2="26471"/>
                      <a14:foregroundMark x1="91770" y1="11765" x2="91770" y2="1176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707850"/>
          <a:ext cx="770164" cy="159203"/>
        </a:xfrm>
        <a:prstGeom prst="rect">
          <a:avLst/>
        </a:prstGeom>
      </xdr:spPr>
    </xdr:pic>
    <xdr:clientData/>
  </xdr:twoCellAnchor>
  <xdr:twoCellAnchor>
    <xdr:from>
      <xdr:col>11</xdr:col>
      <xdr:colOff>29975</xdr:colOff>
      <xdr:row>114</xdr:row>
      <xdr:rowOff>257737</xdr:rowOff>
    </xdr:from>
    <xdr:to>
      <xdr:col>12</xdr:col>
      <xdr:colOff>520514</xdr:colOff>
      <xdr:row>125</xdr:row>
      <xdr:rowOff>105617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28575</xdr:colOff>
      <xdr:row>115</xdr:row>
      <xdr:rowOff>2241</xdr:rowOff>
    </xdr:from>
    <xdr:to>
      <xdr:col>16</xdr:col>
      <xdr:colOff>414339</xdr:colOff>
      <xdr:row>125</xdr:row>
      <xdr:rowOff>105617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1012031</xdr:colOff>
      <xdr:row>3</xdr:row>
      <xdr:rowOff>62194</xdr:rowOff>
    </xdr:from>
    <xdr:to>
      <xdr:col>16</xdr:col>
      <xdr:colOff>559594</xdr:colOff>
      <xdr:row>10</xdr:row>
      <xdr:rowOff>166689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174732</xdr:colOff>
      <xdr:row>8</xdr:row>
      <xdr:rowOff>166688</xdr:rowOff>
    </xdr:from>
    <xdr:to>
      <xdr:col>37</xdr:col>
      <xdr:colOff>571501</xdr:colOff>
      <xdr:row>29</xdr:row>
      <xdr:rowOff>107157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476250</xdr:colOff>
          <xdr:row>8</xdr:row>
          <xdr:rowOff>19050</xdr:rowOff>
        </xdr:to>
        <xdr:sp macro="" textlink="">
          <xdr:nvSpPr>
            <xdr:cNvPr id="3033089" name="CommandButton1" hidden="1">
              <a:extLst>
                <a:ext uri="{63B3BB69-23CF-44E3-9099-C40C66FF867C}">
                  <a14:compatExt spid="_x0000_s303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14</xdr:col>
      <xdr:colOff>354704</xdr:colOff>
      <xdr:row>37</xdr:row>
      <xdr:rowOff>25433</xdr:rowOff>
    </xdr:from>
    <xdr:to>
      <xdr:col>18</xdr:col>
      <xdr:colOff>138994</xdr:colOff>
      <xdr:row>47</xdr:row>
      <xdr:rowOff>6964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354704</xdr:colOff>
      <xdr:row>88</xdr:row>
      <xdr:rowOff>189415</xdr:rowOff>
    </xdr:from>
    <xdr:to>
      <xdr:col>18</xdr:col>
      <xdr:colOff>136892</xdr:colOff>
      <xdr:row>98</xdr:row>
      <xdr:rowOff>189415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354704</xdr:colOff>
      <xdr:row>101</xdr:row>
      <xdr:rowOff>188560</xdr:rowOff>
    </xdr:from>
    <xdr:to>
      <xdr:col>19</xdr:col>
      <xdr:colOff>148799</xdr:colOff>
      <xdr:row>111</xdr:row>
      <xdr:rowOff>189803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354704</xdr:colOff>
      <xdr:row>75</xdr:row>
      <xdr:rowOff>173677</xdr:rowOff>
    </xdr:from>
    <xdr:to>
      <xdr:col>18</xdr:col>
      <xdr:colOff>138994</xdr:colOff>
      <xdr:row>85</xdr:row>
      <xdr:rowOff>190272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2:V45"/>
  <sheetViews>
    <sheetView showGridLines="0" zoomScale="85" zoomScaleNormal="85" workbookViewId="0">
      <selection activeCell="N42" sqref="N42"/>
    </sheetView>
  </sheetViews>
  <sheetFormatPr defaultRowHeight="15"/>
  <cols>
    <col min="3" max="3" width="14" bestFit="1" customWidth="1"/>
    <col min="4" max="4" width="13.28515625" bestFit="1" customWidth="1"/>
    <col min="5" max="5" width="20.42578125" customWidth="1"/>
    <col min="6" max="6" width="17.5703125" customWidth="1"/>
    <col min="7" max="7" width="8.140625" customWidth="1"/>
    <col min="8" max="8" width="19.140625" bestFit="1" customWidth="1"/>
    <col min="9" max="9" width="12" bestFit="1" customWidth="1"/>
    <col min="10" max="10" width="13.28515625" bestFit="1" customWidth="1"/>
    <col min="11" max="11" width="12.5703125" bestFit="1" customWidth="1"/>
    <col min="12" max="12" width="16.140625" bestFit="1" customWidth="1"/>
    <col min="14" max="14" width="12.85546875" bestFit="1" customWidth="1"/>
    <col min="18" max="18" width="9.85546875" bestFit="1" customWidth="1"/>
    <col min="19" max="21" width="10.7109375" customWidth="1"/>
  </cols>
  <sheetData>
    <row r="2" spans="1:22">
      <c r="A2" s="1" t="s">
        <v>57</v>
      </c>
      <c r="B2" s="1" t="s">
        <v>14</v>
      </c>
      <c r="C2" s="1" t="s">
        <v>8</v>
      </c>
      <c r="D2" s="1" t="s">
        <v>19</v>
      </c>
      <c r="E2" s="18" t="s">
        <v>47</v>
      </c>
      <c r="F2" s="18" t="s">
        <v>53</v>
      </c>
      <c r="H2" s="3" t="s">
        <v>3</v>
      </c>
      <c r="I2" s="4" t="s">
        <v>43</v>
      </c>
      <c r="J2" s="4" t="s">
        <v>27</v>
      </c>
      <c r="K2" s="4" t="s">
        <v>28</v>
      </c>
      <c r="L2" s="5" t="s">
        <v>44</v>
      </c>
      <c r="N2" s="241" t="s">
        <v>85</v>
      </c>
      <c r="O2" s="242"/>
      <c r="R2" s="48"/>
      <c r="S2" s="49"/>
      <c r="T2" s="48"/>
      <c r="U2" s="48"/>
    </row>
    <row r="3" spans="1:22">
      <c r="A3" s="2">
        <v>1</v>
      </c>
      <c r="B3" s="2" t="s">
        <v>10</v>
      </c>
      <c r="C3" s="2" t="s">
        <v>29</v>
      </c>
      <c r="D3" s="2" t="s">
        <v>20</v>
      </c>
      <c r="E3" s="2">
        <v>1</v>
      </c>
      <c r="F3" s="2" t="s">
        <v>54</v>
      </c>
      <c r="H3" s="14" t="s">
        <v>29</v>
      </c>
      <c r="I3" s="6">
        <v>32</v>
      </c>
      <c r="J3" s="6">
        <v>24</v>
      </c>
      <c r="K3" s="6">
        <f t="shared" ref="K3:K12" si="0">I3*J3</f>
        <v>768</v>
      </c>
      <c r="L3" s="7" t="s">
        <v>30</v>
      </c>
      <c r="N3" s="71" t="s">
        <v>20</v>
      </c>
      <c r="O3" s="71">
        <v>6</v>
      </c>
      <c r="Q3" s="48"/>
      <c r="R3" s="48"/>
      <c r="S3" s="49"/>
      <c r="T3" s="48"/>
      <c r="U3" s="48"/>
    </row>
    <row r="4" spans="1:22">
      <c r="A4" s="2">
        <v>2</v>
      </c>
      <c r="B4" s="2" t="s">
        <v>11</v>
      </c>
      <c r="C4" s="2" t="s">
        <v>31</v>
      </c>
      <c r="D4" s="2" t="s">
        <v>21</v>
      </c>
      <c r="E4" s="2">
        <v>2</v>
      </c>
      <c r="F4" s="2" t="s">
        <v>55</v>
      </c>
      <c r="H4" s="15" t="s">
        <v>31</v>
      </c>
      <c r="I4" s="8">
        <v>25</v>
      </c>
      <c r="J4" s="8">
        <v>52</v>
      </c>
      <c r="K4" s="8">
        <f t="shared" si="0"/>
        <v>1300</v>
      </c>
      <c r="L4" s="9" t="s">
        <v>32</v>
      </c>
      <c r="N4" s="71" t="s">
        <v>21</v>
      </c>
      <c r="O4" s="71">
        <v>7</v>
      </c>
      <c r="Q4" s="48" t="s">
        <v>88</v>
      </c>
    </row>
    <row r="5" spans="1:22">
      <c r="A5" s="2">
        <v>3</v>
      </c>
      <c r="B5" s="2" t="s">
        <v>15</v>
      </c>
      <c r="C5" s="2" t="s">
        <v>33</v>
      </c>
      <c r="D5" s="2" t="s">
        <v>22</v>
      </c>
      <c r="E5" s="2">
        <v>3</v>
      </c>
      <c r="F5" s="2"/>
      <c r="H5" s="15" t="s">
        <v>33</v>
      </c>
      <c r="I5" s="8">
        <v>20</v>
      </c>
      <c r="J5" s="8">
        <v>56</v>
      </c>
      <c r="K5" s="8">
        <f t="shared" si="0"/>
        <v>1120</v>
      </c>
      <c r="L5" s="9" t="s">
        <v>30</v>
      </c>
      <c r="N5" s="71" t="s">
        <v>22</v>
      </c>
      <c r="O5" s="71">
        <v>12</v>
      </c>
      <c r="Q5" s="48"/>
      <c r="R5" s="48"/>
      <c r="S5" s="85">
        <v>1</v>
      </c>
      <c r="T5" s="85">
        <v>2</v>
      </c>
      <c r="U5" s="86">
        <v>3</v>
      </c>
      <c r="V5" s="71"/>
    </row>
    <row r="6" spans="1:22" ht="15" customHeight="1">
      <c r="A6" s="2"/>
      <c r="B6" s="2" t="s">
        <v>16</v>
      </c>
      <c r="C6" s="2" t="s">
        <v>34</v>
      </c>
      <c r="D6" s="2" t="s">
        <v>23</v>
      </c>
      <c r="E6" s="2">
        <v>4</v>
      </c>
      <c r="F6" s="2"/>
      <c r="H6" s="15" t="s">
        <v>34</v>
      </c>
      <c r="I6" s="8">
        <v>22</v>
      </c>
      <c r="J6" s="8">
        <v>36</v>
      </c>
      <c r="K6" s="8">
        <f t="shared" si="0"/>
        <v>792</v>
      </c>
      <c r="L6" s="9" t="s">
        <v>35</v>
      </c>
      <c r="N6" s="71" t="s">
        <v>23</v>
      </c>
      <c r="O6" s="71">
        <v>14</v>
      </c>
      <c r="R6" s="75" t="s">
        <v>29</v>
      </c>
      <c r="S6" s="83">
        <v>518.91891891891885</v>
      </c>
      <c r="T6" s="76">
        <v>900</v>
      </c>
      <c r="U6" s="77">
        <v>1365.3333333333333</v>
      </c>
      <c r="V6" s="55"/>
    </row>
    <row r="7" spans="1:22">
      <c r="B7" s="2"/>
      <c r="C7" s="2" t="s">
        <v>113</v>
      </c>
      <c r="D7" s="2" t="s">
        <v>90</v>
      </c>
      <c r="E7" s="2">
        <v>5</v>
      </c>
      <c r="F7" s="2"/>
      <c r="H7" s="15" t="s">
        <v>113</v>
      </c>
      <c r="I7" s="8">
        <v>10</v>
      </c>
      <c r="J7" s="8">
        <v>36</v>
      </c>
      <c r="K7" s="8">
        <f t="shared" si="0"/>
        <v>360</v>
      </c>
      <c r="L7" s="7" t="s">
        <v>30</v>
      </c>
      <c r="N7" s="71" t="s">
        <v>90</v>
      </c>
      <c r="O7" s="71">
        <v>6</v>
      </c>
      <c r="R7" s="78" t="s">
        <v>31</v>
      </c>
      <c r="S7" s="54">
        <v>725.80645161290317</v>
      </c>
      <c r="T7" s="60">
        <v>1200</v>
      </c>
      <c r="U7" s="58">
        <v>1935.483870967742</v>
      </c>
      <c r="V7" s="55"/>
    </row>
    <row r="8" spans="1:22">
      <c r="B8" s="2"/>
      <c r="C8" s="2" t="s">
        <v>36</v>
      </c>
      <c r="D8" s="2" t="s">
        <v>91</v>
      </c>
      <c r="E8" s="2" t="s">
        <v>48</v>
      </c>
      <c r="F8" s="2"/>
      <c r="H8" s="15" t="s">
        <v>36</v>
      </c>
      <c r="I8" s="8">
        <v>15</v>
      </c>
      <c r="J8" s="8">
        <v>51</v>
      </c>
      <c r="K8" s="8">
        <f t="shared" si="0"/>
        <v>765</v>
      </c>
      <c r="L8" s="9" t="s">
        <v>35</v>
      </c>
      <c r="N8" s="71" t="s">
        <v>91</v>
      </c>
      <c r="O8" s="71">
        <v>7</v>
      </c>
      <c r="R8" s="78" t="s">
        <v>33</v>
      </c>
      <c r="S8" s="54">
        <v>825.6880733944954</v>
      </c>
      <c r="T8" s="60">
        <v>1500</v>
      </c>
      <c r="U8" s="58">
        <v>2201.8348623853212</v>
      </c>
      <c r="V8" s="55"/>
    </row>
    <row r="9" spans="1:22">
      <c r="B9" s="2"/>
      <c r="C9" s="2" t="s">
        <v>61</v>
      </c>
      <c r="D9" s="2"/>
      <c r="E9" s="2" t="s">
        <v>49</v>
      </c>
      <c r="F9" s="2"/>
      <c r="H9" s="14" t="s">
        <v>61</v>
      </c>
      <c r="I9" s="6">
        <v>32</v>
      </c>
      <c r="J9" s="6">
        <v>12</v>
      </c>
      <c r="K9" s="6">
        <f t="shared" si="0"/>
        <v>384</v>
      </c>
      <c r="L9" s="7" t="s">
        <v>30</v>
      </c>
      <c r="N9" s="71"/>
      <c r="O9" s="71"/>
      <c r="R9" s="78" t="s">
        <v>34</v>
      </c>
      <c r="S9" s="54">
        <v>900</v>
      </c>
      <c r="T9" s="60">
        <v>1764.7058823529412</v>
      </c>
      <c r="U9" s="58">
        <v>2400</v>
      </c>
      <c r="V9" s="55"/>
    </row>
    <row r="10" spans="1:22" ht="15.75" thickBot="1">
      <c r="B10" s="2"/>
      <c r="C10" s="2" t="s">
        <v>60</v>
      </c>
      <c r="D10" s="2"/>
      <c r="H10" s="15" t="s">
        <v>60</v>
      </c>
      <c r="I10" s="8">
        <v>25</v>
      </c>
      <c r="J10" s="8">
        <v>52</v>
      </c>
      <c r="K10" s="8">
        <f t="shared" si="0"/>
        <v>1300</v>
      </c>
      <c r="L10" s="9" t="s">
        <v>32</v>
      </c>
      <c r="N10" s="71"/>
      <c r="O10" s="71"/>
      <c r="R10" s="78" t="s">
        <v>36</v>
      </c>
      <c r="S10" s="54">
        <v>957.44680851063833</v>
      </c>
      <c r="T10" s="60">
        <v>1836.7346938775511</v>
      </c>
      <c r="U10" s="58">
        <v>2553.1914893617022</v>
      </c>
      <c r="V10" s="55"/>
    </row>
    <row r="11" spans="1:22">
      <c r="B11" s="2"/>
      <c r="C11" s="2" t="s">
        <v>62</v>
      </c>
      <c r="H11" s="15" t="s">
        <v>62</v>
      </c>
      <c r="I11" s="8">
        <v>20</v>
      </c>
      <c r="J11" s="8">
        <v>56</v>
      </c>
      <c r="K11" s="8">
        <f t="shared" si="0"/>
        <v>1120</v>
      </c>
      <c r="L11" s="9" t="s">
        <v>30</v>
      </c>
      <c r="R11" s="79" t="s">
        <v>61</v>
      </c>
      <c r="S11" s="56">
        <v>518.91891891891885</v>
      </c>
      <c r="T11" s="59">
        <v>900</v>
      </c>
      <c r="U11" s="57">
        <v>1365.3333333333333</v>
      </c>
      <c r="V11" s="55"/>
    </row>
    <row r="12" spans="1:22" ht="15" customHeight="1">
      <c r="B12" s="2"/>
      <c r="C12" s="2" t="s">
        <v>63</v>
      </c>
      <c r="H12" s="15" t="s">
        <v>63</v>
      </c>
      <c r="I12" s="8">
        <v>22</v>
      </c>
      <c r="J12" s="8">
        <v>36</v>
      </c>
      <c r="K12" s="8">
        <f t="shared" si="0"/>
        <v>792</v>
      </c>
      <c r="L12" s="9" t="s">
        <v>35</v>
      </c>
      <c r="R12" s="78" t="s">
        <v>60</v>
      </c>
      <c r="S12" s="54">
        <v>725.80645161290317</v>
      </c>
      <c r="T12" s="60">
        <v>1200</v>
      </c>
      <c r="U12" s="58">
        <v>1935.483870967742</v>
      </c>
      <c r="V12" s="55"/>
    </row>
    <row r="13" spans="1:22">
      <c r="B13" s="2"/>
      <c r="C13" s="2" t="s">
        <v>37</v>
      </c>
      <c r="H13" s="16" t="s">
        <v>37</v>
      </c>
      <c r="I13" s="8">
        <v>24</v>
      </c>
      <c r="J13" s="8">
        <v>45</v>
      </c>
      <c r="K13" s="8">
        <f t="shared" ref="K13:K20" si="1">I13*J13</f>
        <v>1080</v>
      </c>
      <c r="L13" s="9" t="s">
        <v>30</v>
      </c>
      <c r="R13" s="78" t="s">
        <v>62</v>
      </c>
      <c r="S13" s="54">
        <v>825.6880733944954</v>
      </c>
      <c r="T13" s="60">
        <v>1500</v>
      </c>
      <c r="U13" s="58">
        <v>2201.8348623853212</v>
      </c>
      <c r="V13" s="55"/>
    </row>
    <row r="14" spans="1:22">
      <c r="B14" s="2"/>
      <c r="C14" s="2" t="s">
        <v>38</v>
      </c>
      <c r="F14" s="1" t="s">
        <v>99</v>
      </c>
      <c r="H14" s="16" t="s">
        <v>38</v>
      </c>
      <c r="I14" s="8">
        <v>23</v>
      </c>
      <c r="J14" s="8">
        <v>60</v>
      </c>
      <c r="K14" s="8">
        <f t="shared" si="1"/>
        <v>1380</v>
      </c>
      <c r="L14" s="9" t="s">
        <v>42</v>
      </c>
      <c r="R14" s="78" t="s">
        <v>63</v>
      </c>
      <c r="S14" s="54">
        <v>900</v>
      </c>
      <c r="T14" s="60">
        <v>1764.7058823529412</v>
      </c>
      <c r="U14" s="58">
        <v>2400</v>
      </c>
      <c r="V14" s="55"/>
    </row>
    <row r="15" spans="1:22">
      <c r="B15" s="2"/>
      <c r="C15" s="2" t="s">
        <v>39</v>
      </c>
      <c r="F15" s="2">
        <v>1</v>
      </c>
      <c r="H15" s="16" t="s">
        <v>39</v>
      </c>
      <c r="I15" s="8">
        <v>19</v>
      </c>
      <c r="J15" s="12">
        <v>45</v>
      </c>
      <c r="K15" s="8">
        <f t="shared" si="1"/>
        <v>855</v>
      </c>
      <c r="L15" s="9" t="s">
        <v>30</v>
      </c>
      <c r="R15" s="78" t="s">
        <v>37</v>
      </c>
      <c r="S15" s="54">
        <v>654.5454545454545</v>
      </c>
      <c r="T15" s="60">
        <v>757.89473684210532</v>
      </c>
      <c r="U15" s="58">
        <v>1238.7096774193546</v>
      </c>
      <c r="V15" s="55"/>
    </row>
    <row r="16" spans="1:22">
      <c r="C16" s="2" t="s">
        <v>40</v>
      </c>
      <c r="F16" s="2">
        <v>2</v>
      </c>
      <c r="H16" s="16" t="s">
        <v>40</v>
      </c>
      <c r="I16" s="8">
        <v>17</v>
      </c>
      <c r="J16" s="12">
        <v>48</v>
      </c>
      <c r="K16" s="8">
        <f t="shared" si="1"/>
        <v>816</v>
      </c>
      <c r="L16" s="9" t="s">
        <v>42</v>
      </c>
      <c r="R16" s="78" t="s">
        <v>38</v>
      </c>
      <c r="S16" s="54">
        <v>762.71186440677968</v>
      </c>
      <c r="T16" s="60">
        <v>1304.3478260869567</v>
      </c>
      <c r="U16" s="58">
        <v>2033.8983050847457</v>
      </c>
    </row>
    <row r="17" spans="3:21">
      <c r="C17" s="2" t="s">
        <v>20</v>
      </c>
      <c r="F17" s="2">
        <v>3</v>
      </c>
      <c r="H17" s="16" t="s">
        <v>20</v>
      </c>
      <c r="I17" s="8">
        <v>18</v>
      </c>
      <c r="J17" s="8">
        <v>36</v>
      </c>
      <c r="K17" s="8">
        <f t="shared" si="1"/>
        <v>648</v>
      </c>
      <c r="L17" s="9" t="s">
        <v>30</v>
      </c>
      <c r="R17" s="78" t="s">
        <v>39</v>
      </c>
      <c r="S17" s="54">
        <v>849.05660377358492</v>
      </c>
      <c r="T17" s="60">
        <v>1578.9473684210527</v>
      </c>
      <c r="U17" s="58">
        <v>2264.1509433962265</v>
      </c>
    </row>
    <row r="18" spans="3:21">
      <c r="C18" s="2" t="s">
        <v>21</v>
      </c>
      <c r="H18" s="16" t="s">
        <v>21</v>
      </c>
      <c r="I18" s="8">
        <v>18</v>
      </c>
      <c r="J18" s="8">
        <v>36</v>
      </c>
      <c r="K18" s="8">
        <f t="shared" si="1"/>
        <v>648</v>
      </c>
      <c r="L18" s="9" t="s">
        <v>41</v>
      </c>
      <c r="R18" s="80" t="s">
        <v>40</v>
      </c>
      <c r="S18" s="84">
        <v>762.71186440677968</v>
      </c>
      <c r="T18" s="81">
        <v>1304.3478260869567</v>
      </c>
      <c r="U18" s="82">
        <v>2033.8983050847457</v>
      </c>
    </row>
    <row r="19" spans="3:21">
      <c r="C19" s="2" t="s">
        <v>22</v>
      </c>
      <c r="H19" s="16" t="s">
        <v>22</v>
      </c>
      <c r="I19" s="8">
        <v>18</v>
      </c>
      <c r="J19" s="12">
        <v>18</v>
      </c>
      <c r="K19" s="8">
        <f t="shared" si="1"/>
        <v>324</v>
      </c>
      <c r="L19" s="9"/>
      <c r="Q19" s="48"/>
    </row>
    <row r="20" spans="3:21">
      <c r="C20" s="2" t="s">
        <v>23</v>
      </c>
      <c r="H20" s="16" t="s">
        <v>23</v>
      </c>
      <c r="I20" s="8">
        <v>18</v>
      </c>
      <c r="J20" s="8">
        <v>18</v>
      </c>
      <c r="K20" s="8">
        <f t="shared" si="1"/>
        <v>324</v>
      </c>
      <c r="L20" s="9"/>
      <c r="Q20" s="48" t="s">
        <v>89</v>
      </c>
      <c r="R20" s="69"/>
    </row>
    <row r="21" spans="3:21">
      <c r="C21" s="2"/>
      <c r="H21" s="16" t="s">
        <v>90</v>
      </c>
      <c r="I21" s="8">
        <v>18</v>
      </c>
      <c r="J21" s="12">
        <v>36</v>
      </c>
      <c r="K21" s="8">
        <v>648</v>
      </c>
      <c r="L21" s="9"/>
      <c r="Q21" s="48"/>
      <c r="R21" s="70"/>
      <c r="S21" s="85">
        <v>1</v>
      </c>
      <c r="T21" s="86">
        <v>2</v>
      </c>
      <c r="U21" s="86">
        <v>3</v>
      </c>
    </row>
    <row r="22" spans="3:21" ht="15" customHeight="1">
      <c r="C22" s="2"/>
      <c r="H22" s="17" t="s">
        <v>91</v>
      </c>
      <c r="I22" s="10">
        <v>18</v>
      </c>
      <c r="J22" s="13">
        <v>36</v>
      </c>
      <c r="K22" s="10">
        <v>648</v>
      </c>
      <c r="L22" s="11"/>
      <c r="R22" s="75" t="s">
        <v>29</v>
      </c>
      <c r="S22" s="76">
        <v>453.54330708661416</v>
      </c>
      <c r="T22" s="77">
        <v>514.28571428571422</v>
      </c>
      <c r="U22" s="77">
        <v>966.03773584905662</v>
      </c>
    </row>
    <row r="23" spans="3:21">
      <c r="C23" s="2"/>
      <c r="R23" s="78" t="s">
        <v>31</v>
      </c>
      <c r="S23" s="60">
        <v>401.78571428571428</v>
      </c>
      <c r="T23" s="58">
        <v>604.02684563758385</v>
      </c>
      <c r="U23" s="58">
        <v>1071.4285714285716</v>
      </c>
    </row>
    <row r="24" spans="3:21">
      <c r="C24" s="2"/>
      <c r="R24" s="78" t="s">
        <v>33</v>
      </c>
      <c r="S24" s="60">
        <v>476.1904761904762</v>
      </c>
      <c r="T24" s="58">
        <v>697.67441860465124</v>
      </c>
      <c r="U24" s="58">
        <v>1269.8412698412699</v>
      </c>
    </row>
    <row r="25" spans="3:21">
      <c r="C25" s="2"/>
      <c r="E25" s="1" t="s">
        <v>110</v>
      </c>
      <c r="R25" s="78" t="s">
        <v>34</v>
      </c>
      <c r="S25" s="60">
        <v>535.71428571428578</v>
      </c>
      <c r="T25" s="58">
        <v>769.23076923076928</v>
      </c>
      <c r="U25" s="58">
        <v>1428.5714285714284</v>
      </c>
    </row>
    <row r="26" spans="3:21" ht="15.75" thickBot="1">
      <c r="C26" s="2"/>
      <c r="E26" s="2" t="s">
        <v>104</v>
      </c>
      <c r="R26" s="78" t="s">
        <v>36</v>
      </c>
      <c r="S26" s="60">
        <v>584.41558441558436</v>
      </c>
      <c r="T26" s="58">
        <v>825.6880733944954</v>
      </c>
      <c r="U26" s="58">
        <v>1558.4415584415583</v>
      </c>
    </row>
    <row r="27" spans="3:21">
      <c r="C27" s="2"/>
      <c r="E27" s="2" t="s">
        <v>105</v>
      </c>
      <c r="R27" s="79" t="s">
        <v>61</v>
      </c>
      <c r="S27" s="59">
        <v>453.54330708661416</v>
      </c>
      <c r="T27" s="57">
        <v>514.28571428571422</v>
      </c>
      <c r="U27" s="57">
        <v>966.03773584905662</v>
      </c>
    </row>
    <row r="28" spans="3:21" ht="15" customHeight="1">
      <c r="E28" s="2" t="s">
        <v>106</v>
      </c>
      <c r="R28" s="78" t="s">
        <v>60</v>
      </c>
      <c r="S28" s="60">
        <v>401.78571428571428</v>
      </c>
      <c r="T28" s="58">
        <v>604.02684563758385</v>
      </c>
      <c r="U28" s="58">
        <v>1071.4285714285716</v>
      </c>
    </row>
    <row r="29" spans="3:21">
      <c r="E29" s="2" t="s">
        <v>111</v>
      </c>
      <c r="R29" s="78" t="s">
        <v>62</v>
      </c>
      <c r="S29" s="60">
        <v>476.1904761904762</v>
      </c>
      <c r="T29" s="58">
        <v>697.67441860465124</v>
      </c>
      <c r="U29" s="58">
        <v>1269.8412698412699</v>
      </c>
    </row>
    <row r="30" spans="3:21">
      <c r="E30" s="2" t="s">
        <v>107</v>
      </c>
      <c r="R30" s="78" t="s">
        <v>63</v>
      </c>
      <c r="S30" s="60">
        <v>535.71428571428578</v>
      </c>
      <c r="T30" s="58">
        <v>769.23076923076928</v>
      </c>
      <c r="U30" s="58">
        <v>1428.5714285714284</v>
      </c>
    </row>
    <row r="31" spans="3:21">
      <c r="E31" s="2" t="s">
        <v>108</v>
      </c>
      <c r="R31" s="78" t="s">
        <v>37</v>
      </c>
      <c r="S31" s="60">
        <v>378.94736842105266</v>
      </c>
      <c r="T31" s="58">
        <v>514.28571428571433</v>
      </c>
      <c r="U31" s="58">
        <v>796.31336405529953</v>
      </c>
    </row>
    <row r="32" spans="3:21">
      <c r="E32" s="2" t="s">
        <v>112</v>
      </c>
      <c r="R32" s="78" t="s">
        <v>38</v>
      </c>
      <c r="S32" s="60">
        <v>428.57142857142856</v>
      </c>
      <c r="T32" s="58">
        <v>638.29787234042556</v>
      </c>
      <c r="U32" s="58">
        <v>1142.8571428571429</v>
      </c>
    </row>
    <row r="33" spans="5:22">
      <c r="E33" s="2" t="s">
        <v>109</v>
      </c>
      <c r="R33" s="78" t="s">
        <v>39</v>
      </c>
      <c r="S33" s="60">
        <v>494.50549450549454</v>
      </c>
      <c r="T33" s="58">
        <v>720</v>
      </c>
      <c r="U33" s="58">
        <v>1318.6813186813188</v>
      </c>
    </row>
    <row r="34" spans="5:22">
      <c r="R34" s="80" t="s">
        <v>40</v>
      </c>
      <c r="S34" s="81">
        <v>428.57142857142856</v>
      </c>
      <c r="T34" s="82">
        <v>638.29787234042556</v>
      </c>
      <c r="U34" s="82">
        <v>1142.8571428571429</v>
      </c>
      <c r="V34" s="71"/>
    </row>
    <row r="35" spans="5:22">
      <c r="P35" s="72"/>
      <c r="Q35" s="72"/>
      <c r="R35" s="72"/>
      <c r="S35" s="72"/>
      <c r="T35" s="72"/>
      <c r="U35" s="72"/>
      <c r="V35" s="72"/>
    </row>
    <row r="36" spans="5:22">
      <c r="P36" s="72"/>
      <c r="Q36" s="72"/>
      <c r="R36" s="72"/>
      <c r="S36" s="72"/>
      <c r="T36" s="72"/>
      <c r="U36" s="72"/>
      <c r="V36" s="72"/>
    </row>
    <row r="37" spans="5:22">
      <c r="P37" s="72"/>
      <c r="Q37" s="72"/>
      <c r="R37" s="72"/>
      <c r="S37" s="72"/>
      <c r="T37" s="72"/>
      <c r="U37" s="72"/>
      <c r="V37" s="72"/>
    </row>
    <row r="38" spans="5:22">
      <c r="P38" s="72"/>
      <c r="Q38" s="72"/>
      <c r="R38" s="72"/>
      <c r="S38" s="72"/>
      <c r="T38" s="72"/>
      <c r="U38" s="72"/>
      <c r="V38" s="72"/>
    </row>
    <row r="39" spans="5:22">
      <c r="P39" s="72"/>
      <c r="Q39" s="72"/>
      <c r="R39" s="72"/>
      <c r="S39" s="72"/>
      <c r="T39" s="72"/>
      <c r="U39" s="72"/>
      <c r="V39" s="72"/>
    </row>
    <row r="40" spans="5:22">
      <c r="P40" s="72"/>
      <c r="Q40" s="72"/>
      <c r="R40" s="73"/>
      <c r="S40" s="74"/>
      <c r="T40" s="74"/>
      <c r="U40" s="74"/>
      <c r="V40" s="72"/>
    </row>
    <row r="41" spans="5:22">
      <c r="P41" s="72"/>
      <c r="Q41" s="72"/>
      <c r="R41" s="72"/>
      <c r="S41" s="72"/>
      <c r="T41" s="72"/>
      <c r="U41" s="72"/>
      <c r="V41" s="72"/>
    </row>
    <row r="42" spans="5:22">
      <c r="P42" s="72"/>
      <c r="Q42" s="72"/>
      <c r="R42" s="72"/>
      <c r="S42" s="72"/>
      <c r="T42" s="72"/>
      <c r="U42" s="72"/>
      <c r="V42" s="72"/>
    </row>
    <row r="43" spans="5:22">
      <c r="P43" s="72"/>
      <c r="Q43" s="72"/>
      <c r="R43" s="72"/>
      <c r="S43" s="72"/>
      <c r="T43" s="72"/>
      <c r="U43" s="72"/>
      <c r="V43" s="72"/>
    </row>
    <row r="44" spans="5:22">
      <c r="P44" s="72"/>
      <c r="Q44" s="72"/>
      <c r="R44" s="72"/>
      <c r="S44" s="72"/>
      <c r="T44" s="72"/>
      <c r="U44" s="72"/>
      <c r="V44" s="72"/>
    </row>
    <row r="45" spans="5:22">
      <c r="P45" s="72"/>
      <c r="Q45" s="72"/>
      <c r="R45" s="72"/>
      <c r="S45" s="72"/>
      <c r="T45" s="72"/>
      <c r="U45" s="72"/>
      <c r="V45" s="72"/>
    </row>
  </sheetData>
  <sheetProtection password="CFD7" sheet="1" objects="1" scenarios="1"/>
  <sortState ref="H3:L21">
    <sortCondition ref="H3"/>
  </sortState>
  <mergeCells count="1">
    <mergeCell ref="N2:O2"/>
  </mergeCells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652"/>
  <dimension ref="A1:AX338"/>
  <sheetViews>
    <sheetView showGridLines="0" topLeftCell="G31" zoomScale="80" zoomScaleNormal="80" zoomScaleSheetLayoutView="100" zoomScalePageLayoutView="70" workbookViewId="0">
      <selection activeCell="I39" sqref="I39"/>
    </sheetView>
  </sheetViews>
  <sheetFormatPr defaultRowHeight="15"/>
  <cols>
    <col min="1" max="1" width="2.28515625" style="39" customWidth="1"/>
    <col min="2" max="2" width="3.7109375" style="39" customWidth="1"/>
    <col min="3" max="3" width="13.140625" style="39" customWidth="1"/>
    <col min="4" max="4" width="16.28515625" style="39" bestFit="1" customWidth="1"/>
    <col min="5" max="5" width="12.7109375" style="39" customWidth="1"/>
    <col min="6" max="6" width="12.140625" style="39" customWidth="1"/>
    <col min="7" max="9" width="10.7109375" style="39" customWidth="1"/>
    <col min="10" max="10" width="8.42578125" style="39" bestFit="1" customWidth="1"/>
    <col min="11" max="11" width="12.7109375" style="39" customWidth="1"/>
    <col min="12" max="12" width="24" style="39" customWidth="1"/>
    <col min="13" max="13" width="12.42578125" style="39" customWidth="1"/>
    <col min="14" max="14" width="11.140625" style="39" customWidth="1"/>
    <col min="15" max="15" width="11" style="39" bestFit="1" customWidth="1"/>
    <col min="16" max="16" width="9.140625" style="39"/>
    <col min="17" max="17" width="15.140625" style="39" customWidth="1"/>
    <col min="18" max="18" width="2.140625" style="203" customWidth="1"/>
    <col min="19" max="19" width="2.140625" style="39" customWidth="1"/>
    <col min="20" max="20" width="5.7109375" style="39" customWidth="1"/>
    <col min="21" max="22" width="15.7109375" style="39" customWidth="1"/>
    <col min="23" max="38" width="10.7109375" style="39" customWidth="1"/>
    <col min="39" max="39" width="3.140625" style="30" customWidth="1"/>
    <col min="40" max="40" width="9.140625" style="30"/>
    <col min="41" max="50" width="9.140625" style="134"/>
    <col min="51" max="16384" width="9.140625" style="2"/>
  </cols>
  <sheetData>
    <row r="1" spans="1:50" ht="15" customHeight="1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133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</row>
    <row r="2" spans="1:50" ht="21">
      <c r="A2" s="30"/>
      <c r="B2" s="30"/>
      <c r="C2" s="30"/>
      <c r="D2" s="30"/>
      <c r="E2" s="222" t="s">
        <v>67</v>
      </c>
      <c r="F2" s="135"/>
      <c r="G2" s="135"/>
      <c r="H2" s="135"/>
      <c r="I2" s="135"/>
      <c r="J2" s="136"/>
      <c r="K2" s="137" t="s">
        <v>70</v>
      </c>
      <c r="L2" s="31">
        <v>43710</v>
      </c>
      <c r="M2" s="137" t="s">
        <v>71</v>
      </c>
      <c r="N2" s="138" t="s">
        <v>16</v>
      </c>
      <c r="O2" s="137" t="s">
        <v>72</v>
      </c>
      <c r="P2" s="139">
        <v>1</v>
      </c>
      <c r="Q2" s="30"/>
      <c r="R2" s="133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133"/>
      <c r="AE2" s="133"/>
      <c r="AF2" s="133"/>
      <c r="AG2" s="133"/>
      <c r="AH2" s="133"/>
      <c r="AI2" s="133"/>
      <c r="AJ2" s="133"/>
      <c r="AK2" s="133"/>
      <c r="AL2" s="30"/>
    </row>
    <row r="3" spans="1:50" ht="15" customHeight="1" thickBot="1">
      <c r="A3" s="30"/>
      <c r="B3" s="30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30"/>
      <c r="AM3" s="133"/>
    </row>
    <row r="4" spans="1:50" s="146" customFormat="1" ht="9.9499999999999993" customHeight="1">
      <c r="A4" s="30"/>
      <c r="B4" s="140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141"/>
      <c r="R4" s="142"/>
      <c r="S4" s="143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5"/>
      <c r="AM4" s="133"/>
      <c r="AN4" s="30"/>
      <c r="AO4" s="134"/>
      <c r="AP4" s="134"/>
      <c r="AQ4" s="134"/>
      <c r="AR4" s="134"/>
      <c r="AS4" s="134"/>
      <c r="AT4" s="134"/>
      <c r="AU4" s="134"/>
      <c r="AV4" s="134"/>
      <c r="AW4" s="134"/>
      <c r="AX4" s="134"/>
    </row>
    <row r="5" spans="1:50" s="146" customFormat="1" ht="15.75">
      <c r="A5" s="30"/>
      <c r="B5" s="147"/>
      <c r="C5" s="40" t="s">
        <v>66</v>
      </c>
      <c r="D5" s="34"/>
      <c r="E5" s="34"/>
      <c r="F5" s="34"/>
      <c r="G5" s="34"/>
      <c r="H5" s="34"/>
      <c r="I5" s="34"/>
      <c r="J5" s="34"/>
      <c r="K5" s="34"/>
      <c r="L5" s="34"/>
      <c r="M5" s="148"/>
      <c r="N5" s="148"/>
      <c r="O5" s="148"/>
      <c r="P5" s="148"/>
      <c r="Q5" s="149"/>
      <c r="R5" s="142"/>
      <c r="S5" s="150"/>
      <c r="T5" s="204" t="s">
        <v>65</v>
      </c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2"/>
      <c r="AJ5" s="152"/>
      <c r="AK5" s="152"/>
      <c r="AL5" s="153"/>
      <c r="AM5" s="133"/>
      <c r="AN5" s="30"/>
      <c r="AO5" s="134"/>
      <c r="AP5" s="134"/>
      <c r="AQ5" s="134"/>
      <c r="AR5" s="134"/>
      <c r="AS5" s="134"/>
      <c r="AT5" s="134"/>
      <c r="AU5" s="134"/>
      <c r="AV5" s="134"/>
      <c r="AW5" s="134"/>
      <c r="AX5" s="134"/>
    </row>
    <row r="6" spans="1:50" ht="15" customHeight="1" thickBot="1">
      <c r="A6" s="30"/>
      <c r="B6" s="147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154"/>
      <c r="R6" s="155"/>
      <c r="S6" s="156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8"/>
      <c r="AM6" s="133"/>
    </row>
    <row r="7" spans="1:50" ht="18.75" customHeight="1">
      <c r="A7" s="30"/>
      <c r="B7" s="147"/>
      <c r="C7" s="35"/>
      <c r="D7" s="35"/>
      <c r="E7" s="305" t="s">
        <v>101</v>
      </c>
      <c r="F7" s="306"/>
      <c r="G7" s="159" t="s">
        <v>0</v>
      </c>
      <c r="H7" s="160" t="s">
        <v>1</v>
      </c>
      <c r="I7" s="160" t="s">
        <v>18</v>
      </c>
      <c r="J7" s="160" t="s">
        <v>68</v>
      </c>
      <c r="K7" s="160" t="s">
        <v>74</v>
      </c>
      <c r="L7" s="113" t="s">
        <v>75</v>
      </c>
      <c r="M7" s="35"/>
      <c r="N7" s="35"/>
      <c r="O7" s="35"/>
      <c r="P7" s="35"/>
      <c r="Q7" s="154"/>
      <c r="R7" s="133"/>
      <c r="S7" s="156"/>
      <c r="T7" s="157"/>
      <c r="U7" s="157"/>
      <c r="V7" s="161"/>
      <c r="W7" s="305" t="s">
        <v>100</v>
      </c>
      <c r="X7" s="306"/>
      <c r="Y7" s="309"/>
      <c r="Z7" s="52" t="s">
        <v>19</v>
      </c>
      <c r="AA7" s="68" t="s">
        <v>52</v>
      </c>
      <c r="AB7" s="51" t="s">
        <v>50</v>
      </c>
      <c r="AC7" s="68" t="s">
        <v>51</v>
      </c>
      <c r="AD7" s="68" t="s">
        <v>96</v>
      </c>
      <c r="AE7" s="53" t="s">
        <v>97</v>
      </c>
      <c r="AF7" s="311" t="s">
        <v>73</v>
      </c>
      <c r="AG7" s="312"/>
      <c r="AH7" s="157"/>
      <c r="AI7" s="157"/>
      <c r="AJ7" s="157"/>
      <c r="AK7" s="157"/>
      <c r="AL7" s="158"/>
      <c r="AM7" s="133"/>
    </row>
    <row r="8" spans="1:50" ht="21.75" thickBot="1">
      <c r="A8" s="30"/>
      <c r="B8" s="147"/>
      <c r="C8" s="35"/>
      <c r="D8" s="35"/>
      <c r="E8" s="307"/>
      <c r="F8" s="308"/>
      <c r="G8" s="162">
        <f>G21+G34+G47+G60+G73+G86+G99+G112</f>
        <v>42453</v>
      </c>
      <c r="H8" s="163">
        <f>H21+H34+H47+H60+H73+H86+H99+H112</f>
        <v>4300</v>
      </c>
      <c r="I8" s="217">
        <f>I21+I34+I47+I60+I73+I86+I99+I112</f>
        <v>2349</v>
      </c>
      <c r="J8" s="163">
        <f>+I8+H8+G8</f>
        <v>49102</v>
      </c>
      <c r="K8" s="114">
        <f>IF(J8&lt;&gt;0,G8/J8,0)</f>
        <v>0.86458800048877849</v>
      </c>
      <c r="L8" s="115">
        <v>0.96</v>
      </c>
      <c r="M8" s="35"/>
      <c r="N8" s="35"/>
      <c r="O8" s="35"/>
      <c r="P8" s="35"/>
      <c r="Q8" s="154"/>
      <c r="R8" s="133"/>
      <c r="S8" s="156"/>
      <c r="T8" s="157"/>
      <c r="U8" s="157"/>
      <c r="V8" s="161"/>
      <c r="W8" s="307"/>
      <c r="X8" s="308"/>
      <c r="Y8" s="310"/>
      <c r="Z8" s="93">
        <f>Y29+Y50</f>
        <v>1908</v>
      </c>
      <c r="AA8" s="164">
        <f>Z8*18</f>
        <v>34344</v>
      </c>
      <c r="AB8" s="94">
        <f>+AB71</f>
        <v>18394</v>
      </c>
      <c r="AC8" s="95">
        <f>+AC71</f>
        <v>792</v>
      </c>
      <c r="AD8" s="95">
        <f>+X84</f>
        <v>0</v>
      </c>
      <c r="AE8" s="96">
        <f>+AG84</f>
        <v>0</v>
      </c>
      <c r="AF8" s="313">
        <f>+SUM(AA8:AD8)</f>
        <v>53530</v>
      </c>
      <c r="AG8" s="314"/>
      <c r="AH8" s="157"/>
      <c r="AI8" s="157"/>
      <c r="AJ8" s="157"/>
      <c r="AK8" s="157"/>
      <c r="AL8" s="158"/>
      <c r="AM8" s="133"/>
    </row>
    <row r="9" spans="1:50" ht="21.75" thickBot="1">
      <c r="A9" s="30"/>
      <c r="B9" s="147"/>
      <c r="C9" s="35"/>
      <c r="D9" s="35"/>
      <c r="E9" s="19"/>
      <c r="F9" s="19"/>
      <c r="G9" s="165"/>
      <c r="H9" s="165"/>
      <c r="I9" s="165"/>
      <c r="J9" s="165"/>
      <c r="K9" s="43"/>
      <c r="L9" s="44"/>
      <c r="M9" s="35"/>
      <c r="N9" s="35"/>
      <c r="O9" s="35"/>
      <c r="P9" s="35"/>
      <c r="Q9" s="154"/>
      <c r="R9" s="133"/>
      <c r="S9" s="156"/>
      <c r="T9" s="157"/>
      <c r="U9" s="157"/>
      <c r="V9" s="21"/>
      <c r="W9" s="21"/>
      <c r="X9" s="21"/>
      <c r="Y9" s="166"/>
      <c r="Z9" s="167"/>
      <c r="AA9" s="167"/>
      <c r="AB9" s="166"/>
      <c r="AC9" s="166"/>
      <c r="AD9" s="166"/>
      <c r="AE9" s="22"/>
      <c r="AF9" s="22"/>
      <c r="AG9" s="22"/>
      <c r="AH9" s="157"/>
      <c r="AI9" s="157"/>
      <c r="AJ9" s="157"/>
      <c r="AK9" s="157"/>
      <c r="AL9" s="158"/>
      <c r="AM9" s="133"/>
    </row>
    <row r="10" spans="1:50" ht="19.5" customHeight="1">
      <c r="A10" s="30"/>
      <c r="B10" s="147"/>
      <c r="C10" s="253">
        <v>1</v>
      </c>
      <c r="D10" s="255">
        <f>K21</f>
        <v>0.56399999999999995</v>
      </c>
      <c r="E10" s="19"/>
      <c r="F10" s="19"/>
      <c r="G10" s="168"/>
      <c r="H10" s="168"/>
      <c r="I10" s="168"/>
      <c r="J10" s="168"/>
      <c r="K10" s="169"/>
      <c r="L10" s="20"/>
      <c r="M10" s="35"/>
      <c r="N10" s="35"/>
      <c r="O10" s="35"/>
      <c r="P10" s="35"/>
      <c r="Q10" s="154"/>
      <c r="R10" s="133"/>
      <c r="S10" s="156"/>
      <c r="T10" s="282" t="s">
        <v>114</v>
      </c>
      <c r="U10" s="283"/>
      <c r="V10" s="284"/>
      <c r="W10" s="21"/>
      <c r="X10" s="21"/>
      <c r="Y10" s="167"/>
      <c r="Z10" s="167"/>
      <c r="AA10" s="167"/>
      <c r="AB10" s="167"/>
      <c r="AC10" s="166"/>
      <c r="AD10" s="166"/>
      <c r="AE10" s="22"/>
      <c r="AF10" s="22"/>
      <c r="AG10" s="22"/>
      <c r="AH10" s="157"/>
      <c r="AI10" s="157"/>
      <c r="AJ10" s="157"/>
      <c r="AK10" s="157"/>
      <c r="AL10" s="158"/>
      <c r="AM10" s="133"/>
    </row>
    <row r="11" spans="1:50" ht="15" customHeight="1" thickBot="1">
      <c r="A11" s="30"/>
      <c r="B11" s="147"/>
      <c r="C11" s="254"/>
      <c r="D11" s="256"/>
      <c r="E11" s="131"/>
      <c r="F11" s="131"/>
      <c r="G11" s="131"/>
      <c r="H11" s="131"/>
      <c r="I11" s="131"/>
      <c r="J11" s="131"/>
      <c r="K11" s="131"/>
      <c r="L11" s="35"/>
      <c r="M11" s="35"/>
      <c r="N11" s="35"/>
      <c r="O11" s="35"/>
      <c r="P11" s="35"/>
      <c r="Q11" s="154"/>
      <c r="R11" s="133"/>
      <c r="S11" s="156"/>
      <c r="T11" s="285"/>
      <c r="U11" s="286"/>
      <c r="V11" s="287"/>
      <c r="W11" s="170"/>
      <c r="X11" s="170"/>
      <c r="Y11" s="170"/>
      <c r="Z11" s="170"/>
      <c r="AA11" s="170"/>
      <c r="AB11" s="170"/>
      <c r="AC11" s="170"/>
      <c r="AD11" s="170"/>
      <c r="AE11" s="157"/>
      <c r="AF11" s="157"/>
      <c r="AG11" s="157"/>
      <c r="AH11" s="157"/>
      <c r="AI11" s="157"/>
      <c r="AJ11" s="157"/>
      <c r="AK11" s="157"/>
      <c r="AL11" s="158"/>
      <c r="AM11" s="133"/>
    </row>
    <row r="12" spans="1:50" ht="15" customHeight="1">
      <c r="A12" s="30"/>
      <c r="B12" s="147"/>
      <c r="C12" s="29" t="s">
        <v>2</v>
      </c>
      <c r="D12" s="23" t="s">
        <v>6</v>
      </c>
      <c r="E12" s="23" t="s">
        <v>3</v>
      </c>
      <c r="F12" s="23" t="s">
        <v>58</v>
      </c>
      <c r="G12" s="231" t="s">
        <v>0</v>
      </c>
      <c r="H12" s="231" t="s">
        <v>1</v>
      </c>
      <c r="I12" s="231" t="s">
        <v>18</v>
      </c>
      <c r="J12" s="231" t="s">
        <v>5</v>
      </c>
      <c r="K12" s="23" t="s">
        <v>13</v>
      </c>
      <c r="L12" s="23" t="s">
        <v>17</v>
      </c>
      <c r="M12" s="23" t="s">
        <v>9</v>
      </c>
      <c r="N12" s="240" t="s">
        <v>77</v>
      </c>
      <c r="O12" s="24" t="s">
        <v>12</v>
      </c>
      <c r="P12" s="35"/>
      <c r="Q12" s="154"/>
      <c r="R12" s="133"/>
      <c r="S12" s="156"/>
      <c r="T12" s="45" t="s">
        <v>2</v>
      </c>
      <c r="U12" s="46" t="s">
        <v>24</v>
      </c>
      <c r="V12" s="46" t="s">
        <v>4</v>
      </c>
      <c r="W12" s="23" t="s">
        <v>82</v>
      </c>
      <c r="X12" s="46" t="s">
        <v>45</v>
      </c>
      <c r="Y12" s="46" t="s">
        <v>25</v>
      </c>
      <c r="Z12" s="46" t="s">
        <v>26</v>
      </c>
      <c r="AA12" s="46" t="s">
        <v>84</v>
      </c>
      <c r="AB12" s="46" t="s">
        <v>102</v>
      </c>
      <c r="AC12" s="46" t="s">
        <v>76</v>
      </c>
      <c r="AD12" s="299" t="s">
        <v>78</v>
      </c>
      <c r="AE12" s="299"/>
      <c r="AF12" s="300"/>
      <c r="AG12" s="157"/>
      <c r="AH12" s="157"/>
      <c r="AI12" s="157"/>
      <c r="AJ12" s="157"/>
      <c r="AK12" s="157"/>
      <c r="AL12" s="158"/>
      <c r="AM12" s="133"/>
    </row>
    <row r="13" spans="1:50" ht="15" customHeight="1">
      <c r="A13" s="30"/>
      <c r="B13" s="147"/>
      <c r="C13" s="232">
        <v>1</v>
      </c>
      <c r="D13" s="210"/>
      <c r="E13" s="210" t="s">
        <v>36</v>
      </c>
      <c r="F13" s="100" t="s">
        <v>116</v>
      </c>
      <c r="G13" s="124">
        <v>255</v>
      </c>
      <c r="H13" s="125">
        <v>120</v>
      </c>
      <c r="I13" s="126">
        <v>11</v>
      </c>
      <c r="J13" s="234">
        <f t="shared" ref="J13:J20" si="0">SUM(G13:I13)</f>
        <v>386</v>
      </c>
      <c r="K13" s="171">
        <f t="shared" ref="K13:K21" si="1">IF(J13&lt;&gt;0,G13/J13,0)</f>
        <v>0.6606217616580311</v>
      </c>
      <c r="L13" s="213" t="s">
        <v>166</v>
      </c>
      <c r="M13" s="213"/>
      <c r="N13" s="223"/>
      <c r="O13" s="210"/>
      <c r="P13" s="35"/>
      <c r="Q13" s="154"/>
      <c r="R13" s="133"/>
      <c r="S13" s="156" t="s">
        <v>56</v>
      </c>
      <c r="T13" s="293">
        <v>1</v>
      </c>
      <c r="U13" s="211" t="s">
        <v>91</v>
      </c>
      <c r="V13" s="211" t="s">
        <v>117</v>
      </c>
      <c r="W13" s="211"/>
      <c r="X13" s="211">
        <v>5</v>
      </c>
      <c r="Y13" s="234">
        <f>IF(U13&lt;&gt;"",X13*VLOOKUP(U13,Listas!$H$3:$L$23,3,0),0)</f>
        <v>180</v>
      </c>
      <c r="Z13" s="234">
        <f>Y13*18</f>
        <v>3240</v>
      </c>
      <c r="AA13" s="272">
        <f>+SUM(Z13:Z14)</f>
        <v>3240</v>
      </c>
      <c r="AB13" s="234">
        <f>IF(U13&lt;&gt;"",VLOOKUP(U13,Listas!$N$3:$O$10,2,FALSE),"")</f>
        <v>7</v>
      </c>
      <c r="AC13" s="301"/>
      <c r="AD13" s="274"/>
      <c r="AE13" s="275"/>
      <c r="AF13" s="276"/>
      <c r="AG13" s="157"/>
      <c r="AH13" s="157"/>
      <c r="AI13" s="157"/>
      <c r="AJ13" s="157"/>
      <c r="AK13" s="157"/>
      <c r="AL13" s="158"/>
      <c r="AM13" s="133"/>
    </row>
    <row r="14" spans="1:50" ht="15" customHeight="1">
      <c r="A14" s="30"/>
      <c r="B14" s="147"/>
      <c r="C14" s="28">
        <v>2</v>
      </c>
      <c r="D14" s="210"/>
      <c r="E14" s="210" t="s">
        <v>36</v>
      </c>
      <c r="F14" s="100" t="s">
        <v>116</v>
      </c>
      <c r="G14" s="124">
        <v>345</v>
      </c>
      <c r="H14" s="125">
        <v>10</v>
      </c>
      <c r="I14" s="126">
        <v>14</v>
      </c>
      <c r="J14" s="26">
        <f t="shared" si="0"/>
        <v>369</v>
      </c>
      <c r="K14" s="172">
        <f t="shared" si="1"/>
        <v>0.93495934959349591</v>
      </c>
      <c r="L14" s="213" t="s">
        <v>153</v>
      </c>
      <c r="M14" s="213"/>
      <c r="N14" s="223"/>
      <c r="O14" s="210"/>
      <c r="P14" s="35"/>
      <c r="Q14" s="154"/>
      <c r="R14" s="133"/>
      <c r="S14" s="156"/>
      <c r="T14" s="288"/>
      <c r="U14" s="104"/>
      <c r="V14" s="116"/>
      <c r="W14" s="104"/>
      <c r="X14" s="104"/>
      <c r="Y14" s="235">
        <f>IF(U14&lt;&gt;"",X14*VLOOKUP(U14,Listas!$H$3:$L$23,3,0),0)</f>
        <v>0</v>
      </c>
      <c r="Z14" s="235">
        <f>Y14*18</f>
        <v>0</v>
      </c>
      <c r="AA14" s="289"/>
      <c r="AB14" s="235" t="str">
        <f>IF(U14&lt;&gt;"",VLOOKUP(U14,Listas!$N$3:$O$10,2,FALSE),"")</f>
        <v/>
      </c>
      <c r="AC14" s="302"/>
      <c r="AD14" s="290"/>
      <c r="AE14" s="291"/>
      <c r="AF14" s="292"/>
      <c r="AG14" s="157"/>
      <c r="AH14" s="157"/>
      <c r="AI14" s="157"/>
      <c r="AJ14" s="157"/>
      <c r="AK14" s="157"/>
      <c r="AL14" s="158"/>
      <c r="AM14" s="133"/>
    </row>
    <row r="15" spans="1:50" ht="15" customHeight="1">
      <c r="A15" s="30"/>
      <c r="B15" s="147"/>
      <c r="C15" s="28">
        <v>3</v>
      </c>
      <c r="D15" s="210"/>
      <c r="E15" s="210" t="s">
        <v>36</v>
      </c>
      <c r="F15" s="100" t="s">
        <v>116</v>
      </c>
      <c r="G15" s="124">
        <v>285</v>
      </c>
      <c r="H15" s="125">
        <v>40</v>
      </c>
      <c r="I15" s="126">
        <v>4</v>
      </c>
      <c r="J15" s="26">
        <f t="shared" si="0"/>
        <v>329</v>
      </c>
      <c r="K15" s="172">
        <f t="shared" si="1"/>
        <v>0.86626139817629177</v>
      </c>
      <c r="L15" s="213" t="s">
        <v>166</v>
      </c>
      <c r="M15" s="213"/>
      <c r="N15" s="223"/>
      <c r="O15" s="210"/>
      <c r="P15" s="35"/>
      <c r="Q15" s="154"/>
      <c r="R15" s="133"/>
      <c r="S15" s="156"/>
      <c r="T15" s="270">
        <v>2</v>
      </c>
      <c r="U15" s="211" t="s">
        <v>91</v>
      </c>
      <c r="V15" s="211" t="s">
        <v>117</v>
      </c>
      <c r="W15" s="210"/>
      <c r="X15" s="211">
        <v>5</v>
      </c>
      <c r="Y15" s="237">
        <f>IF(U15&lt;&gt;"",X15*VLOOKUP(U15,Listas!$H$3:$L$23,3,0),0)</f>
        <v>180</v>
      </c>
      <c r="Z15" s="237">
        <f t="shared" ref="Z15:Z28" si="2">Y15*18</f>
        <v>3240</v>
      </c>
      <c r="AA15" s="303">
        <f>+SUM(Z15:Z16)</f>
        <v>3240</v>
      </c>
      <c r="AB15" s="237">
        <f>IF(U15&lt;&gt;"",VLOOKUP(U15,Listas!$N$3:$O$10,2,FALSE),"")</f>
        <v>7</v>
      </c>
      <c r="AC15" s="301"/>
      <c r="AD15" s="274"/>
      <c r="AE15" s="275"/>
      <c r="AF15" s="276"/>
      <c r="AG15" s="157"/>
      <c r="AH15" s="157"/>
      <c r="AI15" s="157"/>
      <c r="AJ15" s="157"/>
      <c r="AK15" s="157"/>
      <c r="AL15" s="158"/>
      <c r="AM15" s="133"/>
    </row>
    <row r="16" spans="1:50" ht="15" customHeight="1">
      <c r="A16" s="30"/>
      <c r="B16" s="147"/>
      <c r="C16" s="28">
        <v>4</v>
      </c>
      <c r="D16" s="210"/>
      <c r="E16" s="210" t="s">
        <v>36</v>
      </c>
      <c r="F16" s="100" t="s">
        <v>116</v>
      </c>
      <c r="G16" s="124">
        <v>105</v>
      </c>
      <c r="H16" s="125">
        <v>50</v>
      </c>
      <c r="I16" s="126">
        <v>49</v>
      </c>
      <c r="J16" s="26">
        <f t="shared" si="0"/>
        <v>204</v>
      </c>
      <c r="K16" s="172">
        <f t="shared" si="1"/>
        <v>0.51470588235294112</v>
      </c>
      <c r="L16" s="213" t="s">
        <v>152</v>
      </c>
      <c r="M16" s="213"/>
      <c r="N16" s="223"/>
      <c r="O16" s="210"/>
      <c r="P16" s="35"/>
      <c r="Q16" s="154"/>
      <c r="R16" s="133"/>
      <c r="S16" s="156"/>
      <c r="T16" s="271"/>
      <c r="U16" s="104"/>
      <c r="V16" s="116"/>
      <c r="W16" s="104"/>
      <c r="X16" s="104"/>
      <c r="Y16" s="238">
        <f>IF(U16&lt;&gt;"",X16*VLOOKUP(U16,Listas!$H$3:$L$23,3,0),0)</f>
        <v>0</v>
      </c>
      <c r="Z16" s="238">
        <f t="shared" si="2"/>
        <v>0</v>
      </c>
      <c r="AA16" s="273"/>
      <c r="AB16" s="238" t="str">
        <f>IF(U16&lt;&gt;"",VLOOKUP(U16,Listas!$N$3:$O$10,2,FALSE),"")</f>
        <v/>
      </c>
      <c r="AC16" s="302"/>
      <c r="AD16" s="290"/>
      <c r="AE16" s="291"/>
      <c r="AF16" s="292"/>
      <c r="AG16" s="157"/>
      <c r="AH16" s="157"/>
      <c r="AI16" s="157"/>
      <c r="AJ16" s="157"/>
      <c r="AK16" s="157"/>
      <c r="AL16" s="158"/>
      <c r="AM16" s="133"/>
    </row>
    <row r="17" spans="1:39" ht="15" customHeight="1">
      <c r="A17" s="30"/>
      <c r="B17" s="147"/>
      <c r="C17" s="28">
        <v>5</v>
      </c>
      <c r="D17" s="210"/>
      <c r="E17" s="210" t="s">
        <v>36</v>
      </c>
      <c r="F17" s="100" t="s">
        <v>116</v>
      </c>
      <c r="G17" s="124">
        <v>75</v>
      </c>
      <c r="H17" s="125">
        <v>190</v>
      </c>
      <c r="I17" s="126">
        <v>32</v>
      </c>
      <c r="J17" s="26">
        <f t="shared" si="0"/>
        <v>297</v>
      </c>
      <c r="K17" s="172">
        <f t="shared" si="1"/>
        <v>0.25252525252525254</v>
      </c>
      <c r="L17" s="213" t="s">
        <v>166</v>
      </c>
      <c r="M17" s="213"/>
      <c r="N17" s="223"/>
      <c r="O17" s="210"/>
      <c r="P17" s="35"/>
      <c r="Q17" s="154"/>
      <c r="R17" s="133"/>
      <c r="S17" s="156"/>
      <c r="T17" s="293">
        <v>3</v>
      </c>
      <c r="U17" s="211"/>
      <c r="V17" s="211"/>
      <c r="W17" s="210"/>
      <c r="X17" s="211"/>
      <c r="Y17" s="234">
        <f>IF(U17&lt;&gt;"",X17*VLOOKUP(U17,Listas!$H$3:$L$23,3,0),0)</f>
        <v>0</v>
      </c>
      <c r="Z17" s="234">
        <f t="shared" si="2"/>
        <v>0</v>
      </c>
      <c r="AA17" s="272">
        <f>+SUM(Z17:Z18)</f>
        <v>0</v>
      </c>
      <c r="AB17" s="234" t="str">
        <f>IF(U17&lt;&gt;"",VLOOKUP(U17,Listas!$N$3:$O$10,2,FALSE),"")</f>
        <v/>
      </c>
      <c r="AC17" s="301"/>
      <c r="AD17" s="274"/>
      <c r="AE17" s="275"/>
      <c r="AF17" s="276"/>
      <c r="AG17" s="157"/>
      <c r="AH17" s="157"/>
      <c r="AI17" s="157"/>
      <c r="AJ17" s="157"/>
      <c r="AK17" s="157"/>
      <c r="AL17" s="158"/>
      <c r="AM17" s="133"/>
    </row>
    <row r="18" spans="1:39" ht="15" customHeight="1">
      <c r="A18" s="30"/>
      <c r="B18" s="147"/>
      <c r="C18" s="28">
        <v>6</v>
      </c>
      <c r="D18" s="210"/>
      <c r="E18" s="210" t="s">
        <v>36</v>
      </c>
      <c r="F18" s="100" t="s">
        <v>116</v>
      </c>
      <c r="G18" s="124">
        <v>150</v>
      </c>
      <c r="H18" s="125">
        <v>120</v>
      </c>
      <c r="I18" s="126">
        <v>4</v>
      </c>
      <c r="J18" s="26">
        <f t="shared" si="0"/>
        <v>274</v>
      </c>
      <c r="K18" s="172">
        <f t="shared" si="1"/>
        <v>0.54744525547445255</v>
      </c>
      <c r="L18" s="213" t="s">
        <v>166</v>
      </c>
      <c r="M18" s="213"/>
      <c r="N18" s="223"/>
      <c r="O18" s="210"/>
      <c r="P18" s="35"/>
      <c r="Q18" s="154"/>
      <c r="R18" s="133"/>
      <c r="S18" s="156"/>
      <c r="T18" s="288"/>
      <c r="U18" s="211"/>
      <c r="V18" s="211"/>
      <c r="W18" s="104"/>
      <c r="X18" s="104"/>
      <c r="Y18" s="235">
        <f>IF(U18&lt;&gt;"",X18*VLOOKUP(U18,Listas!$H$3:$L$23,3,0),0)</f>
        <v>0</v>
      </c>
      <c r="Z18" s="235">
        <f t="shared" si="2"/>
        <v>0</v>
      </c>
      <c r="AA18" s="289"/>
      <c r="AB18" s="235" t="str">
        <f>IF(U18&lt;&gt;"",VLOOKUP(U18,Listas!$N$3:$O$10,2,FALSE),"")</f>
        <v/>
      </c>
      <c r="AC18" s="302"/>
      <c r="AD18" s="290"/>
      <c r="AE18" s="291"/>
      <c r="AF18" s="292"/>
      <c r="AG18" s="157"/>
      <c r="AH18" s="157"/>
      <c r="AI18" s="157"/>
      <c r="AJ18" s="157"/>
      <c r="AK18" s="157"/>
      <c r="AL18" s="158"/>
      <c r="AM18" s="133"/>
    </row>
    <row r="19" spans="1:39" ht="15" customHeight="1">
      <c r="A19" s="30"/>
      <c r="B19" s="147"/>
      <c r="C19" s="28">
        <v>7</v>
      </c>
      <c r="D19" s="210"/>
      <c r="E19" s="210" t="s">
        <v>36</v>
      </c>
      <c r="F19" s="100" t="s">
        <v>116</v>
      </c>
      <c r="G19" s="124">
        <v>135</v>
      </c>
      <c r="H19" s="125">
        <v>280</v>
      </c>
      <c r="I19" s="126">
        <v>5</v>
      </c>
      <c r="J19" s="26">
        <f t="shared" si="0"/>
        <v>420</v>
      </c>
      <c r="K19" s="172">
        <f t="shared" si="1"/>
        <v>0.32142857142857145</v>
      </c>
      <c r="L19" s="213" t="s">
        <v>166</v>
      </c>
      <c r="M19" s="213"/>
      <c r="N19" s="223"/>
      <c r="O19" s="210"/>
      <c r="P19" s="35"/>
      <c r="Q19" s="154"/>
      <c r="R19" s="133"/>
      <c r="S19" s="156"/>
      <c r="T19" s="270">
        <v>4</v>
      </c>
      <c r="U19" s="211" t="s">
        <v>91</v>
      </c>
      <c r="V19" s="211" t="s">
        <v>117</v>
      </c>
      <c r="W19" s="210"/>
      <c r="X19" s="211">
        <v>5</v>
      </c>
      <c r="Y19" s="237">
        <f>IF(U19&lt;&gt;"",X19*VLOOKUP(U19,Listas!$H$3:$L$23,3,0),0)</f>
        <v>180</v>
      </c>
      <c r="Z19" s="237">
        <f t="shared" si="2"/>
        <v>3240</v>
      </c>
      <c r="AA19" s="303">
        <f>+SUM(Z19:Z20)</f>
        <v>3240</v>
      </c>
      <c r="AB19" s="237">
        <f>IF(U19&lt;&gt;"",VLOOKUP(U19,Listas!$N$3:$O$10,2,FALSE),"")</f>
        <v>7</v>
      </c>
      <c r="AC19" s="301"/>
      <c r="AD19" s="274"/>
      <c r="AE19" s="275"/>
      <c r="AF19" s="276"/>
      <c r="AG19" s="157"/>
      <c r="AH19" s="157"/>
      <c r="AI19" s="157"/>
      <c r="AJ19" s="157"/>
      <c r="AK19" s="157"/>
      <c r="AL19" s="158"/>
      <c r="AM19" s="133"/>
    </row>
    <row r="20" spans="1:39" ht="15" customHeight="1" thickBot="1">
      <c r="A20" s="30"/>
      <c r="B20" s="147"/>
      <c r="C20" s="236">
        <v>8</v>
      </c>
      <c r="D20" s="210"/>
      <c r="E20" s="210" t="s">
        <v>36</v>
      </c>
      <c r="F20" s="100" t="s">
        <v>116</v>
      </c>
      <c r="G20" s="226">
        <v>60</v>
      </c>
      <c r="H20" s="225">
        <v>160</v>
      </c>
      <c r="I20" s="208">
        <v>1</v>
      </c>
      <c r="J20" s="238">
        <f t="shared" si="0"/>
        <v>221</v>
      </c>
      <c r="K20" s="173">
        <f t="shared" si="1"/>
        <v>0.27149321266968324</v>
      </c>
      <c r="L20" s="213" t="s">
        <v>166</v>
      </c>
      <c r="M20" s="213"/>
      <c r="N20" s="223"/>
      <c r="O20" s="210"/>
      <c r="P20" s="35"/>
      <c r="Q20" s="154"/>
      <c r="R20" s="133"/>
      <c r="S20" s="156"/>
      <c r="T20" s="271"/>
      <c r="U20" s="104"/>
      <c r="V20" s="116"/>
      <c r="W20" s="104"/>
      <c r="X20" s="104"/>
      <c r="Y20" s="238">
        <f>IF(U20&lt;&gt;"",X20*VLOOKUP(U20,Listas!$H$3:$L$23,3,0),0)</f>
        <v>0</v>
      </c>
      <c r="Z20" s="238">
        <f t="shared" si="2"/>
        <v>0</v>
      </c>
      <c r="AA20" s="273"/>
      <c r="AB20" s="238" t="str">
        <f>IF(U20&lt;&gt;"",VLOOKUP(U20,Listas!$N$3:$O$10,2,FALSE),"")</f>
        <v/>
      </c>
      <c r="AC20" s="302"/>
      <c r="AD20" s="290"/>
      <c r="AE20" s="291"/>
      <c r="AF20" s="292"/>
      <c r="AG20" s="157"/>
      <c r="AH20" s="157"/>
      <c r="AI20" s="157"/>
      <c r="AJ20" s="157"/>
      <c r="AK20" s="157"/>
      <c r="AL20" s="158"/>
      <c r="AM20" s="133"/>
    </row>
    <row r="21" spans="1:39" ht="15" customHeight="1" thickBot="1">
      <c r="A21" s="30"/>
      <c r="B21" s="147"/>
      <c r="C21" s="174" t="s">
        <v>7</v>
      </c>
      <c r="D21" s="110"/>
      <c r="E21" s="110"/>
      <c r="F21" s="110"/>
      <c r="G21" s="111">
        <f>SUM(G13:G20)</f>
        <v>1410</v>
      </c>
      <c r="H21" s="111">
        <f>SUM(H13:H20)</f>
        <v>970</v>
      </c>
      <c r="I21" s="121">
        <f>SUM(I13:I20)</f>
        <v>120</v>
      </c>
      <c r="J21" s="111">
        <f>SUM(J13:J20)</f>
        <v>2500</v>
      </c>
      <c r="K21" s="175">
        <f t="shared" si="1"/>
        <v>0.56399999999999995</v>
      </c>
      <c r="L21" s="239"/>
      <c r="M21" s="112">
        <f>SUM(M13:M20)</f>
        <v>0</v>
      </c>
      <c r="N21" s="224"/>
      <c r="O21" s="176"/>
      <c r="P21" s="35"/>
      <c r="Q21" s="154"/>
      <c r="R21" s="133"/>
      <c r="S21" s="156"/>
      <c r="T21" s="293">
        <v>5</v>
      </c>
      <c r="U21" s="211" t="s">
        <v>91</v>
      </c>
      <c r="V21" s="211" t="s">
        <v>117</v>
      </c>
      <c r="W21" s="210"/>
      <c r="X21" s="211">
        <v>4</v>
      </c>
      <c r="Y21" s="234">
        <f>IF(U21&lt;&gt;"",X21*VLOOKUP(U21,Listas!$H$3:$L$23,3,0),0)</f>
        <v>144</v>
      </c>
      <c r="Z21" s="234">
        <f t="shared" si="2"/>
        <v>2592</v>
      </c>
      <c r="AA21" s="272">
        <f>+SUM(Z21:Z22)</f>
        <v>2592</v>
      </c>
      <c r="AB21" s="234">
        <f>IF(U21&lt;&gt;"",VLOOKUP(U21,Listas!$N$3:$O$10,2,FALSE),"")</f>
        <v>7</v>
      </c>
      <c r="AC21" s="301"/>
      <c r="AD21" s="274"/>
      <c r="AE21" s="275"/>
      <c r="AF21" s="276"/>
      <c r="AG21" s="157"/>
      <c r="AH21" s="157"/>
      <c r="AI21" s="157"/>
      <c r="AJ21" s="157"/>
      <c r="AK21" s="157"/>
      <c r="AL21" s="158"/>
      <c r="AM21" s="133"/>
    </row>
    <row r="22" spans="1:39" ht="15" customHeight="1" thickBot="1">
      <c r="A22" s="30"/>
      <c r="B22" s="147"/>
      <c r="C22" s="41"/>
      <c r="D22" s="41"/>
      <c r="E22" s="41"/>
      <c r="F22" s="41"/>
      <c r="G22" s="42"/>
      <c r="H22" s="42"/>
      <c r="I22" s="42"/>
      <c r="J22" s="42"/>
      <c r="K22" s="177"/>
      <c r="L22" s="42"/>
      <c r="M22" s="41"/>
      <c r="N22" s="41"/>
      <c r="O22" s="35"/>
      <c r="P22" s="35"/>
      <c r="Q22" s="154"/>
      <c r="R22" s="133"/>
      <c r="S22" s="156"/>
      <c r="T22" s="288"/>
      <c r="U22" s="104"/>
      <c r="V22" s="116"/>
      <c r="W22" s="104"/>
      <c r="X22" s="104"/>
      <c r="Y22" s="235">
        <f>IF(U22&lt;&gt;"",X22*VLOOKUP(U22,Listas!$H$3:$L$23,3,0),0)</f>
        <v>0</v>
      </c>
      <c r="Z22" s="235">
        <f t="shared" si="2"/>
        <v>0</v>
      </c>
      <c r="AA22" s="289"/>
      <c r="AB22" s="235" t="str">
        <f>IF(U22&lt;&gt;"",VLOOKUP(U22,Listas!$N$3:$O$10,2,FALSE),"")</f>
        <v/>
      </c>
      <c r="AC22" s="302"/>
      <c r="AD22" s="290"/>
      <c r="AE22" s="291"/>
      <c r="AF22" s="292"/>
      <c r="AG22" s="157"/>
      <c r="AH22" s="157"/>
      <c r="AI22" s="157"/>
      <c r="AJ22" s="157"/>
      <c r="AK22" s="157"/>
      <c r="AL22" s="158"/>
      <c r="AM22" s="133"/>
    </row>
    <row r="23" spans="1:39" ht="15" customHeight="1">
      <c r="A23" s="30"/>
      <c r="B23" s="147"/>
      <c r="C23" s="253">
        <v>2</v>
      </c>
      <c r="D23" s="255">
        <f>K34</f>
        <v>0.95111796453353892</v>
      </c>
      <c r="E23" s="35"/>
      <c r="F23" s="35"/>
      <c r="G23" s="35"/>
      <c r="H23" s="35"/>
      <c r="I23" s="35"/>
      <c r="J23" s="35"/>
      <c r="K23" s="35"/>
      <c r="L23" s="36"/>
      <c r="M23" s="35"/>
      <c r="N23" s="35"/>
      <c r="O23" s="35"/>
      <c r="P23" s="35"/>
      <c r="Q23" s="154"/>
      <c r="R23" s="133"/>
      <c r="S23" s="156"/>
      <c r="T23" s="270">
        <v>6</v>
      </c>
      <c r="U23" s="211"/>
      <c r="V23" s="211"/>
      <c r="W23" s="211"/>
      <c r="X23" s="211"/>
      <c r="Y23" s="237">
        <f>IF(U23&lt;&gt;"",X23*VLOOKUP(U23,Listas!$H$3:$L$23,3,0),0)</f>
        <v>0</v>
      </c>
      <c r="Z23" s="237">
        <f t="shared" si="2"/>
        <v>0</v>
      </c>
      <c r="AA23" s="303">
        <f>+SUM(Z23:Z24)</f>
        <v>0</v>
      </c>
      <c r="AB23" s="237" t="str">
        <f>IF(U23&lt;&gt;"",VLOOKUP(U23,Listas!$N$3:$O$10,2,FALSE),"")</f>
        <v/>
      </c>
      <c r="AC23" s="301"/>
      <c r="AD23" s="274"/>
      <c r="AE23" s="275"/>
      <c r="AF23" s="276"/>
      <c r="AG23" s="157"/>
      <c r="AH23" s="157"/>
      <c r="AI23" s="157"/>
      <c r="AJ23" s="157"/>
      <c r="AK23" s="157"/>
      <c r="AL23" s="158"/>
      <c r="AM23" s="133"/>
    </row>
    <row r="24" spans="1:39" ht="15" customHeight="1" thickBot="1">
      <c r="A24" s="30"/>
      <c r="B24" s="147"/>
      <c r="C24" s="254"/>
      <c r="D24" s="256"/>
      <c r="E24" s="131"/>
      <c r="F24" s="131"/>
      <c r="G24" s="131"/>
      <c r="H24" s="131"/>
      <c r="I24" s="131"/>
      <c r="J24" s="131"/>
      <c r="K24" s="131"/>
      <c r="L24" s="37"/>
      <c r="M24" s="35"/>
      <c r="N24" s="35"/>
      <c r="O24" s="35"/>
      <c r="P24" s="35"/>
      <c r="Q24" s="154"/>
      <c r="R24" s="133"/>
      <c r="S24" s="156"/>
      <c r="T24" s="271"/>
      <c r="U24" s="104"/>
      <c r="V24" s="211"/>
      <c r="W24" s="104"/>
      <c r="X24" s="104"/>
      <c r="Y24" s="238">
        <f>IF(U24&lt;&gt;"",X24*VLOOKUP(U24,Listas!$H$3:$L$23,3,0),0)</f>
        <v>0</v>
      </c>
      <c r="Z24" s="238">
        <f t="shared" si="2"/>
        <v>0</v>
      </c>
      <c r="AA24" s="273"/>
      <c r="AB24" s="238" t="str">
        <f>IF(U24&lt;&gt;"",VLOOKUP(U24,Listas!$N$3:$O$10,2,FALSE),"")</f>
        <v/>
      </c>
      <c r="AC24" s="302"/>
      <c r="AD24" s="290"/>
      <c r="AE24" s="291"/>
      <c r="AF24" s="292"/>
      <c r="AG24" s="157"/>
      <c r="AH24" s="157"/>
      <c r="AI24" s="157"/>
      <c r="AJ24" s="157"/>
      <c r="AK24" s="157"/>
      <c r="AL24" s="158"/>
      <c r="AM24" s="133"/>
    </row>
    <row r="25" spans="1:39" ht="15" customHeight="1">
      <c r="A25" s="30"/>
      <c r="B25" s="147"/>
      <c r="C25" s="29" t="s">
        <v>2</v>
      </c>
      <c r="D25" s="23" t="s">
        <v>6</v>
      </c>
      <c r="E25" s="23" t="s">
        <v>3</v>
      </c>
      <c r="F25" s="23" t="s">
        <v>58</v>
      </c>
      <c r="G25" s="231" t="s">
        <v>0</v>
      </c>
      <c r="H25" s="231" t="s">
        <v>1</v>
      </c>
      <c r="I25" s="231" t="s">
        <v>18</v>
      </c>
      <c r="J25" s="231" t="s">
        <v>5</v>
      </c>
      <c r="K25" s="23" t="s">
        <v>13</v>
      </c>
      <c r="L25" s="231" t="s">
        <v>17</v>
      </c>
      <c r="M25" s="23" t="s">
        <v>9</v>
      </c>
      <c r="N25" s="240" t="s">
        <v>77</v>
      </c>
      <c r="O25" s="24" t="s">
        <v>12</v>
      </c>
      <c r="P25" s="35"/>
      <c r="Q25" s="154"/>
      <c r="R25" s="133"/>
      <c r="S25" s="156"/>
      <c r="T25" s="293">
        <v>7</v>
      </c>
      <c r="U25" s="211"/>
      <c r="V25" s="211"/>
      <c r="W25" s="210"/>
      <c r="X25" s="211"/>
      <c r="Y25" s="234">
        <f>IF(U25&lt;&gt;"",X25*VLOOKUP(U25,Listas!$H$3:$L$23,3,0),0)</f>
        <v>0</v>
      </c>
      <c r="Z25" s="234">
        <f t="shared" si="2"/>
        <v>0</v>
      </c>
      <c r="AA25" s="272">
        <f>+SUM(Z25:Z26)</f>
        <v>0</v>
      </c>
      <c r="AB25" s="234" t="str">
        <f>IF(U25&lt;&gt;"",VLOOKUP(U25,Listas!$N$3:$O$10,2,FALSE),"")</f>
        <v/>
      </c>
      <c r="AC25" s="301"/>
      <c r="AD25" s="274"/>
      <c r="AE25" s="275"/>
      <c r="AF25" s="276"/>
      <c r="AG25" s="161"/>
      <c r="AH25" s="161"/>
      <c r="AI25" s="161"/>
      <c r="AJ25" s="161"/>
      <c r="AK25" s="161"/>
      <c r="AL25" s="158"/>
      <c r="AM25" s="133"/>
    </row>
    <row r="26" spans="1:39" ht="15" customHeight="1">
      <c r="A26" s="30"/>
      <c r="B26" s="147"/>
      <c r="C26" s="232">
        <v>1</v>
      </c>
      <c r="D26" s="210"/>
      <c r="E26" s="210" t="s">
        <v>33</v>
      </c>
      <c r="F26" s="100" t="s">
        <v>116</v>
      </c>
      <c r="G26" s="124">
        <v>840</v>
      </c>
      <c r="H26" s="125">
        <v>60</v>
      </c>
      <c r="I26" s="126">
        <v>4</v>
      </c>
      <c r="J26" s="234">
        <f t="shared" ref="J26:J33" si="3">SUM(G26:I26)</f>
        <v>904</v>
      </c>
      <c r="K26" s="171">
        <f t="shared" ref="K26:K34" si="4">IF(J26&lt;&gt;0,G26/J26,0)</f>
        <v>0.92920353982300885</v>
      </c>
      <c r="L26" s="213" t="s">
        <v>154</v>
      </c>
      <c r="M26" s="210"/>
      <c r="N26" s="223"/>
      <c r="O26" s="210"/>
      <c r="P26" s="35"/>
      <c r="Q26" s="154"/>
      <c r="R26" s="133"/>
      <c r="S26" s="156"/>
      <c r="T26" s="288"/>
      <c r="U26" s="104"/>
      <c r="V26" s="116"/>
      <c r="W26" s="104"/>
      <c r="X26" s="104"/>
      <c r="Y26" s="235">
        <f>IF(U26&lt;&gt;"",X26*VLOOKUP(U26,Listas!$H$3:$L$23,3,0),0)</f>
        <v>0</v>
      </c>
      <c r="Z26" s="235">
        <f t="shared" si="2"/>
        <v>0</v>
      </c>
      <c r="AA26" s="289"/>
      <c r="AB26" s="235" t="str">
        <f>IF(U26&lt;&gt;"",VLOOKUP(U26,Listas!$N$3:$O$10,2,FALSE),"")</f>
        <v/>
      </c>
      <c r="AC26" s="302"/>
      <c r="AD26" s="290"/>
      <c r="AE26" s="291"/>
      <c r="AF26" s="292"/>
      <c r="AG26" s="161"/>
      <c r="AH26" s="161"/>
      <c r="AI26" s="161"/>
      <c r="AJ26" s="161"/>
      <c r="AK26" s="161"/>
      <c r="AL26" s="158"/>
      <c r="AM26" s="133"/>
    </row>
    <row r="27" spans="1:39" ht="15" customHeight="1">
      <c r="A27" s="30"/>
      <c r="B27" s="147"/>
      <c r="C27" s="28">
        <v>2</v>
      </c>
      <c r="D27" s="210"/>
      <c r="E27" s="210" t="s">
        <v>33</v>
      </c>
      <c r="F27" s="100" t="s">
        <v>116</v>
      </c>
      <c r="G27" s="124">
        <v>768</v>
      </c>
      <c r="H27" s="125">
        <v>20</v>
      </c>
      <c r="I27" s="126">
        <v>3</v>
      </c>
      <c r="J27" s="26">
        <f t="shared" si="3"/>
        <v>791</v>
      </c>
      <c r="K27" s="172">
        <f t="shared" si="4"/>
        <v>0.97092288242730718</v>
      </c>
      <c r="L27" s="213"/>
      <c r="M27" s="213"/>
      <c r="N27" s="223"/>
      <c r="O27" s="210"/>
      <c r="P27" s="35"/>
      <c r="Q27" s="154"/>
      <c r="R27" s="133"/>
      <c r="S27" s="156"/>
      <c r="T27" s="270">
        <v>8</v>
      </c>
      <c r="U27" s="211"/>
      <c r="V27" s="211"/>
      <c r="W27" s="210"/>
      <c r="X27" s="211"/>
      <c r="Y27" s="234">
        <f>IF(U27&lt;&gt;"",X27*VLOOKUP(U27,Listas!$H$3:$L$23,3,0),0)</f>
        <v>0</v>
      </c>
      <c r="Z27" s="234">
        <f t="shared" si="2"/>
        <v>0</v>
      </c>
      <c r="AA27" s="272">
        <f>+SUM(Z27:Z28)</f>
        <v>0</v>
      </c>
      <c r="AB27" s="234" t="str">
        <f>IF(U27&lt;&gt;"",VLOOKUP(U27,Listas!$N$3:$O$10,2,FALSE),"")</f>
        <v/>
      </c>
      <c r="AC27" s="301"/>
      <c r="AD27" s="274"/>
      <c r="AE27" s="275"/>
      <c r="AF27" s="276"/>
      <c r="AG27" s="161"/>
      <c r="AH27" s="161"/>
      <c r="AI27" s="161"/>
      <c r="AJ27" s="161"/>
      <c r="AK27" s="161"/>
      <c r="AL27" s="158"/>
      <c r="AM27" s="133"/>
    </row>
    <row r="28" spans="1:39" ht="15" customHeight="1" thickBot="1">
      <c r="A28" s="30"/>
      <c r="B28" s="147"/>
      <c r="C28" s="28">
        <v>3</v>
      </c>
      <c r="D28" s="210"/>
      <c r="E28" s="210" t="s">
        <v>33</v>
      </c>
      <c r="F28" s="100" t="s">
        <v>116</v>
      </c>
      <c r="G28" s="124">
        <v>816</v>
      </c>
      <c r="H28" s="125">
        <v>40</v>
      </c>
      <c r="I28" s="126">
        <v>8</v>
      </c>
      <c r="J28" s="26">
        <f t="shared" si="3"/>
        <v>864</v>
      </c>
      <c r="K28" s="172">
        <f t="shared" si="4"/>
        <v>0.94444444444444442</v>
      </c>
      <c r="L28" s="213" t="s">
        <v>154</v>
      </c>
      <c r="M28" s="213"/>
      <c r="N28" s="223"/>
      <c r="O28" s="210"/>
      <c r="P28" s="35"/>
      <c r="Q28" s="154"/>
      <c r="R28" s="133"/>
      <c r="S28" s="156"/>
      <c r="T28" s="271"/>
      <c r="U28" s="104"/>
      <c r="V28" s="116"/>
      <c r="W28" s="104"/>
      <c r="X28" s="104"/>
      <c r="Y28" s="238">
        <f>IF(U28&lt;&gt;"",X28*VLOOKUP(U28,Listas!$H$3:$L$23,3,0),0)</f>
        <v>0</v>
      </c>
      <c r="Z28" s="238">
        <f t="shared" si="2"/>
        <v>0</v>
      </c>
      <c r="AA28" s="273"/>
      <c r="AB28" s="238" t="str">
        <f>IF(U28&lt;&gt;"",VLOOKUP(U28,Listas!$N$3:$O$10,2,FALSE),"")</f>
        <v/>
      </c>
      <c r="AC28" s="302"/>
      <c r="AD28" s="290"/>
      <c r="AE28" s="291"/>
      <c r="AF28" s="292"/>
      <c r="AG28" s="161"/>
      <c r="AH28" s="161"/>
      <c r="AI28" s="161"/>
      <c r="AJ28" s="161"/>
      <c r="AK28" s="161"/>
      <c r="AL28" s="158"/>
      <c r="AM28" s="133"/>
    </row>
    <row r="29" spans="1:39" ht="15" customHeight="1" thickBot="1">
      <c r="A29" s="30"/>
      <c r="B29" s="147"/>
      <c r="C29" s="28">
        <v>4</v>
      </c>
      <c r="D29" s="210"/>
      <c r="E29" s="210" t="s">
        <v>33</v>
      </c>
      <c r="F29" s="100" t="s">
        <v>116</v>
      </c>
      <c r="G29" s="124">
        <v>768</v>
      </c>
      <c r="H29" s="125">
        <v>40</v>
      </c>
      <c r="I29" s="126">
        <v>13</v>
      </c>
      <c r="J29" s="26">
        <f t="shared" si="3"/>
        <v>821</v>
      </c>
      <c r="K29" s="172">
        <f t="shared" si="4"/>
        <v>0.93544457978075513</v>
      </c>
      <c r="L29" s="213" t="s">
        <v>154</v>
      </c>
      <c r="M29" s="213"/>
      <c r="N29" s="223"/>
      <c r="O29" s="210"/>
      <c r="P29" s="35"/>
      <c r="Q29" s="154"/>
      <c r="R29" s="133"/>
      <c r="S29" s="156"/>
      <c r="T29" s="120"/>
      <c r="U29" s="239"/>
      <c r="V29" s="239"/>
      <c r="W29" s="239"/>
      <c r="X29" s="121">
        <f>+SUM(X13:X28)</f>
        <v>19</v>
      </c>
      <c r="Y29" s="121">
        <f>+SUM(Y13:Y28)</f>
        <v>684</v>
      </c>
      <c r="Z29" s="121">
        <f>+SUM(Z13:Z28)</f>
        <v>12312</v>
      </c>
      <c r="AA29" s="122"/>
      <c r="AB29" s="239"/>
      <c r="AC29" s="111">
        <f>SUM(AC13:AC28)</f>
        <v>0</v>
      </c>
      <c r="AD29" s="280"/>
      <c r="AE29" s="280"/>
      <c r="AF29" s="281"/>
      <c r="AG29" s="161"/>
      <c r="AH29" s="161"/>
      <c r="AI29" s="161"/>
      <c r="AJ29" s="161"/>
      <c r="AK29" s="161"/>
      <c r="AL29" s="158"/>
      <c r="AM29" s="133"/>
    </row>
    <row r="30" spans="1:39" ht="15" customHeight="1" thickBot="1">
      <c r="A30" s="30"/>
      <c r="B30" s="147"/>
      <c r="C30" s="28">
        <v>5</v>
      </c>
      <c r="D30" s="210"/>
      <c r="E30" s="210" t="s">
        <v>33</v>
      </c>
      <c r="F30" s="100" t="s">
        <v>116</v>
      </c>
      <c r="G30" s="124">
        <v>888</v>
      </c>
      <c r="H30" s="125">
        <v>60</v>
      </c>
      <c r="I30" s="126">
        <v>2</v>
      </c>
      <c r="J30" s="26">
        <f t="shared" si="3"/>
        <v>950</v>
      </c>
      <c r="K30" s="172">
        <f t="shared" si="4"/>
        <v>0.9347368421052632</v>
      </c>
      <c r="L30" s="213" t="s">
        <v>154</v>
      </c>
      <c r="M30" s="213"/>
      <c r="N30" s="223"/>
      <c r="O30" s="210"/>
      <c r="P30" s="35"/>
      <c r="Q30" s="154"/>
      <c r="R30" s="133"/>
      <c r="S30" s="156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58"/>
      <c r="AM30" s="133"/>
    </row>
    <row r="31" spans="1:39" ht="15" customHeight="1">
      <c r="A31" s="30"/>
      <c r="B31" s="147"/>
      <c r="C31" s="28">
        <v>6</v>
      </c>
      <c r="D31" s="210"/>
      <c r="E31" s="210" t="s">
        <v>33</v>
      </c>
      <c r="F31" s="100" t="s">
        <v>116</v>
      </c>
      <c r="G31" s="124">
        <v>720</v>
      </c>
      <c r="H31" s="125">
        <v>20</v>
      </c>
      <c r="I31" s="126">
        <v>0</v>
      </c>
      <c r="J31" s="26">
        <f t="shared" si="3"/>
        <v>740</v>
      </c>
      <c r="K31" s="172">
        <f t="shared" si="4"/>
        <v>0.97297297297297303</v>
      </c>
      <c r="L31" s="213"/>
      <c r="M31" s="213"/>
      <c r="N31" s="223"/>
      <c r="O31" s="210"/>
      <c r="P31" s="35"/>
      <c r="Q31" s="154"/>
      <c r="R31" s="133"/>
      <c r="S31" s="156"/>
      <c r="T31" s="282" t="s">
        <v>115</v>
      </c>
      <c r="U31" s="283"/>
      <c r="V31" s="284"/>
      <c r="W31" s="21"/>
      <c r="X31" s="21"/>
      <c r="Y31" s="167"/>
      <c r="Z31" s="167"/>
      <c r="AA31" s="167"/>
      <c r="AB31" s="167"/>
      <c r="AC31" s="166"/>
      <c r="AD31" s="166"/>
      <c r="AE31" s="22"/>
      <c r="AF31" s="22"/>
      <c r="AG31" s="22"/>
      <c r="AH31" s="157"/>
      <c r="AI31" s="157"/>
      <c r="AJ31" s="157"/>
      <c r="AK31" s="157"/>
      <c r="AL31" s="158"/>
      <c r="AM31" s="133"/>
    </row>
    <row r="32" spans="1:39" ht="15" customHeight="1" thickBot="1">
      <c r="A32" s="30"/>
      <c r="B32" s="147"/>
      <c r="C32" s="28">
        <v>7</v>
      </c>
      <c r="D32" s="210"/>
      <c r="E32" s="210" t="s">
        <v>33</v>
      </c>
      <c r="F32" s="100" t="s">
        <v>116</v>
      </c>
      <c r="G32" s="124">
        <v>720</v>
      </c>
      <c r="H32" s="125">
        <v>20</v>
      </c>
      <c r="I32" s="126">
        <v>5</v>
      </c>
      <c r="J32" s="26">
        <f t="shared" si="3"/>
        <v>745</v>
      </c>
      <c r="K32" s="172">
        <f>IF(J32&lt;&gt;0,G32/J32,0)</f>
        <v>0.96644295302013428</v>
      </c>
      <c r="L32" s="213"/>
      <c r="M32" s="213"/>
      <c r="N32" s="223"/>
      <c r="O32" s="210"/>
      <c r="P32" s="35"/>
      <c r="Q32" s="154"/>
      <c r="R32" s="133"/>
      <c r="S32" s="156"/>
      <c r="T32" s="285"/>
      <c r="U32" s="286"/>
      <c r="V32" s="287"/>
      <c r="W32" s="170"/>
      <c r="X32" s="170"/>
      <c r="Y32" s="170"/>
      <c r="Z32" s="170"/>
      <c r="AA32" s="170"/>
      <c r="AB32" s="170"/>
      <c r="AC32" s="170"/>
      <c r="AD32" s="170"/>
      <c r="AE32" s="157"/>
      <c r="AF32" s="157"/>
      <c r="AG32" s="157"/>
      <c r="AH32" s="157"/>
      <c r="AI32" s="157"/>
      <c r="AJ32" s="157"/>
      <c r="AK32" s="157"/>
      <c r="AL32" s="158"/>
      <c r="AM32" s="133"/>
    </row>
    <row r="33" spans="1:39" ht="15" customHeight="1" thickBot="1">
      <c r="A33" s="30"/>
      <c r="B33" s="147"/>
      <c r="C33" s="236">
        <v>8</v>
      </c>
      <c r="D33" s="210"/>
      <c r="E33" s="210" t="s">
        <v>33</v>
      </c>
      <c r="F33" s="100" t="s">
        <v>116</v>
      </c>
      <c r="G33" s="218">
        <v>648</v>
      </c>
      <c r="H33" s="220">
        <v>20</v>
      </c>
      <c r="I33" s="218">
        <v>2</v>
      </c>
      <c r="J33" s="26">
        <f t="shared" si="3"/>
        <v>670</v>
      </c>
      <c r="K33" s="173">
        <f>IF(J33&lt;&gt;0,G33/J33,0)</f>
        <v>0.96716417910447761</v>
      </c>
      <c r="L33" s="213"/>
      <c r="M33" s="213"/>
      <c r="N33" s="223"/>
      <c r="O33" s="210"/>
      <c r="P33" s="35"/>
      <c r="Q33" s="154"/>
      <c r="R33" s="133"/>
      <c r="S33" s="156"/>
      <c r="T33" s="45" t="s">
        <v>2</v>
      </c>
      <c r="U33" s="46" t="s">
        <v>24</v>
      </c>
      <c r="V33" s="46" t="s">
        <v>4</v>
      </c>
      <c r="W33" s="23" t="s">
        <v>82</v>
      </c>
      <c r="X33" s="46" t="s">
        <v>45</v>
      </c>
      <c r="Y33" s="46" t="s">
        <v>25</v>
      </c>
      <c r="Z33" s="46" t="s">
        <v>26</v>
      </c>
      <c r="AA33" s="46" t="s">
        <v>84</v>
      </c>
      <c r="AB33" s="46" t="s">
        <v>102</v>
      </c>
      <c r="AC33" s="46" t="s">
        <v>76</v>
      </c>
      <c r="AD33" s="299" t="s">
        <v>78</v>
      </c>
      <c r="AE33" s="299"/>
      <c r="AF33" s="300"/>
      <c r="AG33" s="157"/>
      <c r="AH33" s="157"/>
      <c r="AI33" s="157"/>
      <c r="AJ33" s="157"/>
      <c r="AK33" s="157"/>
      <c r="AL33" s="158"/>
      <c r="AM33" s="133"/>
    </row>
    <row r="34" spans="1:39" ht="15" customHeight="1" thickBot="1">
      <c r="A34" s="30"/>
      <c r="B34" s="147"/>
      <c r="C34" s="174" t="s">
        <v>7</v>
      </c>
      <c r="D34" s="110"/>
      <c r="E34" s="110"/>
      <c r="F34" s="110"/>
      <c r="G34" s="111">
        <f>SUM(G26:G33)</f>
        <v>6168</v>
      </c>
      <c r="H34" s="111">
        <f>SUM(H26:H33)</f>
        <v>280</v>
      </c>
      <c r="I34" s="121">
        <f>SUM(I26:I33)</f>
        <v>37</v>
      </c>
      <c r="J34" s="111">
        <f>SUM(J26:J33)</f>
        <v>6485</v>
      </c>
      <c r="K34" s="175">
        <f t="shared" si="4"/>
        <v>0.95111796453353892</v>
      </c>
      <c r="L34" s="239"/>
      <c r="M34" s="112">
        <v>0</v>
      </c>
      <c r="N34" s="224"/>
      <c r="O34" s="176"/>
      <c r="P34" s="35"/>
      <c r="Q34" s="154"/>
      <c r="R34" s="133"/>
      <c r="S34" s="156" t="s">
        <v>56</v>
      </c>
      <c r="T34" s="293">
        <v>1</v>
      </c>
      <c r="U34" s="211" t="s">
        <v>21</v>
      </c>
      <c r="V34" s="211" t="s">
        <v>116</v>
      </c>
      <c r="W34" s="211"/>
      <c r="X34" s="211">
        <v>5</v>
      </c>
      <c r="Y34" s="234">
        <f>IF(U34&lt;&gt;"",X34*VLOOKUP(U34,Listas!$H$3:$L$23,3,0),0)</f>
        <v>180</v>
      </c>
      <c r="Z34" s="234">
        <f>Y34*18</f>
        <v>3240</v>
      </c>
      <c r="AA34" s="272">
        <f>+SUM(Z34:Z35)</f>
        <v>3240</v>
      </c>
      <c r="AB34" s="234">
        <f>IF(U34&lt;&gt;"",VLOOKUP(U34,Listas!$N$3:$O$10,2,FALSE),"")</f>
        <v>7</v>
      </c>
      <c r="AC34" s="301"/>
      <c r="AD34" s="274"/>
      <c r="AE34" s="275"/>
      <c r="AF34" s="276"/>
      <c r="AG34" s="157"/>
      <c r="AH34" s="157"/>
      <c r="AI34" s="157"/>
      <c r="AJ34" s="157"/>
      <c r="AK34" s="157"/>
      <c r="AL34" s="158"/>
      <c r="AM34" s="133"/>
    </row>
    <row r="35" spans="1:39" ht="15" customHeight="1" thickBot="1">
      <c r="A35" s="30"/>
      <c r="B35" s="147"/>
      <c r="C35" s="41"/>
      <c r="D35" s="41"/>
      <c r="E35" s="41"/>
      <c r="F35" s="41"/>
      <c r="G35" s="42"/>
      <c r="H35" s="42"/>
      <c r="I35" s="42"/>
      <c r="J35" s="42"/>
      <c r="K35" s="177"/>
      <c r="L35" s="42"/>
      <c r="M35" s="41"/>
      <c r="N35" s="41"/>
      <c r="O35" s="35"/>
      <c r="P35" s="35"/>
      <c r="Q35" s="154"/>
      <c r="R35" s="133"/>
      <c r="S35" s="156"/>
      <c r="T35" s="288"/>
      <c r="U35" s="104"/>
      <c r="V35" s="211"/>
      <c r="W35" s="104"/>
      <c r="X35" s="104"/>
      <c r="Y35" s="235">
        <f>IF(U35&lt;&gt;"",X35*VLOOKUP(U35,Listas!$H$3:$L$23,3,0),0)</f>
        <v>0</v>
      </c>
      <c r="Z35" s="235">
        <f>Y35*18</f>
        <v>0</v>
      </c>
      <c r="AA35" s="289"/>
      <c r="AB35" s="235" t="str">
        <f>IF(U35&lt;&gt;"",VLOOKUP(U35,Listas!$N$3:$O$10,2,FALSE),"")</f>
        <v/>
      </c>
      <c r="AC35" s="302"/>
      <c r="AD35" s="290"/>
      <c r="AE35" s="291"/>
      <c r="AF35" s="292"/>
      <c r="AG35" s="157"/>
      <c r="AH35" s="157"/>
      <c r="AI35" s="157"/>
      <c r="AJ35" s="157"/>
      <c r="AK35" s="157"/>
      <c r="AL35" s="158"/>
      <c r="AM35" s="133"/>
    </row>
    <row r="36" spans="1:39" ht="15" customHeight="1">
      <c r="A36" s="30"/>
      <c r="B36" s="147"/>
      <c r="C36" s="253">
        <v>3</v>
      </c>
      <c r="D36" s="255">
        <f>K47</f>
        <v>0.70747242504272179</v>
      </c>
      <c r="E36" s="35"/>
      <c r="F36" s="35"/>
      <c r="G36" s="35"/>
      <c r="H36" s="35"/>
      <c r="I36" s="35"/>
      <c r="J36" s="35"/>
      <c r="K36" s="35"/>
      <c r="L36" s="36"/>
      <c r="M36" s="35"/>
      <c r="N36" s="35"/>
      <c r="O36" s="35"/>
      <c r="P36" s="35"/>
      <c r="Q36" s="154"/>
      <c r="R36" s="133"/>
      <c r="S36" s="156"/>
      <c r="T36" s="270">
        <v>2</v>
      </c>
      <c r="U36" s="211" t="s">
        <v>21</v>
      </c>
      <c r="V36" s="211" t="s">
        <v>116</v>
      </c>
      <c r="W36" s="210"/>
      <c r="X36" s="211">
        <v>5</v>
      </c>
      <c r="Y36" s="234">
        <f>IF(U36&lt;&gt;"",X36*VLOOKUP(U36,Listas!$H$3:$L$23,3,0),0)</f>
        <v>180</v>
      </c>
      <c r="Z36" s="237">
        <f t="shared" ref="Z36:Z49" si="5">Y36*18</f>
        <v>3240</v>
      </c>
      <c r="AA36" s="303">
        <f>+SUM(Z36:Z37)</f>
        <v>3240</v>
      </c>
      <c r="AB36" s="237">
        <f>IF(U36&lt;&gt;"",VLOOKUP(U36,Listas!$N$3:$O$10,2,FALSE),"")</f>
        <v>7</v>
      </c>
      <c r="AC36" s="301"/>
      <c r="AD36" s="274"/>
      <c r="AE36" s="275"/>
      <c r="AF36" s="276"/>
      <c r="AG36" s="157"/>
      <c r="AH36" s="157"/>
      <c r="AI36" s="157"/>
      <c r="AJ36" s="157"/>
      <c r="AK36" s="157"/>
      <c r="AL36" s="158"/>
      <c r="AM36" s="133"/>
    </row>
    <row r="37" spans="1:39" ht="15" customHeight="1" thickBot="1">
      <c r="A37" s="30"/>
      <c r="B37" s="147"/>
      <c r="C37" s="254"/>
      <c r="D37" s="256"/>
      <c r="E37" s="131"/>
      <c r="F37" s="131"/>
      <c r="G37" s="131"/>
      <c r="H37" s="131"/>
      <c r="I37" s="131"/>
      <c r="J37" s="131"/>
      <c r="K37" s="131"/>
      <c r="L37" s="36"/>
      <c r="M37" s="35"/>
      <c r="N37" s="35"/>
      <c r="O37" s="35"/>
      <c r="P37" s="35"/>
      <c r="Q37" s="154"/>
      <c r="R37" s="133"/>
      <c r="S37" s="156"/>
      <c r="T37" s="271"/>
      <c r="U37" s="104"/>
      <c r="V37" s="211"/>
      <c r="W37" s="104"/>
      <c r="X37" s="104"/>
      <c r="Y37" s="235">
        <f>IF(U37&lt;&gt;"",X37*VLOOKUP(U37,Listas!$H$3:$L$23,3,0),0)</f>
        <v>0</v>
      </c>
      <c r="Z37" s="238">
        <f t="shared" si="5"/>
        <v>0</v>
      </c>
      <c r="AA37" s="273"/>
      <c r="AB37" s="238" t="str">
        <f>IF(U37&lt;&gt;"",VLOOKUP(U37,Listas!$N$3:$O$10,2,FALSE),"")</f>
        <v/>
      </c>
      <c r="AC37" s="302"/>
      <c r="AD37" s="290"/>
      <c r="AE37" s="291"/>
      <c r="AF37" s="292"/>
      <c r="AG37" s="157"/>
      <c r="AH37" s="157"/>
      <c r="AI37" s="157"/>
      <c r="AJ37" s="157"/>
      <c r="AK37" s="157"/>
      <c r="AL37" s="158"/>
      <c r="AM37" s="133"/>
    </row>
    <row r="38" spans="1:39" ht="15" customHeight="1">
      <c r="A38" s="30"/>
      <c r="B38" s="147"/>
      <c r="C38" s="29" t="s">
        <v>2</v>
      </c>
      <c r="D38" s="23" t="s">
        <v>6</v>
      </c>
      <c r="E38" s="23" t="s">
        <v>3</v>
      </c>
      <c r="F38" s="23" t="s">
        <v>58</v>
      </c>
      <c r="G38" s="231" t="s">
        <v>0</v>
      </c>
      <c r="H38" s="231" t="s">
        <v>1</v>
      </c>
      <c r="I38" s="231" t="s">
        <v>18</v>
      </c>
      <c r="J38" s="231" t="s">
        <v>5</v>
      </c>
      <c r="K38" s="23" t="s">
        <v>13</v>
      </c>
      <c r="L38" s="231" t="s">
        <v>17</v>
      </c>
      <c r="M38" s="23" t="s">
        <v>9</v>
      </c>
      <c r="N38" s="240" t="s">
        <v>77</v>
      </c>
      <c r="O38" s="24" t="s">
        <v>12</v>
      </c>
      <c r="P38" s="35"/>
      <c r="Q38" s="154"/>
      <c r="R38" s="133"/>
      <c r="S38" s="156"/>
      <c r="T38" s="293">
        <v>3</v>
      </c>
      <c r="U38" s="211" t="s">
        <v>21</v>
      </c>
      <c r="V38" s="211" t="s">
        <v>116</v>
      </c>
      <c r="W38" s="210"/>
      <c r="X38" s="211">
        <v>5</v>
      </c>
      <c r="Y38" s="234">
        <f>IF(U38&lt;&gt;"",X38*VLOOKUP(U38,Listas!$H$3:$L$23,3,0),0)</f>
        <v>180</v>
      </c>
      <c r="Z38" s="234">
        <f t="shared" si="5"/>
        <v>3240</v>
      </c>
      <c r="AA38" s="272">
        <f>+SUM(Z38:Z39)</f>
        <v>3240</v>
      </c>
      <c r="AB38" s="234">
        <f>IF(U38&lt;&gt;"",VLOOKUP(U38,Listas!$N$3:$O$10,2,FALSE),"")</f>
        <v>7</v>
      </c>
      <c r="AC38" s="301"/>
      <c r="AD38" s="274"/>
      <c r="AE38" s="275"/>
      <c r="AF38" s="276"/>
      <c r="AG38" s="157"/>
      <c r="AH38" s="157"/>
      <c r="AI38" s="157"/>
      <c r="AJ38" s="157"/>
      <c r="AK38" s="157"/>
      <c r="AL38" s="158"/>
      <c r="AM38" s="133"/>
    </row>
    <row r="39" spans="1:39" ht="15" customHeight="1">
      <c r="A39" s="30"/>
      <c r="B39" s="147"/>
      <c r="C39" s="232">
        <v>1</v>
      </c>
      <c r="D39" s="210"/>
      <c r="E39" s="210" t="s">
        <v>34</v>
      </c>
      <c r="F39" s="100" t="s">
        <v>116</v>
      </c>
      <c r="G39" s="124">
        <v>616</v>
      </c>
      <c r="H39" s="125">
        <v>280</v>
      </c>
      <c r="I39" s="126">
        <v>5</v>
      </c>
      <c r="J39" s="234">
        <f t="shared" ref="J39:J46" si="6">SUM(G39:I39)</f>
        <v>901</v>
      </c>
      <c r="K39" s="171">
        <f t="shared" ref="K39:K47" si="7">IF(J39&lt;&gt;0,G39/J39,0)</f>
        <v>0.68368479467258603</v>
      </c>
      <c r="L39" s="213" t="s">
        <v>167</v>
      </c>
      <c r="M39" s="213"/>
      <c r="N39" s="223"/>
      <c r="O39" s="210"/>
      <c r="P39" s="35"/>
      <c r="Q39" s="154"/>
      <c r="R39" s="133"/>
      <c r="S39" s="156"/>
      <c r="T39" s="288"/>
      <c r="U39" s="104"/>
      <c r="V39" s="211"/>
      <c r="W39" s="104"/>
      <c r="X39" s="104"/>
      <c r="Y39" s="235">
        <f>IF(U39&lt;&gt;"",X39*VLOOKUP(U39,Listas!$H$3:$L$23,3,0),0)</f>
        <v>0</v>
      </c>
      <c r="Z39" s="235">
        <f t="shared" si="5"/>
        <v>0</v>
      </c>
      <c r="AA39" s="289"/>
      <c r="AB39" s="235" t="str">
        <f>IF(U39&lt;&gt;"",VLOOKUP(U39,Listas!$N$3:$O$10,2,FALSE),"")</f>
        <v/>
      </c>
      <c r="AC39" s="302"/>
      <c r="AD39" s="290"/>
      <c r="AE39" s="291"/>
      <c r="AF39" s="292"/>
      <c r="AG39" s="157"/>
      <c r="AH39" s="157"/>
      <c r="AI39" s="157"/>
      <c r="AJ39" s="157"/>
      <c r="AK39" s="157"/>
      <c r="AL39" s="158"/>
      <c r="AM39" s="133"/>
    </row>
    <row r="40" spans="1:39" ht="15" customHeight="1">
      <c r="A40" s="30"/>
      <c r="B40" s="147"/>
      <c r="C40" s="28">
        <v>2</v>
      </c>
      <c r="D40" s="210"/>
      <c r="E40" s="210" t="s">
        <v>34</v>
      </c>
      <c r="F40" s="100" t="s">
        <v>116</v>
      </c>
      <c r="G40" s="124">
        <v>572</v>
      </c>
      <c r="H40" s="125">
        <v>260</v>
      </c>
      <c r="I40" s="126">
        <v>16</v>
      </c>
      <c r="J40" s="26">
        <f t="shared" si="6"/>
        <v>848</v>
      </c>
      <c r="K40" s="172">
        <f t="shared" si="7"/>
        <v>0.67452830188679247</v>
      </c>
      <c r="L40" s="213" t="s">
        <v>167</v>
      </c>
      <c r="M40" s="213"/>
      <c r="N40" s="223"/>
      <c r="O40" s="210"/>
      <c r="P40" s="35"/>
      <c r="Q40" s="154"/>
      <c r="R40" s="133"/>
      <c r="S40" s="156"/>
      <c r="T40" s="293">
        <v>4</v>
      </c>
      <c r="U40" s="211" t="s">
        <v>21</v>
      </c>
      <c r="V40" s="211" t="s">
        <v>116</v>
      </c>
      <c r="W40" s="210"/>
      <c r="X40" s="211">
        <v>5</v>
      </c>
      <c r="Y40" s="234">
        <f>IF(U40&lt;&gt;"",X40*VLOOKUP(U40,Listas!$H$3:$L$23,3,0),0)</f>
        <v>180</v>
      </c>
      <c r="Z40" s="234">
        <f t="shared" si="5"/>
        <v>3240</v>
      </c>
      <c r="AA40" s="272">
        <f>+SUM(Z40:Z41)</f>
        <v>3240</v>
      </c>
      <c r="AB40" s="234">
        <f>IF(U40&lt;&gt;"",VLOOKUP(U40,Listas!$N$3:$O$10,2,FALSE),"")</f>
        <v>7</v>
      </c>
      <c r="AC40" s="301"/>
      <c r="AD40" s="274"/>
      <c r="AE40" s="275"/>
      <c r="AF40" s="276"/>
      <c r="AG40" s="157"/>
      <c r="AH40" s="157"/>
      <c r="AI40" s="157"/>
      <c r="AJ40" s="157"/>
      <c r="AK40" s="157"/>
      <c r="AL40" s="158"/>
      <c r="AM40" s="133"/>
    </row>
    <row r="41" spans="1:39" ht="15" customHeight="1">
      <c r="A41" s="30"/>
      <c r="B41" s="147"/>
      <c r="C41" s="28">
        <v>3</v>
      </c>
      <c r="D41" s="210"/>
      <c r="E41" s="210" t="s">
        <v>34</v>
      </c>
      <c r="F41" s="100" t="s">
        <v>116</v>
      </c>
      <c r="G41" s="124">
        <v>804</v>
      </c>
      <c r="H41" s="125">
        <v>140</v>
      </c>
      <c r="I41" s="126">
        <v>2</v>
      </c>
      <c r="J41" s="26">
        <f t="shared" si="6"/>
        <v>946</v>
      </c>
      <c r="K41" s="172">
        <f t="shared" si="7"/>
        <v>0.84989429175475684</v>
      </c>
      <c r="L41" s="213" t="s">
        <v>167</v>
      </c>
      <c r="M41" s="213"/>
      <c r="N41" s="223"/>
      <c r="O41" s="210"/>
      <c r="P41" s="35"/>
      <c r="Q41" s="154"/>
      <c r="R41" s="133"/>
      <c r="S41" s="156"/>
      <c r="T41" s="288"/>
      <c r="U41" s="104"/>
      <c r="V41" s="211"/>
      <c r="W41" s="104"/>
      <c r="X41" s="104"/>
      <c r="Y41" s="235">
        <f>IF(U41&lt;&gt;"",#REF!*VLOOKUP(U41,Listas!$H$3:$L$23,3,0),0)</f>
        <v>0</v>
      </c>
      <c r="Z41" s="235">
        <f t="shared" si="5"/>
        <v>0</v>
      </c>
      <c r="AA41" s="289"/>
      <c r="AB41" s="235" t="str">
        <f>IF(U41&lt;&gt;"",VLOOKUP(U41,Listas!$N$3:$O$10,2,FALSE),"")</f>
        <v/>
      </c>
      <c r="AC41" s="302"/>
      <c r="AD41" s="290"/>
      <c r="AE41" s="291"/>
      <c r="AF41" s="292"/>
      <c r="AG41" s="157"/>
      <c r="AH41" s="157"/>
      <c r="AI41" s="157"/>
      <c r="AJ41" s="157"/>
      <c r="AK41" s="157"/>
      <c r="AL41" s="158"/>
      <c r="AM41" s="133"/>
    </row>
    <row r="42" spans="1:39" ht="15" customHeight="1">
      <c r="A42" s="30"/>
      <c r="B42" s="147"/>
      <c r="C42" s="28">
        <v>4</v>
      </c>
      <c r="D42" s="210"/>
      <c r="E42" s="210" t="s">
        <v>34</v>
      </c>
      <c r="F42" s="100" t="s">
        <v>116</v>
      </c>
      <c r="G42" s="124">
        <v>792</v>
      </c>
      <c r="H42" s="125">
        <v>140</v>
      </c>
      <c r="I42" s="126">
        <v>3</v>
      </c>
      <c r="J42" s="26">
        <f t="shared" si="6"/>
        <v>935</v>
      </c>
      <c r="K42" s="172">
        <f t="shared" si="7"/>
        <v>0.84705882352941175</v>
      </c>
      <c r="L42" s="213" t="s">
        <v>167</v>
      </c>
      <c r="M42" s="213"/>
      <c r="N42" s="223"/>
      <c r="O42" s="210"/>
      <c r="P42" s="35"/>
      <c r="Q42" s="154"/>
      <c r="R42" s="133"/>
      <c r="S42" s="156"/>
      <c r="T42" s="270">
        <v>5</v>
      </c>
      <c r="U42" s="211" t="s">
        <v>21</v>
      </c>
      <c r="V42" s="211" t="s">
        <v>116</v>
      </c>
      <c r="W42" s="210"/>
      <c r="X42" s="211">
        <v>5</v>
      </c>
      <c r="Y42" s="237">
        <f>IF(U42&lt;&gt;"",X42*VLOOKUP(U42,Listas!$H$3:$L$23,3,0),0)</f>
        <v>180</v>
      </c>
      <c r="Z42" s="237">
        <f t="shared" si="5"/>
        <v>3240</v>
      </c>
      <c r="AA42" s="303">
        <f>+SUM(Z42:Z43)</f>
        <v>3240</v>
      </c>
      <c r="AB42" s="237">
        <f>IF(U42&lt;&gt;"",VLOOKUP(U42,Listas!$N$3:$O$10,2,FALSE),"")</f>
        <v>7</v>
      </c>
      <c r="AC42" s="304"/>
      <c r="AD42" s="274"/>
      <c r="AE42" s="275"/>
      <c r="AF42" s="276"/>
      <c r="AG42" s="157"/>
      <c r="AH42" s="157"/>
      <c r="AI42" s="157"/>
      <c r="AJ42" s="157"/>
      <c r="AK42" s="157"/>
      <c r="AL42" s="158"/>
      <c r="AM42" s="133"/>
    </row>
    <row r="43" spans="1:39" ht="15" customHeight="1">
      <c r="A43" s="30"/>
      <c r="B43" s="147"/>
      <c r="C43" s="28">
        <v>5</v>
      </c>
      <c r="D43" s="210"/>
      <c r="E43" s="210" t="s">
        <v>34</v>
      </c>
      <c r="F43" s="100" t="s">
        <v>116</v>
      </c>
      <c r="G43" s="124">
        <v>794</v>
      </c>
      <c r="H43" s="125">
        <v>80</v>
      </c>
      <c r="I43" s="126">
        <v>12</v>
      </c>
      <c r="J43" s="26">
        <f t="shared" si="6"/>
        <v>886</v>
      </c>
      <c r="K43" s="172">
        <f t="shared" si="7"/>
        <v>0.89616252821670428</v>
      </c>
      <c r="L43" s="213" t="s">
        <v>167</v>
      </c>
      <c r="M43" s="213"/>
      <c r="N43" s="223"/>
      <c r="O43" s="210"/>
      <c r="P43" s="35"/>
      <c r="Q43" s="154"/>
      <c r="R43" s="133"/>
      <c r="S43" s="156"/>
      <c r="T43" s="288"/>
      <c r="U43" s="216"/>
      <c r="V43" s="211"/>
      <c r="W43" s="104"/>
      <c r="X43" s="104"/>
      <c r="Y43" s="235">
        <f>IF(U43&lt;&gt;"",#REF!*VLOOKUP(U43,Listas!$H$3:$L$23,3,0),0)</f>
        <v>0</v>
      </c>
      <c r="Z43" s="235">
        <f t="shared" si="5"/>
        <v>0</v>
      </c>
      <c r="AA43" s="289"/>
      <c r="AB43" s="235" t="str">
        <f>IF(U43&lt;&gt;"",VLOOKUP(U43,Listas!$N$3:$O$10,2,FALSE),"")</f>
        <v/>
      </c>
      <c r="AC43" s="302"/>
      <c r="AD43" s="290"/>
      <c r="AE43" s="291"/>
      <c r="AF43" s="292"/>
      <c r="AG43" s="157"/>
      <c r="AH43" s="157"/>
      <c r="AI43" s="157"/>
      <c r="AJ43" s="157"/>
      <c r="AK43" s="157"/>
      <c r="AL43" s="158"/>
      <c r="AM43" s="133"/>
    </row>
    <row r="44" spans="1:39" ht="15" customHeight="1">
      <c r="A44" s="30"/>
      <c r="B44" s="147"/>
      <c r="C44" s="28">
        <v>6</v>
      </c>
      <c r="D44" s="210"/>
      <c r="E44" s="210" t="s">
        <v>34</v>
      </c>
      <c r="F44" s="100" t="s">
        <v>116</v>
      </c>
      <c r="G44" s="124">
        <v>492</v>
      </c>
      <c r="H44" s="125">
        <v>120</v>
      </c>
      <c r="I44" s="126">
        <v>19</v>
      </c>
      <c r="J44" s="26">
        <f t="shared" si="6"/>
        <v>631</v>
      </c>
      <c r="K44" s="172">
        <f t="shared" si="7"/>
        <v>0.77971473851030115</v>
      </c>
      <c r="L44" s="213" t="s">
        <v>167</v>
      </c>
      <c r="M44" s="213"/>
      <c r="N44" s="223"/>
      <c r="O44" s="210"/>
      <c r="P44" s="35"/>
      <c r="Q44" s="154"/>
      <c r="R44" s="133"/>
      <c r="S44" s="156"/>
      <c r="T44" s="270">
        <v>6</v>
      </c>
      <c r="U44" s="211"/>
      <c r="V44" s="211"/>
      <c r="W44" s="210"/>
      <c r="X44" s="211"/>
      <c r="Y44" s="237">
        <f>IF(U44&lt;&gt;"",X44*VLOOKUP(U44,Listas!$H$3:$L$23,3,0),0)</f>
        <v>0</v>
      </c>
      <c r="Z44" s="237">
        <f t="shared" si="5"/>
        <v>0</v>
      </c>
      <c r="AA44" s="303">
        <f>+SUM(Z44:Z45)</f>
        <v>0</v>
      </c>
      <c r="AB44" s="237" t="str">
        <f>IF(U44&lt;&gt;"",VLOOKUP(U44,Listas!$N$3:$O$10,2,FALSE),"")</f>
        <v/>
      </c>
      <c r="AC44" s="301"/>
      <c r="AD44" s="274"/>
      <c r="AE44" s="275"/>
      <c r="AF44" s="276"/>
      <c r="AG44" s="157"/>
      <c r="AH44" s="157"/>
      <c r="AI44" s="157"/>
      <c r="AJ44" s="157"/>
      <c r="AK44" s="157"/>
      <c r="AL44" s="158"/>
      <c r="AM44" s="133"/>
    </row>
    <row r="45" spans="1:39" ht="15" customHeight="1">
      <c r="A45" s="30"/>
      <c r="B45" s="147"/>
      <c r="C45" s="28">
        <v>7</v>
      </c>
      <c r="D45" s="210"/>
      <c r="E45" s="210" t="s">
        <v>34</v>
      </c>
      <c r="F45" s="100" t="s">
        <v>116</v>
      </c>
      <c r="G45" s="124">
        <v>176</v>
      </c>
      <c r="H45" s="125">
        <v>280</v>
      </c>
      <c r="I45" s="126">
        <v>91</v>
      </c>
      <c r="J45" s="26">
        <f t="shared" si="6"/>
        <v>547</v>
      </c>
      <c r="K45" s="172">
        <f t="shared" si="7"/>
        <v>0.3217550274223035</v>
      </c>
      <c r="L45" s="213" t="s">
        <v>167</v>
      </c>
      <c r="M45" s="213"/>
      <c r="N45" s="223"/>
      <c r="O45" s="210"/>
      <c r="P45" s="35"/>
      <c r="Q45" s="154"/>
      <c r="R45" s="133"/>
      <c r="S45" s="156"/>
      <c r="T45" s="271"/>
      <c r="U45" s="104"/>
      <c r="V45" s="211"/>
      <c r="W45" s="104"/>
      <c r="X45" s="104"/>
      <c r="Y45" s="235">
        <f>IF(U45&lt;&gt;"",X45*VLOOKUP(U45,Listas!$H$3:$L$23,3,0),0)</f>
        <v>0</v>
      </c>
      <c r="Z45" s="238">
        <f t="shared" si="5"/>
        <v>0</v>
      </c>
      <c r="AA45" s="273"/>
      <c r="AB45" s="238" t="str">
        <f>IF(U45&lt;&gt;"",VLOOKUP(U45,Listas!$N$3:$O$10,2,FALSE),"")</f>
        <v/>
      </c>
      <c r="AC45" s="302"/>
      <c r="AD45" s="290"/>
      <c r="AE45" s="291"/>
      <c r="AF45" s="292"/>
      <c r="AG45" s="157"/>
      <c r="AH45" s="157"/>
      <c r="AI45" s="157"/>
      <c r="AJ45" s="157"/>
      <c r="AK45" s="157"/>
      <c r="AL45" s="158"/>
      <c r="AM45" s="133"/>
    </row>
    <row r="46" spans="1:39" ht="15" customHeight="1" thickBot="1">
      <c r="A46" s="30"/>
      <c r="B46" s="147"/>
      <c r="C46" s="236">
        <v>8</v>
      </c>
      <c r="D46" s="210"/>
      <c r="E46" s="210" t="s">
        <v>34</v>
      </c>
      <c r="F46" s="100" t="s">
        <v>116</v>
      </c>
      <c r="G46" s="227">
        <v>308</v>
      </c>
      <c r="H46" s="125">
        <v>280</v>
      </c>
      <c r="I46" s="108">
        <v>155</v>
      </c>
      <c r="J46" s="238">
        <f t="shared" si="6"/>
        <v>743</v>
      </c>
      <c r="K46" s="173">
        <f t="shared" si="7"/>
        <v>0.414535666218035</v>
      </c>
      <c r="L46" s="213" t="s">
        <v>167</v>
      </c>
      <c r="M46" s="213"/>
      <c r="N46" s="223"/>
      <c r="O46" s="210"/>
      <c r="P46" s="35"/>
      <c r="Q46" s="154"/>
      <c r="R46" s="133"/>
      <c r="S46" s="156"/>
      <c r="T46" s="293">
        <v>7</v>
      </c>
      <c r="U46" s="211" t="s">
        <v>21</v>
      </c>
      <c r="V46" s="211" t="s">
        <v>116</v>
      </c>
      <c r="W46" s="210"/>
      <c r="X46" s="211">
        <v>5</v>
      </c>
      <c r="Y46" s="234">
        <f>IF(U46&lt;&gt;"",X46*VLOOKUP(U46,Listas!$H$3:$L$23,3,0),0)</f>
        <v>180</v>
      </c>
      <c r="Z46" s="234">
        <f t="shared" si="5"/>
        <v>3240</v>
      </c>
      <c r="AA46" s="272">
        <f>+SUM(Z46:Z47)</f>
        <v>3240</v>
      </c>
      <c r="AB46" s="234">
        <f>IF(U46&lt;&gt;"",VLOOKUP(U46,Listas!$N$3:$O$10,2,FALSE),"")</f>
        <v>7</v>
      </c>
      <c r="AC46" s="301"/>
      <c r="AD46" s="274"/>
      <c r="AE46" s="275"/>
      <c r="AF46" s="276"/>
      <c r="AG46" s="161"/>
      <c r="AH46" s="161"/>
      <c r="AI46" s="161"/>
      <c r="AJ46" s="161"/>
      <c r="AK46" s="161"/>
      <c r="AL46" s="158"/>
      <c r="AM46" s="133"/>
    </row>
    <row r="47" spans="1:39" ht="15" customHeight="1" thickBot="1">
      <c r="A47" s="30"/>
      <c r="B47" s="147"/>
      <c r="C47" s="174" t="s">
        <v>7</v>
      </c>
      <c r="D47" s="110"/>
      <c r="E47" s="110"/>
      <c r="F47" s="110"/>
      <c r="G47" s="111">
        <f>SUM(G39:G46)</f>
        <v>4554</v>
      </c>
      <c r="H47" s="111">
        <f>SUM(H39:H46)</f>
        <v>1580</v>
      </c>
      <c r="I47" s="121">
        <f>SUM(I39:I46)</f>
        <v>303</v>
      </c>
      <c r="J47" s="111">
        <f>SUM(J39:J46)</f>
        <v>6437</v>
      </c>
      <c r="K47" s="175">
        <f t="shared" si="7"/>
        <v>0.70747242504272179</v>
      </c>
      <c r="L47" s="239"/>
      <c r="M47" s="112">
        <f>SUM(M39:M46)</f>
        <v>0</v>
      </c>
      <c r="N47" s="224"/>
      <c r="O47" s="176"/>
      <c r="P47" s="35"/>
      <c r="Q47" s="154"/>
      <c r="R47" s="133"/>
      <c r="S47" s="156"/>
      <c r="T47" s="288"/>
      <c r="U47" s="104"/>
      <c r="V47" s="211"/>
      <c r="W47" s="104"/>
      <c r="X47" s="104"/>
      <c r="Y47" s="235">
        <f>IF(U47&lt;&gt;"",X47*VLOOKUP(U47,Listas!$H$3:$L$23,3,0),0)</f>
        <v>0</v>
      </c>
      <c r="Z47" s="235">
        <f t="shared" si="5"/>
        <v>0</v>
      </c>
      <c r="AA47" s="289"/>
      <c r="AB47" s="235" t="str">
        <f>IF(U47&lt;&gt;"",VLOOKUP(U47,Listas!$N$3:$O$10,2,FALSE),"")</f>
        <v/>
      </c>
      <c r="AC47" s="302"/>
      <c r="AD47" s="290"/>
      <c r="AE47" s="291"/>
      <c r="AF47" s="292"/>
      <c r="AG47" s="161"/>
      <c r="AH47" s="161"/>
      <c r="AI47" s="161"/>
      <c r="AJ47" s="161"/>
      <c r="AK47" s="161"/>
      <c r="AL47" s="158"/>
      <c r="AM47" s="133"/>
    </row>
    <row r="48" spans="1:39" ht="15" customHeight="1" thickBot="1">
      <c r="A48" s="30"/>
      <c r="B48" s="147"/>
      <c r="C48" s="41"/>
      <c r="D48" s="41"/>
      <c r="E48" s="41"/>
      <c r="F48" s="41"/>
      <c r="G48" s="42"/>
      <c r="H48" s="42"/>
      <c r="I48" s="42"/>
      <c r="J48" s="42"/>
      <c r="K48" s="177"/>
      <c r="L48" s="42"/>
      <c r="M48" s="41"/>
      <c r="N48" s="41"/>
      <c r="O48" s="35"/>
      <c r="P48" s="35"/>
      <c r="Q48" s="154"/>
      <c r="R48" s="133"/>
      <c r="S48" s="156"/>
      <c r="T48" s="270">
        <v>8</v>
      </c>
      <c r="U48" s="211" t="s">
        <v>21</v>
      </c>
      <c r="V48" s="211" t="s">
        <v>116</v>
      </c>
      <c r="W48" s="210"/>
      <c r="X48" s="128">
        <v>4</v>
      </c>
      <c r="Y48" s="237">
        <f>IF(U48&lt;&gt;"",X48*VLOOKUP(U48,Listas!$H$3:$L$23,3,0),0)</f>
        <v>144</v>
      </c>
      <c r="Z48" s="237">
        <f t="shared" si="5"/>
        <v>2592</v>
      </c>
      <c r="AA48" s="303">
        <f>+SUM(Z48:Z49)</f>
        <v>2592</v>
      </c>
      <c r="AB48" s="237">
        <f>IF(U48&lt;&gt;"",VLOOKUP(U48,Listas!$N$3:$O$10,2,FALSE),"")</f>
        <v>7</v>
      </c>
      <c r="AC48" s="304"/>
      <c r="AD48" s="274"/>
      <c r="AE48" s="275"/>
      <c r="AF48" s="276"/>
      <c r="AG48" s="161"/>
      <c r="AH48" s="161"/>
      <c r="AI48" s="161"/>
      <c r="AJ48" s="161"/>
      <c r="AK48" s="161"/>
      <c r="AL48" s="158"/>
      <c r="AM48" s="133"/>
    </row>
    <row r="49" spans="1:39" ht="15" customHeight="1" thickBot="1">
      <c r="A49" s="30"/>
      <c r="B49" s="147"/>
      <c r="C49" s="253">
        <v>4</v>
      </c>
      <c r="D49" s="255">
        <f>K60</f>
        <v>0.89220563847429524</v>
      </c>
      <c r="E49" s="35"/>
      <c r="F49" s="35"/>
      <c r="G49" s="35"/>
      <c r="H49" s="35"/>
      <c r="I49" s="35"/>
      <c r="J49" s="35"/>
      <c r="K49" s="35"/>
      <c r="L49" s="36"/>
      <c r="M49" s="35"/>
      <c r="N49" s="35"/>
      <c r="O49" s="35"/>
      <c r="P49" s="35"/>
      <c r="Q49" s="154"/>
      <c r="R49" s="133"/>
      <c r="S49" s="156"/>
      <c r="T49" s="271"/>
      <c r="U49" s="117"/>
      <c r="V49" s="118"/>
      <c r="W49" s="117"/>
      <c r="X49" s="117"/>
      <c r="Y49" s="130">
        <f>IF(U49&lt;&gt;"",X49*VLOOKUP(U49,Listas!$H$3:$L$23,3,0),0)</f>
        <v>0</v>
      </c>
      <c r="Z49" s="238">
        <f t="shared" si="5"/>
        <v>0</v>
      </c>
      <c r="AA49" s="273"/>
      <c r="AB49" s="238" t="str">
        <f>IF(U49&lt;&gt;"",VLOOKUP(U49,Listas!$N$3:$O$10,2,FALSE),"")</f>
        <v/>
      </c>
      <c r="AC49" s="304"/>
      <c r="AD49" s="290"/>
      <c r="AE49" s="291"/>
      <c r="AF49" s="292"/>
      <c r="AG49" s="161"/>
      <c r="AH49" s="161"/>
      <c r="AI49" s="161"/>
      <c r="AJ49" s="161"/>
      <c r="AK49" s="161"/>
      <c r="AL49" s="158"/>
      <c r="AM49" s="133"/>
    </row>
    <row r="50" spans="1:39" ht="15" customHeight="1" thickBot="1">
      <c r="A50" s="30"/>
      <c r="B50" s="147"/>
      <c r="C50" s="254"/>
      <c r="D50" s="256"/>
      <c r="E50" s="131"/>
      <c r="F50" s="131"/>
      <c r="G50" s="131"/>
      <c r="H50" s="131"/>
      <c r="I50" s="131"/>
      <c r="J50" s="131"/>
      <c r="K50" s="131"/>
      <c r="L50" s="36"/>
      <c r="M50" s="35"/>
      <c r="N50" s="35"/>
      <c r="O50" s="35"/>
      <c r="P50" s="35"/>
      <c r="Q50" s="154" t="s">
        <v>56</v>
      </c>
      <c r="R50" s="133"/>
      <c r="S50" s="156"/>
      <c r="T50" s="120"/>
      <c r="U50" s="239"/>
      <c r="V50" s="239"/>
      <c r="W50" s="239"/>
      <c r="X50" s="121">
        <f>SUM(X34:X49)</f>
        <v>34</v>
      </c>
      <c r="Y50" s="129">
        <f>SUM(Y34:Y49)</f>
        <v>1224</v>
      </c>
      <c r="Z50" s="121">
        <f>+SUM(Z34:Z49)</f>
        <v>22032</v>
      </c>
      <c r="AA50" s="122"/>
      <c r="AB50" s="239"/>
      <c r="AC50" s="111">
        <f>SUM(AC34:AC49)</f>
        <v>0</v>
      </c>
      <c r="AD50" s="280"/>
      <c r="AE50" s="280"/>
      <c r="AF50" s="281"/>
      <c r="AG50" s="161"/>
      <c r="AH50" s="161"/>
      <c r="AI50" s="161"/>
      <c r="AJ50" s="161"/>
      <c r="AK50" s="161"/>
      <c r="AL50" s="158"/>
      <c r="AM50" s="133"/>
    </row>
    <row r="51" spans="1:39" ht="15" customHeight="1" thickBot="1">
      <c r="A51" s="30"/>
      <c r="B51" s="147"/>
      <c r="C51" s="29" t="s">
        <v>2</v>
      </c>
      <c r="D51" s="23" t="s">
        <v>6</v>
      </c>
      <c r="E51" s="23" t="s">
        <v>3</v>
      </c>
      <c r="F51" s="23" t="s">
        <v>58</v>
      </c>
      <c r="G51" s="231" t="s">
        <v>0</v>
      </c>
      <c r="H51" s="231" t="s">
        <v>1</v>
      </c>
      <c r="I51" s="231" t="s">
        <v>18</v>
      </c>
      <c r="J51" s="231" t="s">
        <v>5</v>
      </c>
      <c r="K51" s="178" t="s">
        <v>13</v>
      </c>
      <c r="L51" s="231" t="s">
        <v>17</v>
      </c>
      <c r="M51" s="23" t="s">
        <v>9</v>
      </c>
      <c r="N51" s="240" t="s">
        <v>77</v>
      </c>
      <c r="O51" s="24" t="s">
        <v>12</v>
      </c>
      <c r="P51" s="35"/>
      <c r="Q51" s="154"/>
      <c r="R51" s="133"/>
      <c r="S51" s="156"/>
      <c r="T51" s="161"/>
      <c r="U51" s="161"/>
      <c r="V51" s="161"/>
      <c r="W51" s="161"/>
      <c r="X51" s="161"/>
      <c r="Y51" s="161"/>
      <c r="Z51" s="161"/>
      <c r="AA51" s="161"/>
      <c r="AB51" s="161"/>
      <c r="AC51" s="161"/>
      <c r="AD51" s="161"/>
      <c r="AE51" s="161"/>
      <c r="AF51" s="161"/>
      <c r="AG51" s="161"/>
      <c r="AH51" s="161"/>
      <c r="AI51" s="161"/>
      <c r="AJ51" s="161"/>
      <c r="AK51" s="161"/>
      <c r="AL51" s="158"/>
      <c r="AM51" s="133"/>
    </row>
    <row r="52" spans="1:39" ht="15" customHeight="1">
      <c r="A52" s="30"/>
      <c r="B52" s="147"/>
      <c r="C52" s="232">
        <v>1</v>
      </c>
      <c r="D52" s="210"/>
      <c r="E52" s="210" t="s">
        <v>34</v>
      </c>
      <c r="F52" s="210" t="s">
        <v>116</v>
      </c>
      <c r="G52" s="124">
        <v>744</v>
      </c>
      <c r="H52" s="125">
        <v>200</v>
      </c>
      <c r="I52" s="126">
        <v>13</v>
      </c>
      <c r="J52" s="234">
        <f t="shared" ref="J52:J58" si="8">+G52+H52+I52</f>
        <v>957</v>
      </c>
      <c r="K52" s="171">
        <f t="shared" ref="K52:K60" si="9">IF(J52&lt;&gt;0,G52/J52,0)</f>
        <v>0.77742946708463945</v>
      </c>
      <c r="L52" s="213" t="s">
        <v>153</v>
      </c>
      <c r="M52" s="213"/>
      <c r="N52" s="223"/>
      <c r="O52" s="210"/>
      <c r="P52" s="35"/>
      <c r="Q52" s="154"/>
      <c r="R52" s="133"/>
      <c r="S52" s="156"/>
      <c r="T52" s="282" t="s">
        <v>79</v>
      </c>
      <c r="U52" s="283"/>
      <c r="V52" s="284"/>
      <c r="W52" s="21"/>
      <c r="X52" s="21"/>
      <c r="Y52" s="167"/>
      <c r="Z52" s="167"/>
      <c r="AA52" s="167"/>
      <c r="AB52" s="167"/>
      <c r="AC52" s="166"/>
      <c r="AD52" s="166"/>
      <c r="AE52" s="161"/>
      <c r="AF52" s="161"/>
      <c r="AG52" s="161"/>
      <c r="AH52" s="161"/>
      <c r="AI52" s="161"/>
      <c r="AJ52" s="161"/>
      <c r="AK52" s="161"/>
      <c r="AL52" s="158"/>
      <c r="AM52" s="133"/>
    </row>
    <row r="53" spans="1:39" ht="15" customHeight="1" thickBot="1">
      <c r="A53" s="30"/>
      <c r="B53" s="147"/>
      <c r="C53" s="28">
        <v>2</v>
      </c>
      <c r="D53" s="210"/>
      <c r="E53" s="210" t="s">
        <v>34</v>
      </c>
      <c r="F53" s="210" t="s">
        <v>116</v>
      </c>
      <c r="G53" s="124">
        <v>792</v>
      </c>
      <c r="H53" s="125">
        <v>100</v>
      </c>
      <c r="I53" s="126">
        <v>4</v>
      </c>
      <c r="J53" s="26">
        <f>+G53+H53+I53</f>
        <v>896</v>
      </c>
      <c r="K53" s="172">
        <f>IF(J53&lt;&gt;0,G53/J53,0)</f>
        <v>0.8839285714285714</v>
      </c>
      <c r="L53" s="213" t="s">
        <v>153</v>
      </c>
      <c r="M53" s="213"/>
      <c r="N53" s="223"/>
      <c r="O53" s="210"/>
      <c r="P53" s="35"/>
      <c r="Q53" s="154"/>
      <c r="R53" s="133"/>
      <c r="S53" s="156"/>
      <c r="T53" s="296"/>
      <c r="U53" s="297"/>
      <c r="V53" s="298"/>
      <c r="W53" s="170"/>
      <c r="X53" s="170"/>
      <c r="Y53" s="170"/>
      <c r="Z53" s="170"/>
      <c r="AA53" s="170"/>
      <c r="AB53" s="170"/>
      <c r="AC53" s="170"/>
      <c r="AD53" s="170"/>
      <c r="AE53" s="161"/>
      <c r="AF53" s="161"/>
      <c r="AG53" s="161"/>
      <c r="AH53" s="161"/>
      <c r="AI53" s="161"/>
      <c r="AJ53" s="161"/>
      <c r="AK53" s="161"/>
      <c r="AL53" s="158"/>
      <c r="AM53" s="133"/>
    </row>
    <row r="54" spans="1:39" ht="15" customHeight="1">
      <c r="A54" s="30"/>
      <c r="B54" s="147"/>
      <c r="C54" s="28">
        <v>3</v>
      </c>
      <c r="D54" s="210"/>
      <c r="E54" s="210" t="s">
        <v>34</v>
      </c>
      <c r="F54" s="210" t="s">
        <v>116</v>
      </c>
      <c r="G54" s="124">
        <v>768</v>
      </c>
      <c r="H54" s="125">
        <v>120</v>
      </c>
      <c r="I54" s="126">
        <v>35</v>
      </c>
      <c r="J54" s="26">
        <f t="shared" si="8"/>
        <v>923</v>
      </c>
      <c r="K54" s="172">
        <f t="shared" si="9"/>
        <v>0.83206933911159264</v>
      </c>
      <c r="L54" s="213" t="s">
        <v>153</v>
      </c>
      <c r="M54" s="213"/>
      <c r="N54" s="223"/>
      <c r="O54" s="210"/>
      <c r="P54" s="35"/>
      <c r="Q54" s="154"/>
      <c r="R54" s="133"/>
      <c r="S54" s="156"/>
      <c r="T54" s="47" t="s">
        <v>2</v>
      </c>
      <c r="U54" s="23" t="s">
        <v>81</v>
      </c>
      <c r="V54" s="23" t="s">
        <v>4</v>
      </c>
      <c r="W54" s="23" t="s">
        <v>82</v>
      </c>
      <c r="X54" s="23" t="s">
        <v>86</v>
      </c>
      <c r="Y54" s="23" t="s">
        <v>87</v>
      </c>
      <c r="Z54" s="23" t="s">
        <v>92</v>
      </c>
      <c r="AA54" s="23" t="s">
        <v>93</v>
      </c>
      <c r="AB54" s="23" t="s">
        <v>94</v>
      </c>
      <c r="AC54" s="23" t="s">
        <v>95</v>
      </c>
      <c r="AD54" s="46" t="s">
        <v>84</v>
      </c>
      <c r="AE54" s="46" t="s">
        <v>103</v>
      </c>
      <c r="AF54" s="299" t="s">
        <v>78</v>
      </c>
      <c r="AG54" s="299"/>
      <c r="AH54" s="300"/>
      <c r="AI54" s="161"/>
      <c r="AJ54" s="161"/>
      <c r="AK54" s="161"/>
      <c r="AL54" s="158"/>
      <c r="AM54" s="133"/>
    </row>
    <row r="55" spans="1:39" ht="15" customHeight="1">
      <c r="A55" s="30"/>
      <c r="B55" s="147"/>
      <c r="C55" s="28">
        <v>4</v>
      </c>
      <c r="D55" s="210"/>
      <c r="E55" s="210" t="s">
        <v>34</v>
      </c>
      <c r="F55" s="210" t="s">
        <v>116</v>
      </c>
      <c r="G55" s="210">
        <v>864</v>
      </c>
      <c r="H55" s="125">
        <v>40</v>
      </c>
      <c r="I55" s="126">
        <v>1</v>
      </c>
      <c r="J55" s="26">
        <f t="shared" si="8"/>
        <v>905</v>
      </c>
      <c r="K55" s="172">
        <f t="shared" si="9"/>
        <v>0.95469613259668507</v>
      </c>
      <c r="L55" s="213" t="s">
        <v>153</v>
      </c>
      <c r="M55" s="213"/>
      <c r="N55" s="223"/>
      <c r="O55" s="210"/>
      <c r="P55" s="35"/>
      <c r="Q55" s="154"/>
      <c r="R55" s="133"/>
      <c r="S55" s="156"/>
      <c r="T55" s="293">
        <v>1</v>
      </c>
      <c r="U55" s="211" t="s">
        <v>29</v>
      </c>
      <c r="V55" s="210" t="s">
        <v>151</v>
      </c>
      <c r="W55" s="211"/>
      <c r="X55" s="211">
        <v>9</v>
      </c>
      <c r="Y55" s="211"/>
      <c r="Z55" s="234">
        <f>IF(U55&lt;&gt;"",X55*VLOOKUP(U55,Listas!$H$3:$L$23,3,0),0)</f>
        <v>216</v>
      </c>
      <c r="AA55" s="234">
        <f>IF(U55&lt;&gt;"",Y55*VLOOKUP(U55,Listas!$H$3:$L$23,3,0),0)</f>
        <v>0</v>
      </c>
      <c r="AB55" s="234">
        <f>IF(U55&lt;&gt;"",X55*VLOOKUP(U55,Listas!$H$3:$L$23,4,0),0)</f>
        <v>6912</v>
      </c>
      <c r="AC55" s="234">
        <f>IF(U55&lt;&gt;"",Y55*VLOOKUP(U55,Listas!$H$3:$L$23,4,0),0)</f>
        <v>0</v>
      </c>
      <c r="AD55" s="272">
        <f>+SUM(AB55:AB56)+SUM(AC55:AC56)</f>
        <v>6912</v>
      </c>
      <c r="AE55" s="87" t="str">
        <f>IF(COUNT(X55)=1,VLOOKUP(U55,Listas!$R$6:$U$18,'02-09 T1'!W55+1,FALSE),IF(COUNT('02-09 T1'!Y55)=1,VLOOKUP('02-09 T1'!U55,Listas!$R$22:$U$34,'02-09 T1'!W55+1,FALSE),""))</f>
        <v>DIN 14</v>
      </c>
      <c r="AF55" s="294"/>
      <c r="AG55" s="294"/>
      <c r="AH55" s="295"/>
      <c r="AI55" s="161"/>
      <c r="AJ55" s="161"/>
      <c r="AK55" s="161"/>
      <c r="AL55" s="158"/>
      <c r="AM55" s="133"/>
    </row>
    <row r="56" spans="1:39" ht="15" customHeight="1">
      <c r="A56" s="30"/>
      <c r="B56" s="147"/>
      <c r="C56" s="28">
        <v>5</v>
      </c>
      <c r="D56" s="210"/>
      <c r="E56" s="210" t="s">
        <v>34</v>
      </c>
      <c r="F56" s="210" t="s">
        <v>116</v>
      </c>
      <c r="G56" s="124">
        <v>864</v>
      </c>
      <c r="H56" s="125">
        <v>40</v>
      </c>
      <c r="I56" s="126">
        <v>9</v>
      </c>
      <c r="J56" s="26">
        <f t="shared" si="8"/>
        <v>913</v>
      </c>
      <c r="K56" s="172">
        <f t="shared" si="9"/>
        <v>0.94633077765607887</v>
      </c>
      <c r="L56" s="213" t="s">
        <v>153</v>
      </c>
      <c r="M56" s="213"/>
      <c r="N56" s="223"/>
      <c r="O56" s="210"/>
      <c r="P56" s="35"/>
      <c r="Q56" s="154"/>
      <c r="R56" s="133"/>
      <c r="S56" s="156"/>
      <c r="T56" s="288"/>
      <c r="U56" s="104"/>
      <c r="V56" s="210"/>
      <c r="W56" s="104"/>
      <c r="X56" s="104"/>
      <c r="Y56" s="104"/>
      <c r="Z56" s="235">
        <f>IF(U56&lt;&gt;"",X56*VLOOKUP(U56,Listas!$H$3:$L$23,3,0),0)</f>
        <v>0</v>
      </c>
      <c r="AA56" s="235">
        <f>IF(U56&lt;&gt;"",Y56*VLOOKUP(U56,Listas!$H$3:$L$23,3,0),0)</f>
        <v>0</v>
      </c>
      <c r="AB56" s="235">
        <f>IF(U56&lt;&gt;"",X56*VLOOKUP(U56,Listas!$H$3:$L$23,4,0),0)</f>
        <v>0</v>
      </c>
      <c r="AC56" s="235">
        <f>IF(U56&lt;&gt;"",Y56*VLOOKUP(U56,Listas!$H$3:$L$23,4,0),0)</f>
        <v>0</v>
      </c>
      <c r="AD56" s="289"/>
      <c r="AE56" s="88" t="str">
        <f>IF(COUNT(X56)=1,VLOOKUP(U56,Listas!$R$6:$U$18,'02-09 T1'!W56+1,FALSE),IF(COUNT('02-09 T1'!Y56)=1,VLOOKUP('02-09 T1'!U56,Listas!$R$22:$U$34,'02-09 T1'!W56+1,FALSE),""))</f>
        <v/>
      </c>
      <c r="AF56" s="294"/>
      <c r="AG56" s="294"/>
      <c r="AH56" s="295"/>
      <c r="AI56" s="161"/>
      <c r="AJ56" s="161"/>
      <c r="AK56" s="161"/>
      <c r="AL56" s="158"/>
      <c r="AM56" s="133"/>
    </row>
    <row r="57" spans="1:39" ht="15" customHeight="1">
      <c r="A57" s="30"/>
      <c r="B57" s="147"/>
      <c r="C57" s="28">
        <v>6</v>
      </c>
      <c r="D57" s="210"/>
      <c r="E57" s="210" t="s">
        <v>34</v>
      </c>
      <c r="F57" s="210" t="s">
        <v>116</v>
      </c>
      <c r="G57" s="228">
        <v>912</v>
      </c>
      <c r="H57" s="125">
        <v>60</v>
      </c>
      <c r="I57" s="126">
        <v>10</v>
      </c>
      <c r="J57" s="26">
        <f t="shared" si="8"/>
        <v>982</v>
      </c>
      <c r="K57" s="172">
        <f t="shared" si="9"/>
        <v>0.92871690427698572</v>
      </c>
      <c r="L57" s="213" t="s">
        <v>153</v>
      </c>
      <c r="M57" s="213"/>
      <c r="N57" s="223"/>
      <c r="O57" s="210"/>
      <c r="P57" s="35"/>
      <c r="Q57" s="154"/>
      <c r="R57" s="133"/>
      <c r="S57" s="156"/>
      <c r="T57" s="293">
        <v>2</v>
      </c>
      <c r="U57" s="211" t="s">
        <v>36</v>
      </c>
      <c r="V57" s="210" t="s">
        <v>116</v>
      </c>
      <c r="W57" s="211"/>
      <c r="X57" s="211">
        <v>2</v>
      </c>
      <c r="Y57" s="211"/>
      <c r="Z57" s="234">
        <f>IF(U57&lt;&gt;"",X57*VLOOKUP(U57,Listas!$H$3:$L$23,3,0),0)</f>
        <v>102</v>
      </c>
      <c r="AA57" s="234">
        <f>IF(U57&lt;&gt;"",Y57*VLOOKUP(U57,Listas!$H$3:$L$23,3,0),0)</f>
        <v>0</v>
      </c>
      <c r="AB57" s="234">
        <f>IF(U57&lt;&gt;"",X57*VLOOKUP(U57,Listas!$H$3:$L$23,4,0),0)</f>
        <v>1530</v>
      </c>
      <c r="AC57" s="234">
        <f>IF(U57&lt;&gt;"",Y57*VLOOKUP(U57,Listas!$H$3:$L$23,4,0),0)</f>
        <v>0</v>
      </c>
      <c r="AD57" s="272">
        <f>+SUM(AB57:AB58)+SUM(AC57:AC58)</f>
        <v>1530</v>
      </c>
      <c r="AE57" s="87" t="str">
        <f>IF(COUNT(X57)=1,VLOOKUP(U57,Listas!$R$6:$U$18,'02-09 T1'!W57+1,FALSE),IF(COUNT('02-09 T1'!Y57)=1,VLOOKUP('02-09 T1'!U57,Listas!$R$22:$U$34,'02-09 T1'!W57+1,FALSE),""))</f>
        <v>DIN 30x20</v>
      </c>
      <c r="AF57" s="294"/>
      <c r="AG57" s="294"/>
      <c r="AH57" s="295"/>
      <c r="AI57" s="161"/>
      <c r="AJ57" s="161"/>
      <c r="AK57" s="161"/>
      <c r="AL57" s="158"/>
      <c r="AM57" s="133"/>
    </row>
    <row r="58" spans="1:39" ht="15" customHeight="1">
      <c r="A58" s="30"/>
      <c r="B58" s="147"/>
      <c r="C58" s="28">
        <v>7</v>
      </c>
      <c r="D58" s="210"/>
      <c r="E58" s="210" t="s">
        <v>34</v>
      </c>
      <c r="F58" s="210" t="s">
        <v>116</v>
      </c>
      <c r="G58" s="124">
        <v>912</v>
      </c>
      <c r="H58" s="125">
        <v>80</v>
      </c>
      <c r="I58" s="126">
        <v>8</v>
      </c>
      <c r="J58" s="26">
        <f t="shared" si="8"/>
        <v>1000</v>
      </c>
      <c r="K58" s="172">
        <f t="shared" si="9"/>
        <v>0.91200000000000003</v>
      </c>
      <c r="L58" s="213" t="s">
        <v>153</v>
      </c>
      <c r="M58" s="213"/>
      <c r="N58" s="223"/>
      <c r="O58" s="210"/>
      <c r="P58" s="35"/>
      <c r="Q58" s="154"/>
      <c r="R58" s="133"/>
      <c r="S58" s="156"/>
      <c r="T58" s="288"/>
      <c r="U58" s="104"/>
      <c r="V58" s="116"/>
      <c r="W58" s="104"/>
      <c r="X58" s="104"/>
      <c r="Y58" s="104"/>
      <c r="Z58" s="235">
        <f>IF(U58&lt;&gt;"",X58*VLOOKUP(U58,Listas!$H$3:$L$23,3,0),0)</f>
        <v>0</v>
      </c>
      <c r="AA58" s="235">
        <f>IF(U58&lt;&gt;"",Y58*VLOOKUP(U58,Listas!$H$3:$L$23,3,0),0)</f>
        <v>0</v>
      </c>
      <c r="AB58" s="235">
        <f>IF(U58&lt;&gt;"",X58*VLOOKUP(U58,Listas!$H$3:$L$23,4,0),0)</f>
        <v>0</v>
      </c>
      <c r="AC58" s="235">
        <f>IF(U58&lt;&gt;"",Y58*VLOOKUP(U58,Listas!$H$3:$L$23,4,0),0)</f>
        <v>0</v>
      </c>
      <c r="AD58" s="289"/>
      <c r="AE58" s="88" t="str">
        <f>IF(COUNT(X58)=1,VLOOKUP(U58,Listas!$R$6:$U$18,'02-09 T1'!W58+1,FALSE),IF(COUNT('02-09 T1'!Y58)=1,VLOOKUP('02-09 T1'!U58,Listas!$R$22:$U$34,'02-09 T1'!W58+1,FALSE),""))</f>
        <v/>
      </c>
      <c r="AF58" s="294"/>
      <c r="AG58" s="294"/>
      <c r="AH58" s="295"/>
      <c r="AI58" s="157"/>
      <c r="AJ58" s="157"/>
      <c r="AK58" s="157"/>
      <c r="AL58" s="158"/>
      <c r="AM58" s="133"/>
    </row>
    <row r="59" spans="1:39" ht="15" customHeight="1" thickBot="1">
      <c r="A59" s="30"/>
      <c r="B59" s="147"/>
      <c r="C59" s="236">
        <v>8</v>
      </c>
      <c r="D59" s="210"/>
      <c r="E59" s="210" t="s">
        <v>34</v>
      </c>
      <c r="F59" s="210" t="s">
        <v>116</v>
      </c>
      <c r="G59" s="108">
        <v>600</v>
      </c>
      <c r="H59" s="220">
        <v>60</v>
      </c>
      <c r="I59" s="108">
        <v>0</v>
      </c>
      <c r="J59" s="238">
        <f>+G59+H59+I59</f>
        <v>660</v>
      </c>
      <c r="K59" s="173">
        <f>IF(J59&lt;&gt;0,G59/J59,0)</f>
        <v>0.90909090909090906</v>
      </c>
      <c r="L59" s="213" t="s">
        <v>153</v>
      </c>
      <c r="M59" s="213"/>
      <c r="N59" s="223"/>
      <c r="O59" s="210"/>
      <c r="P59" s="35"/>
      <c r="Q59" s="154"/>
      <c r="R59" s="133"/>
      <c r="S59" s="156"/>
      <c r="T59" s="293">
        <v>3</v>
      </c>
      <c r="U59" s="211" t="s">
        <v>34</v>
      </c>
      <c r="V59" s="210" t="s">
        <v>116</v>
      </c>
      <c r="W59" s="211"/>
      <c r="X59" s="211">
        <v>5</v>
      </c>
      <c r="Y59" s="211"/>
      <c r="Z59" s="234">
        <f>IF(U59&lt;&gt;"",X59*VLOOKUP(U59,Listas!$H$3:$L$23,3,0),0)</f>
        <v>180</v>
      </c>
      <c r="AA59" s="234">
        <f>IF(U59&lt;&gt;"",Y59*VLOOKUP(U59,Listas!$H$3:$L$23,3,0),0)</f>
        <v>0</v>
      </c>
      <c r="AB59" s="234">
        <f>IF(U59&lt;&gt;"",X59*VLOOKUP(U59,Listas!$H$3:$L$23,4,0),0)</f>
        <v>3960</v>
      </c>
      <c r="AC59" s="234">
        <f>IF(U59&lt;&gt;"",Y59*VLOOKUP(U59,Listas!$H$3:$L$23,4,0),0)</f>
        <v>0</v>
      </c>
      <c r="AD59" s="272">
        <f>+SUM(AB59:AB60)+SUM(AC59:AC60)</f>
        <v>3960</v>
      </c>
      <c r="AE59" s="87" t="str">
        <f>IF(COUNT(X59)=1,VLOOKUP(U59,Listas!$R$6:$U$18,'02-09 T1'!W59+1,FALSE),IF(COUNT('02-09 T1'!Y59)=1,VLOOKUP('02-09 T1'!U59,Listas!$R$22:$U$34,'02-09 T1'!W59+1,FALSE),""))</f>
        <v>DIN 26</v>
      </c>
      <c r="AF59" s="274"/>
      <c r="AG59" s="275"/>
      <c r="AH59" s="276"/>
      <c r="AI59" s="161"/>
      <c r="AJ59" s="161"/>
      <c r="AK59" s="161"/>
      <c r="AL59" s="158"/>
      <c r="AM59" s="133"/>
    </row>
    <row r="60" spans="1:39" ht="15" customHeight="1" thickBot="1">
      <c r="A60" s="30"/>
      <c r="B60" s="147"/>
      <c r="C60" s="174" t="s">
        <v>7</v>
      </c>
      <c r="D60" s="110"/>
      <c r="E60" s="110"/>
      <c r="F60" s="132"/>
      <c r="G60" s="111">
        <f>SUM(G52:G59)</f>
        <v>6456</v>
      </c>
      <c r="H60" s="111">
        <f>SUM(H52:H59)</f>
        <v>700</v>
      </c>
      <c r="I60" s="111">
        <f>SUM(I52:I59)</f>
        <v>80</v>
      </c>
      <c r="J60" s="111">
        <f>SUM(J52:J59)</f>
        <v>7236</v>
      </c>
      <c r="K60" s="175">
        <f t="shared" si="9"/>
        <v>0.89220563847429524</v>
      </c>
      <c r="L60" s="239"/>
      <c r="M60" s="112">
        <f>SUM(M52:M59)</f>
        <v>0</v>
      </c>
      <c r="N60" s="224"/>
      <c r="O60" s="176"/>
      <c r="P60" s="35"/>
      <c r="Q60" s="154"/>
      <c r="R60" s="133"/>
      <c r="S60" s="156"/>
      <c r="T60" s="288"/>
      <c r="U60" s="104"/>
      <c r="V60" s="116"/>
      <c r="W60" s="104"/>
      <c r="X60" s="104"/>
      <c r="Y60" s="104"/>
      <c r="Z60" s="235">
        <f>IF(U60&lt;&gt;"",X60*VLOOKUP(U60,Listas!$H$3:$L$23,3,0),0)</f>
        <v>0</v>
      </c>
      <c r="AA60" s="235">
        <f>IF(U60&lt;&gt;"",Y60*VLOOKUP(U60,Listas!$H$3:$L$23,3,0),0)</f>
        <v>0</v>
      </c>
      <c r="AB60" s="235">
        <f>IF(U60&lt;&gt;"",X60*VLOOKUP(U60,Listas!$H$3:$L$23,4,0),0)</f>
        <v>0</v>
      </c>
      <c r="AC60" s="235">
        <f>IF(U60&lt;&gt;"",Y60*VLOOKUP(U60,Listas!$H$3:$L$23,4,0),0)</f>
        <v>0</v>
      </c>
      <c r="AD60" s="289"/>
      <c r="AE60" s="88" t="str">
        <f>IF(COUNT(X60)=1,VLOOKUP(U60,Listas!$R$6:$U$18,'02-09 T1'!W60+1,FALSE),IF(COUNT('02-09 T1'!Y60)=1,VLOOKUP('02-09 T1'!U60,Listas!$R$22:$U$34,'02-09 T1'!W60+1,FALSE),""))</f>
        <v/>
      </c>
      <c r="AF60" s="290"/>
      <c r="AG60" s="291"/>
      <c r="AH60" s="292"/>
      <c r="AI60" s="161"/>
      <c r="AJ60" s="161"/>
      <c r="AK60" s="161"/>
      <c r="AL60" s="158"/>
      <c r="AM60" s="133"/>
    </row>
    <row r="61" spans="1:39" ht="15" customHeight="1" thickBot="1">
      <c r="A61" s="30"/>
      <c r="B61" s="147"/>
      <c r="C61" s="41"/>
      <c r="D61" s="41"/>
      <c r="E61" s="41"/>
      <c r="F61" s="131"/>
      <c r="G61" s="42"/>
      <c r="H61" s="42"/>
      <c r="I61" s="42"/>
      <c r="J61" s="42"/>
      <c r="K61" s="177"/>
      <c r="L61" s="42"/>
      <c r="M61" s="41"/>
      <c r="N61" s="41"/>
      <c r="O61" s="35"/>
      <c r="P61" s="35"/>
      <c r="Q61" s="154"/>
      <c r="R61" s="133"/>
      <c r="S61" s="156"/>
      <c r="T61" s="270">
        <v>4</v>
      </c>
      <c r="U61" s="211" t="s">
        <v>60</v>
      </c>
      <c r="V61" s="210" t="s">
        <v>117</v>
      </c>
      <c r="W61" s="211"/>
      <c r="X61" s="211">
        <v>4</v>
      </c>
      <c r="Y61" s="211"/>
      <c r="Z61" s="237">
        <f>IF(U61&lt;&gt;"",X61*VLOOKUP(U61,Listas!$H$3:$L$23,3,0),0)</f>
        <v>208</v>
      </c>
      <c r="AA61" s="237">
        <f>IF(U61&lt;&gt;"",Y61*VLOOKUP(U61,Listas!$H$3:$L$23,3,0),0)</f>
        <v>0</v>
      </c>
      <c r="AB61" s="237">
        <f>IF(U61&lt;&gt;"",X61*VLOOKUP(U61,Listas!$H$3:$L$23,4,0),0)</f>
        <v>5200</v>
      </c>
      <c r="AC61" s="237">
        <f>IF(U61&lt;&gt;"",Y61*VLOOKUP(U61,Listas!$H$3:$L$23,4,0),0)</f>
        <v>0</v>
      </c>
      <c r="AD61" s="272">
        <f>+SUM(AB61:AB62)+SUM(AC61:AC62)</f>
        <v>5200</v>
      </c>
      <c r="AE61" s="87" t="str">
        <f>IF(COUNT(X61)=1,VLOOKUP(U61,Listas!$R$6:$U$18,'02-09 T1'!W61+1,FALSE),IF(COUNT('02-09 T1'!Y61)=1,VLOOKUP('02-09 T1'!U61,Listas!$R$22:$U$34,'02-09 T1'!W61+1,FALSE),""))</f>
        <v>FLI 20</v>
      </c>
      <c r="AF61" s="294"/>
      <c r="AG61" s="294"/>
      <c r="AH61" s="295"/>
      <c r="AI61" s="161"/>
      <c r="AJ61" s="161"/>
      <c r="AK61" s="161"/>
      <c r="AL61" s="158"/>
      <c r="AM61" s="133"/>
    </row>
    <row r="62" spans="1:39" ht="15" customHeight="1">
      <c r="A62" s="30"/>
      <c r="B62" s="147"/>
      <c r="C62" s="253">
        <v>5</v>
      </c>
      <c r="D62" s="255">
        <f>K73</f>
        <v>0.92212571765052265</v>
      </c>
      <c r="E62" s="35"/>
      <c r="F62" s="35"/>
      <c r="G62" s="35"/>
      <c r="H62" s="35"/>
      <c r="I62" s="35"/>
      <c r="J62" s="35"/>
      <c r="K62" s="35"/>
      <c r="L62" s="36"/>
      <c r="M62" s="35"/>
      <c r="N62" s="35"/>
      <c r="O62" s="35"/>
      <c r="P62" s="35"/>
      <c r="Q62" s="154"/>
      <c r="R62" s="133"/>
      <c r="S62" s="156"/>
      <c r="T62" s="288"/>
      <c r="U62" s="104"/>
      <c r="V62" s="116"/>
      <c r="W62" s="104"/>
      <c r="X62" s="104"/>
      <c r="Y62" s="104"/>
      <c r="Z62" s="235">
        <f>IF(U62&lt;&gt;"",X62*VLOOKUP(U62,Listas!$H$3:$L$23,3,0),0)</f>
        <v>0</v>
      </c>
      <c r="AA62" s="235">
        <f>IF(U62&lt;&gt;"",Y62*VLOOKUP(U62,Listas!$H$3:$L$23,3,0),0)</f>
        <v>0</v>
      </c>
      <c r="AB62" s="235">
        <f>IF(U62&lt;&gt;"",X62*VLOOKUP(U62,Listas!$H$3:$L$23,4,0),0)</f>
        <v>0</v>
      </c>
      <c r="AC62" s="235">
        <f>IF(U62&lt;&gt;"",Y62*VLOOKUP(U62,Listas!$H$3:$L$23,4,0),0)</f>
        <v>0</v>
      </c>
      <c r="AD62" s="289"/>
      <c r="AE62" s="88" t="str">
        <f>IF(COUNT(X62)=1,VLOOKUP(U62,Listas!$R$6:$U$18,'02-09 T1'!W62+1,FALSE),IF(COUNT('02-09 T1'!Y62)=1,VLOOKUP('02-09 T1'!U62,Listas!$R$22:$U$34,'02-09 T1'!W62+1,FALSE),""))</f>
        <v/>
      </c>
      <c r="AF62" s="294"/>
      <c r="AG62" s="294"/>
      <c r="AH62" s="295"/>
      <c r="AI62" s="161"/>
      <c r="AJ62" s="161"/>
      <c r="AK62" s="161"/>
      <c r="AL62" s="158"/>
      <c r="AM62" s="133"/>
    </row>
    <row r="63" spans="1:39" ht="15" customHeight="1" thickBot="1">
      <c r="A63" s="30"/>
      <c r="B63" s="147"/>
      <c r="C63" s="254"/>
      <c r="D63" s="256"/>
      <c r="E63" s="131"/>
      <c r="F63" s="131"/>
      <c r="G63" s="131"/>
      <c r="H63" s="131"/>
      <c r="I63" s="131"/>
      <c r="J63" s="131"/>
      <c r="K63" s="131"/>
      <c r="L63" s="36"/>
      <c r="M63" s="35"/>
      <c r="N63" s="35"/>
      <c r="O63" s="35"/>
      <c r="P63" s="35"/>
      <c r="Q63" s="154"/>
      <c r="R63" s="133"/>
      <c r="S63" s="156"/>
      <c r="T63" s="293">
        <v>5</v>
      </c>
      <c r="U63" s="211" t="s">
        <v>63</v>
      </c>
      <c r="V63" s="210" t="s">
        <v>117</v>
      </c>
      <c r="W63" s="211"/>
      <c r="X63" s="211">
        <v>1</v>
      </c>
      <c r="Y63" s="211"/>
      <c r="Z63" s="234">
        <f>IF(U63&lt;&gt;"",X63*VLOOKUP(U63,Listas!$H$3:$L$23,3,0),0)</f>
        <v>36</v>
      </c>
      <c r="AA63" s="234">
        <f>IF(U63&lt;&gt;"",Y63*VLOOKUP(U63,Listas!$H$3:$L$23,3,0),0)</f>
        <v>0</v>
      </c>
      <c r="AB63" s="234">
        <f>IF(U63&lt;&gt;"",X63*VLOOKUP(U63,Listas!$H$3:$L$23,4,0),0)</f>
        <v>792</v>
      </c>
      <c r="AC63" s="234">
        <f>IF(U63&lt;&gt;"",Y63*VLOOKUP(U63,Listas!$H$3:$L$23,4,0),0)</f>
        <v>0</v>
      </c>
      <c r="AD63" s="272">
        <f>+SUM(AB63:AB64)+SUM(AC63:AC64)</f>
        <v>792</v>
      </c>
      <c r="AE63" s="87" t="str">
        <f>IF(COUNT(X63)=1,VLOOKUP(U63,Listas!$R$6:$U$18,'02-09 T1'!W63+1,FALSE),IF(COUNT('02-09 T1'!Y63)=1,VLOOKUP('02-09 T1'!U63,Listas!$R$22:$U$34,'02-09 T1'!W63+1,FALSE),""))</f>
        <v>FLI 26</v>
      </c>
      <c r="AF63" s="294"/>
      <c r="AG63" s="294"/>
      <c r="AH63" s="295"/>
      <c r="AI63" s="161"/>
      <c r="AJ63" s="161"/>
      <c r="AK63" s="161"/>
      <c r="AL63" s="158"/>
      <c r="AM63" s="133"/>
    </row>
    <row r="64" spans="1:39" ht="15" customHeight="1">
      <c r="A64" s="30"/>
      <c r="B64" s="147"/>
      <c r="C64" s="29" t="s">
        <v>2</v>
      </c>
      <c r="D64" s="23" t="s">
        <v>6</v>
      </c>
      <c r="E64" s="23" t="s">
        <v>3</v>
      </c>
      <c r="F64" s="23" t="s">
        <v>58</v>
      </c>
      <c r="G64" s="231" t="s">
        <v>0</v>
      </c>
      <c r="H64" s="231" t="s">
        <v>1</v>
      </c>
      <c r="I64" s="231" t="s">
        <v>18</v>
      </c>
      <c r="J64" s="231" t="s">
        <v>5</v>
      </c>
      <c r="K64" s="23" t="s">
        <v>13</v>
      </c>
      <c r="L64" s="231" t="s">
        <v>17</v>
      </c>
      <c r="M64" s="23" t="s">
        <v>9</v>
      </c>
      <c r="N64" s="240" t="s">
        <v>77</v>
      </c>
      <c r="O64" s="24" t="s">
        <v>12</v>
      </c>
      <c r="P64" s="35"/>
      <c r="Q64" s="154"/>
      <c r="R64" s="133"/>
      <c r="S64" s="156"/>
      <c r="T64" s="288"/>
      <c r="U64" s="104"/>
      <c r="V64" s="116"/>
      <c r="W64" s="104"/>
      <c r="X64" s="104"/>
      <c r="Y64" s="104"/>
      <c r="Z64" s="235">
        <f>IF(U64&lt;&gt;"",X64*VLOOKUP(U64,Listas!$H$3:$L$23,3,0),0)</f>
        <v>0</v>
      </c>
      <c r="AA64" s="235">
        <f>IF(U64&lt;&gt;"",Y64*VLOOKUP(U64,Listas!$H$3:$L$23,3,0),0)</f>
        <v>0</v>
      </c>
      <c r="AB64" s="235">
        <f>IF(U64&lt;&gt;"",X64*VLOOKUP(U64,Listas!$H$3:$L$23,4,0),0)</f>
        <v>0</v>
      </c>
      <c r="AC64" s="235">
        <f>IF(U64&lt;&gt;"",Y64*VLOOKUP(U64,Listas!$H$3:$L$23,4,0),0)</f>
        <v>0</v>
      </c>
      <c r="AD64" s="289"/>
      <c r="AE64" s="88" t="str">
        <f>IF(COUNT(X64)=1,VLOOKUP(U64,Listas!$R$6:$U$18,'02-09 T1'!W64+1,FALSE),IF(COUNT('02-09 T1'!Y64)=1,VLOOKUP('02-09 T1'!U64,Listas!$R$22:$U$34,'02-09 T1'!W64+1,FALSE),""))</f>
        <v/>
      </c>
      <c r="AF64" s="294"/>
      <c r="AG64" s="294"/>
      <c r="AH64" s="295"/>
      <c r="AI64" s="161"/>
      <c r="AJ64" s="161"/>
      <c r="AK64" s="161"/>
      <c r="AL64" s="158"/>
      <c r="AM64" s="133"/>
    </row>
    <row r="65" spans="1:39" ht="15" customHeight="1">
      <c r="A65" s="30"/>
      <c r="B65" s="147"/>
      <c r="C65" s="232">
        <v>1</v>
      </c>
      <c r="D65" s="214"/>
      <c r="E65" s="210" t="s">
        <v>31</v>
      </c>
      <c r="F65" s="210" t="s">
        <v>116</v>
      </c>
      <c r="G65" s="124">
        <v>744</v>
      </c>
      <c r="H65" s="125">
        <v>80</v>
      </c>
      <c r="I65" s="126">
        <v>0</v>
      </c>
      <c r="J65" s="234">
        <f t="shared" ref="J65:J72" si="10">+G65+H65+I65</f>
        <v>824</v>
      </c>
      <c r="K65" s="171">
        <f t="shared" ref="K65:K73" si="11">IF(J65&lt;&gt;0,G65/J65,0)</f>
        <v>0.90291262135922334</v>
      </c>
      <c r="L65" s="213" t="s">
        <v>154</v>
      </c>
      <c r="M65" s="213"/>
      <c r="N65" s="223"/>
      <c r="O65" s="210"/>
      <c r="P65" s="35"/>
      <c r="Q65" s="154"/>
      <c r="R65" s="133"/>
      <c r="S65" s="156"/>
      <c r="T65" s="270">
        <v>6</v>
      </c>
      <c r="U65" s="211" t="s">
        <v>34</v>
      </c>
      <c r="V65" s="210" t="s">
        <v>116</v>
      </c>
      <c r="W65" s="211"/>
      <c r="X65" s="211"/>
      <c r="Y65" s="211">
        <v>1</v>
      </c>
      <c r="Z65" s="237">
        <f>IF(U65&lt;&gt;"",X65*VLOOKUP(U65,Listas!$H$3:$L$23,3,0),0)</f>
        <v>0</v>
      </c>
      <c r="AA65" s="237">
        <f>IF(U65&lt;&gt;"",Y65*VLOOKUP(U65,Listas!$H$3:$L$23,3,0),0)</f>
        <v>36</v>
      </c>
      <c r="AB65" s="237">
        <f>IF(U65&lt;&gt;"",X65*VLOOKUP(U65,Listas!$H$3:$L$23,4,0),0)</f>
        <v>0</v>
      </c>
      <c r="AC65" s="237">
        <f>IF(U65&lt;&gt;"",Y65*VLOOKUP(U65,Listas!$H$3:$L$23,4,0),0)</f>
        <v>792</v>
      </c>
      <c r="AD65" s="272">
        <f>+SUM(AB65:AB66)+SUM(AC65:AC66)</f>
        <v>792</v>
      </c>
      <c r="AE65" s="89" t="str">
        <f>IF(COUNT(X65)=1,VLOOKUP(U65,Listas!$R$6:$U$18,'02-09 T1'!W65+1,FALSE),IF(COUNT('02-09 T1'!Y65)=1,VLOOKUP('02-09 T1'!U65,Listas!$R$22:$U$34,'02-09 T1'!W65+1,FALSE),""))</f>
        <v>DIN 26</v>
      </c>
      <c r="AF65" s="274"/>
      <c r="AG65" s="275"/>
      <c r="AH65" s="276"/>
      <c r="AI65" s="161"/>
      <c r="AJ65" s="161"/>
      <c r="AK65" s="161"/>
      <c r="AL65" s="158"/>
      <c r="AM65" s="133"/>
    </row>
    <row r="66" spans="1:39" ht="15" customHeight="1">
      <c r="A66" s="30"/>
      <c r="B66" s="147"/>
      <c r="C66" s="28">
        <v>2</v>
      </c>
      <c r="D66" s="214"/>
      <c r="E66" s="210" t="s">
        <v>31</v>
      </c>
      <c r="F66" s="210" t="s">
        <v>116</v>
      </c>
      <c r="G66" s="124">
        <v>840</v>
      </c>
      <c r="H66" s="125">
        <v>80</v>
      </c>
      <c r="I66" s="126">
        <v>0</v>
      </c>
      <c r="J66" s="26">
        <f t="shared" si="10"/>
        <v>920</v>
      </c>
      <c r="K66" s="172">
        <f t="shared" si="11"/>
        <v>0.91304347826086951</v>
      </c>
      <c r="L66" s="213" t="s">
        <v>154</v>
      </c>
      <c r="M66" s="213"/>
      <c r="N66" s="223"/>
      <c r="O66" s="210"/>
      <c r="P66" s="35"/>
      <c r="Q66" s="154"/>
      <c r="R66" s="133"/>
      <c r="S66" s="156"/>
      <c r="T66" s="288"/>
      <c r="U66" s="104"/>
      <c r="V66" s="215"/>
      <c r="W66" s="104"/>
      <c r="X66" s="104"/>
      <c r="Y66" s="104"/>
      <c r="Z66" s="235">
        <f>IF(U66&lt;&gt;"",X66*VLOOKUP(U66,Listas!$H$3:$L$23,3,0),0)</f>
        <v>0</v>
      </c>
      <c r="AA66" s="235">
        <f>IF(U66&lt;&gt;"",Y66*VLOOKUP(U66,Listas!$H$3:$L$23,3,0),0)</f>
        <v>0</v>
      </c>
      <c r="AB66" s="235">
        <f>IF(U66&lt;&gt;"",X66*VLOOKUP(U66,Listas!$H$3:$L$23,4,0),0)</f>
        <v>0</v>
      </c>
      <c r="AC66" s="235">
        <f>IF(U66&lt;&gt;"",Y66*VLOOKUP(U66,Listas!$H$3:$L$23,4,0),0)</f>
        <v>0</v>
      </c>
      <c r="AD66" s="289"/>
      <c r="AE66" s="90" t="str">
        <f>IF(COUNT(X66)=1,VLOOKUP(U66,Listas!$R$6:$U$18,'02-09 T1'!W66+1,FALSE),IF(COUNT('02-09 T1'!Y66)=1,VLOOKUP('02-09 T1'!U66,Listas!$R$22:$U$34,'02-09 T1'!W66+1,FALSE),""))</f>
        <v/>
      </c>
      <c r="AF66" s="290"/>
      <c r="AG66" s="291"/>
      <c r="AH66" s="292"/>
      <c r="AI66" s="161"/>
      <c r="AJ66" s="161"/>
      <c r="AK66" s="161"/>
      <c r="AL66" s="158"/>
      <c r="AM66" s="133"/>
    </row>
    <row r="67" spans="1:39" ht="15" customHeight="1">
      <c r="A67" s="30"/>
      <c r="B67" s="147"/>
      <c r="C67" s="28">
        <v>3</v>
      </c>
      <c r="D67" s="214"/>
      <c r="E67" s="210" t="s">
        <v>31</v>
      </c>
      <c r="F67" s="210" t="s">
        <v>116</v>
      </c>
      <c r="G67" s="124">
        <v>720</v>
      </c>
      <c r="H67" s="125">
        <v>60</v>
      </c>
      <c r="I67" s="126">
        <v>1</v>
      </c>
      <c r="J67" s="26">
        <f t="shared" si="10"/>
        <v>781</v>
      </c>
      <c r="K67" s="172">
        <f t="shared" si="11"/>
        <v>0.92189500640204869</v>
      </c>
      <c r="L67" s="213" t="s">
        <v>154</v>
      </c>
      <c r="M67" s="213"/>
      <c r="N67" s="223"/>
      <c r="O67" s="210"/>
      <c r="P67" s="35"/>
      <c r="Q67" s="154"/>
      <c r="R67" s="133"/>
      <c r="S67" s="156"/>
      <c r="T67" s="293">
        <v>7</v>
      </c>
      <c r="U67" s="211"/>
      <c r="V67" s="210"/>
      <c r="W67" s="211"/>
      <c r="X67" s="211"/>
      <c r="Y67" s="211"/>
      <c r="Z67" s="234">
        <f>IF(U67&lt;&gt;"",X67*VLOOKUP(U67,Listas!$H$3:$L$23,3,0),0)</f>
        <v>0</v>
      </c>
      <c r="AA67" s="234">
        <f>IF(U67&lt;&gt;"",Y67*VLOOKUP(U67,Listas!$H$3:$L$23,3,0),0)</f>
        <v>0</v>
      </c>
      <c r="AB67" s="234">
        <f>IF(U67&lt;&gt;"",X67*VLOOKUP(U67,Listas!$H$3:$L$23,4,0),0)</f>
        <v>0</v>
      </c>
      <c r="AC67" s="234">
        <f>IF(U67&lt;&gt;"",Y67*VLOOKUP(U67,Listas!$H$3:$L$23,4,0),0)</f>
        <v>0</v>
      </c>
      <c r="AD67" s="272">
        <f>+SUM(AB67:AB68)+SUM(AC67:AC68)</f>
        <v>0</v>
      </c>
      <c r="AE67" s="87" t="str">
        <f>IF(COUNT(X67)=1,VLOOKUP(U67,Listas!$R$6:$U$18,'02-09 T1'!W67+1,FALSE),IF(COUNT('02-09 T1'!Y67)=1,VLOOKUP('02-09 T1'!U67,Listas!$R$22:$U$34,'02-09 T1'!W67+1,FALSE),""))</f>
        <v/>
      </c>
      <c r="AF67" s="274"/>
      <c r="AG67" s="275"/>
      <c r="AH67" s="276"/>
      <c r="AI67" s="161"/>
      <c r="AJ67" s="161"/>
      <c r="AK67" s="161"/>
      <c r="AL67" s="158"/>
      <c r="AM67" s="133"/>
    </row>
    <row r="68" spans="1:39" ht="15" customHeight="1">
      <c r="A68" s="30"/>
      <c r="B68" s="147"/>
      <c r="C68" s="28">
        <v>4</v>
      </c>
      <c r="D68" s="214"/>
      <c r="E68" s="210" t="s">
        <v>31</v>
      </c>
      <c r="F68" s="210" t="s">
        <v>116</v>
      </c>
      <c r="G68" s="124">
        <v>648</v>
      </c>
      <c r="H68" s="125">
        <v>120</v>
      </c>
      <c r="I68" s="126">
        <v>2</v>
      </c>
      <c r="J68" s="26">
        <f t="shared" si="10"/>
        <v>770</v>
      </c>
      <c r="K68" s="172">
        <f t="shared" si="11"/>
        <v>0.84155844155844151</v>
      </c>
      <c r="L68" s="213" t="s">
        <v>154</v>
      </c>
      <c r="M68" s="213"/>
      <c r="N68" s="223"/>
      <c r="O68" s="210"/>
      <c r="P68" s="35"/>
      <c r="Q68" s="154"/>
      <c r="R68" s="133"/>
      <c r="S68" s="156"/>
      <c r="T68" s="288"/>
      <c r="U68" s="104"/>
      <c r="V68" s="103"/>
      <c r="W68" s="104"/>
      <c r="X68" s="104"/>
      <c r="Y68" s="104"/>
      <c r="Z68" s="235">
        <f>IF(U68&lt;&gt;"",X68*VLOOKUP(U68,Listas!$H$3:$L$23,3,0),0)</f>
        <v>0</v>
      </c>
      <c r="AA68" s="235">
        <f>IF(U68&lt;&gt;"",Y68*VLOOKUP(U68,Listas!$H$3:$L$23,3,0),0)</f>
        <v>0</v>
      </c>
      <c r="AB68" s="235">
        <f>IF(U68&lt;&gt;"",X68*VLOOKUP(U68,Listas!$H$3:$L$23,4,0),0)</f>
        <v>0</v>
      </c>
      <c r="AC68" s="235">
        <f>IF(U68&lt;&gt;"",Y68*VLOOKUP(U68,Listas!$H$3:$L$23,4,0),0)</f>
        <v>0</v>
      </c>
      <c r="AD68" s="289"/>
      <c r="AE68" s="88" t="str">
        <f>IF(COUNT(X68)=1,VLOOKUP(U68,Listas!$R$6:$U$18,'02-09 T1'!W68+1,FALSE),IF(COUNT('02-09 T1'!Y68)=1,VLOOKUP('02-09 T1'!U68,Listas!$R$22:$U$34,'02-09 T1'!W68+1,FALSE),""))</f>
        <v/>
      </c>
      <c r="AF68" s="290"/>
      <c r="AG68" s="291"/>
      <c r="AH68" s="292"/>
      <c r="AI68" s="161"/>
      <c r="AJ68" s="161"/>
      <c r="AK68" s="161"/>
      <c r="AL68" s="158"/>
      <c r="AM68" s="133"/>
    </row>
    <row r="69" spans="1:39" ht="15" customHeight="1">
      <c r="A69" s="30"/>
      <c r="B69" s="147"/>
      <c r="C69" s="28">
        <v>5</v>
      </c>
      <c r="D69" s="214"/>
      <c r="E69" s="210" t="s">
        <v>31</v>
      </c>
      <c r="F69" s="210" t="s">
        <v>116</v>
      </c>
      <c r="G69" s="124">
        <v>792</v>
      </c>
      <c r="H69" s="125">
        <v>40</v>
      </c>
      <c r="I69" s="126">
        <v>2</v>
      </c>
      <c r="J69" s="26">
        <f t="shared" si="10"/>
        <v>834</v>
      </c>
      <c r="K69" s="172">
        <f t="shared" si="11"/>
        <v>0.94964028776978415</v>
      </c>
      <c r="L69" s="213" t="s">
        <v>154</v>
      </c>
      <c r="M69" s="213"/>
      <c r="N69" s="223"/>
      <c r="O69" s="210"/>
      <c r="P69" s="35"/>
      <c r="Q69" s="154"/>
      <c r="R69" s="133"/>
      <c r="S69" s="156"/>
      <c r="T69" s="270">
        <v>8</v>
      </c>
      <c r="U69" s="211"/>
      <c r="V69" s="210"/>
      <c r="W69" s="211"/>
      <c r="X69" s="211"/>
      <c r="Y69" s="211"/>
      <c r="Z69" s="234">
        <f>IF(U69&lt;&gt;"",X69*VLOOKUP(U69,Listas!$H$3:$L$23,3,0),0)</f>
        <v>0</v>
      </c>
      <c r="AA69" s="234">
        <f>IF(U69&lt;&gt;"",Y69*VLOOKUP(U69,Listas!$H$3:$L$23,3,0),0)</f>
        <v>0</v>
      </c>
      <c r="AB69" s="234">
        <f>IF(U69&lt;&gt;"",X69*VLOOKUP(U69,Listas!$H$3:$L$23,4,0),0)</f>
        <v>0</v>
      </c>
      <c r="AC69" s="234">
        <f>IF(U69&lt;&gt;"",Y69*VLOOKUP(U69,Listas!$H$3:$L$23,4,0),0)</f>
        <v>0</v>
      </c>
      <c r="AD69" s="272">
        <f>+SUM(AB69:AB70)+SUM(AC69:AC70)</f>
        <v>0</v>
      </c>
      <c r="AE69" s="87" t="str">
        <f>IF(COUNT(X69)=1,VLOOKUP(U69,Listas!$R$6:$U$18,'02-09 T1'!W69+1,FALSE),IF(COUNT('02-09 T1'!Y69)=1,VLOOKUP('02-09 T1'!U69,Listas!$R$22:$U$34,'02-09 T1'!W69+1,FALSE),""))</f>
        <v/>
      </c>
      <c r="AF69" s="274"/>
      <c r="AG69" s="275"/>
      <c r="AH69" s="276"/>
      <c r="AI69" s="161"/>
      <c r="AJ69" s="161"/>
      <c r="AK69" s="161"/>
      <c r="AL69" s="158"/>
      <c r="AM69" s="133"/>
    </row>
    <row r="70" spans="1:39" ht="15" customHeight="1" thickBot="1">
      <c r="A70" s="30"/>
      <c r="B70" s="147"/>
      <c r="C70" s="28">
        <v>6</v>
      </c>
      <c r="D70" s="214"/>
      <c r="E70" s="210" t="s">
        <v>31</v>
      </c>
      <c r="F70" s="210" t="s">
        <v>116</v>
      </c>
      <c r="G70" s="228">
        <v>840</v>
      </c>
      <c r="H70" s="125">
        <v>80</v>
      </c>
      <c r="I70" s="126">
        <v>0</v>
      </c>
      <c r="J70" s="26">
        <f t="shared" si="10"/>
        <v>920</v>
      </c>
      <c r="K70" s="172">
        <f t="shared" si="11"/>
        <v>0.91304347826086951</v>
      </c>
      <c r="L70" s="213" t="s">
        <v>154</v>
      </c>
      <c r="M70" s="213"/>
      <c r="N70" s="223"/>
      <c r="O70" s="210"/>
      <c r="P70" s="35"/>
      <c r="Q70" s="154"/>
      <c r="R70" s="133"/>
      <c r="S70" s="156"/>
      <c r="T70" s="271"/>
      <c r="U70" s="104"/>
      <c r="V70" s="103"/>
      <c r="W70" s="104"/>
      <c r="X70" s="104"/>
      <c r="Y70" s="117"/>
      <c r="Z70" s="238">
        <f>IF(U70&lt;&gt;"",X70*VLOOKUP(U70,Listas!$H$3:$L$23,3,0),0)</f>
        <v>0</v>
      </c>
      <c r="AA70" s="238">
        <f>IF(U70&lt;&gt;"",Y70*VLOOKUP(U70,Listas!$H$3:$L$23,3,0),0)</f>
        <v>0</v>
      </c>
      <c r="AB70" s="238">
        <f>IF(U70&lt;&gt;"",X70*VLOOKUP(U70,Listas!$H$3:$L$23,4,0),0)</f>
        <v>0</v>
      </c>
      <c r="AC70" s="238">
        <f>IF(U70&lt;&gt;"",Y70*VLOOKUP(U70,Listas!$H$3:$L$23,4,0),0)</f>
        <v>0</v>
      </c>
      <c r="AD70" s="273"/>
      <c r="AE70" s="90" t="str">
        <f>IF(COUNT(X70)=1,VLOOKUP(U70,Listas!$R$6:$U$18,'02-09 T1'!W70+1,FALSE),IF(COUNT('02-09 T1'!Y70)=1,VLOOKUP('02-09 T1'!U70,Listas!$R$22:$U$34,'02-09 T1'!W70+1,FALSE),""))</f>
        <v/>
      </c>
      <c r="AF70" s="277"/>
      <c r="AG70" s="278"/>
      <c r="AH70" s="279"/>
      <c r="AI70" s="161"/>
      <c r="AJ70" s="161"/>
      <c r="AK70" s="161"/>
      <c r="AL70" s="158"/>
      <c r="AM70" s="133"/>
    </row>
    <row r="71" spans="1:39" ht="15" customHeight="1" thickBot="1">
      <c r="A71" s="30"/>
      <c r="B71" s="147"/>
      <c r="C71" s="28">
        <v>7</v>
      </c>
      <c r="D71" s="214"/>
      <c r="E71" s="210" t="s">
        <v>31</v>
      </c>
      <c r="F71" s="210" t="s">
        <v>116</v>
      </c>
      <c r="G71" s="124">
        <v>864</v>
      </c>
      <c r="H71" s="125">
        <v>40</v>
      </c>
      <c r="I71" s="126">
        <v>4</v>
      </c>
      <c r="J71" s="26">
        <f t="shared" si="10"/>
        <v>908</v>
      </c>
      <c r="K71" s="172">
        <f t="shared" si="11"/>
        <v>0.95154185022026427</v>
      </c>
      <c r="L71" s="213" t="s">
        <v>154</v>
      </c>
      <c r="M71" s="213"/>
      <c r="N71" s="223"/>
      <c r="O71" s="210"/>
      <c r="P71" s="35"/>
      <c r="Q71" s="154"/>
      <c r="R71" s="133"/>
      <c r="S71" s="156"/>
      <c r="T71" s="120"/>
      <c r="U71" s="239"/>
      <c r="V71" s="239"/>
      <c r="W71" s="239"/>
      <c r="X71" s="111">
        <f t="shared" ref="X71:AC71" si="12">+SUM(X55:X70)</f>
        <v>21</v>
      </c>
      <c r="Y71" s="111">
        <f t="shared" si="12"/>
        <v>1</v>
      </c>
      <c r="Z71" s="111">
        <f t="shared" si="12"/>
        <v>742</v>
      </c>
      <c r="AA71" s="111">
        <f t="shared" si="12"/>
        <v>36</v>
      </c>
      <c r="AB71" s="111">
        <f t="shared" si="12"/>
        <v>18394</v>
      </c>
      <c r="AC71" s="111">
        <f t="shared" si="12"/>
        <v>792</v>
      </c>
      <c r="AD71" s="121">
        <f>+SUM(AD55:AD70)</f>
        <v>19186</v>
      </c>
      <c r="AE71" s="121">
        <f>+SUM(AE55:AE70)</f>
        <v>0</v>
      </c>
      <c r="AF71" s="280"/>
      <c r="AG71" s="280"/>
      <c r="AH71" s="281"/>
      <c r="AI71" s="161"/>
      <c r="AJ71" s="161"/>
      <c r="AK71" s="161"/>
      <c r="AL71" s="158"/>
      <c r="AM71" s="133"/>
    </row>
    <row r="72" spans="1:39" ht="15" customHeight="1" thickBot="1">
      <c r="A72" s="30"/>
      <c r="B72" s="147"/>
      <c r="C72" s="236">
        <v>8</v>
      </c>
      <c r="D72" s="214"/>
      <c r="E72" s="210" t="s">
        <v>31</v>
      </c>
      <c r="F72" s="210" t="s">
        <v>116</v>
      </c>
      <c r="G72" s="218">
        <v>816</v>
      </c>
      <c r="H72" s="220">
        <v>20</v>
      </c>
      <c r="I72" s="219">
        <v>0</v>
      </c>
      <c r="J72" s="238">
        <f t="shared" si="10"/>
        <v>836</v>
      </c>
      <c r="K72" s="173">
        <f t="shared" si="11"/>
        <v>0.97607655502392343</v>
      </c>
      <c r="L72" s="213"/>
      <c r="M72" s="213"/>
      <c r="N72" s="223"/>
      <c r="O72" s="210"/>
      <c r="P72" s="35"/>
      <c r="Q72" s="154"/>
      <c r="R72" s="133"/>
      <c r="S72" s="156"/>
      <c r="T72" s="161"/>
      <c r="U72" s="161"/>
      <c r="V72" s="161"/>
      <c r="W72" s="161"/>
      <c r="X72" s="157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161"/>
      <c r="AJ72" s="161"/>
      <c r="AK72" s="161"/>
      <c r="AL72" s="158"/>
      <c r="AM72" s="133"/>
    </row>
    <row r="73" spans="1:39" ht="15" customHeight="1" thickBot="1">
      <c r="A73" s="30"/>
      <c r="B73" s="147"/>
      <c r="C73" s="174" t="s">
        <v>7</v>
      </c>
      <c r="D73" s="110"/>
      <c r="E73" s="110"/>
      <c r="F73" s="110"/>
      <c r="G73" s="111">
        <f>SUM(G65:G72)</f>
        <v>6264</v>
      </c>
      <c r="H73" s="111">
        <f>SUM(H65:H72)</f>
        <v>520</v>
      </c>
      <c r="I73" s="111">
        <f>SUM(I65:I72)</f>
        <v>9</v>
      </c>
      <c r="J73" s="111">
        <f>SUM(J65:J72)</f>
        <v>6793</v>
      </c>
      <c r="K73" s="175">
        <f t="shared" si="11"/>
        <v>0.92212571765052265</v>
      </c>
      <c r="L73" s="110"/>
      <c r="M73" s="112">
        <f>SUM(M65:M72)</f>
        <v>0</v>
      </c>
      <c r="N73" s="224"/>
      <c r="O73" s="176"/>
      <c r="P73" s="35"/>
      <c r="Q73" s="154"/>
      <c r="R73" s="133"/>
      <c r="S73" s="156"/>
      <c r="T73" s="282" t="s">
        <v>80</v>
      </c>
      <c r="U73" s="283"/>
      <c r="V73" s="284"/>
      <c r="W73" s="157"/>
      <c r="X73" s="161"/>
      <c r="Y73" s="157"/>
      <c r="Z73" s="161"/>
      <c r="AA73" s="161"/>
      <c r="AB73" s="161"/>
      <c r="AC73" s="282" t="s">
        <v>98</v>
      </c>
      <c r="AD73" s="283"/>
      <c r="AE73" s="284"/>
      <c r="AF73" s="157"/>
      <c r="AG73" s="161"/>
      <c r="AH73" s="157"/>
      <c r="AI73" s="161"/>
      <c r="AJ73" s="161"/>
      <c r="AK73" s="161"/>
      <c r="AL73" s="158"/>
      <c r="AM73" s="133"/>
    </row>
    <row r="74" spans="1:39" ht="15" customHeight="1" thickBot="1">
      <c r="A74" s="30"/>
      <c r="B74" s="147"/>
      <c r="C74" s="41"/>
      <c r="D74" s="41"/>
      <c r="E74" s="41"/>
      <c r="F74" s="41"/>
      <c r="G74" s="42"/>
      <c r="H74" s="42"/>
      <c r="I74" s="42"/>
      <c r="J74" s="42"/>
      <c r="K74" s="177"/>
      <c r="L74" s="41"/>
      <c r="M74" s="41"/>
      <c r="N74" s="41"/>
      <c r="O74" s="35"/>
      <c r="P74" s="35"/>
      <c r="Q74" s="154"/>
      <c r="R74" s="133"/>
      <c r="S74" s="156"/>
      <c r="T74" s="285"/>
      <c r="U74" s="286"/>
      <c r="V74" s="287"/>
      <c r="W74" s="157"/>
      <c r="X74" s="161"/>
      <c r="Y74" s="157"/>
      <c r="Z74" s="161"/>
      <c r="AA74" s="161"/>
      <c r="AB74" s="161"/>
      <c r="AC74" s="285"/>
      <c r="AD74" s="286"/>
      <c r="AE74" s="287"/>
      <c r="AF74" s="157"/>
      <c r="AG74" s="161"/>
      <c r="AH74" s="157"/>
      <c r="AI74" s="161"/>
      <c r="AJ74" s="161"/>
      <c r="AK74" s="161"/>
      <c r="AL74" s="158"/>
      <c r="AM74" s="133"/>
    </row>
    <row r="75" spans="1:39" ht="15" customHeight="1">
      <c r="A75" s="30"/>
      <c r="B75" s="147"/>
      <c r="C75" s="253">
        <v>6</v>
      </c>
      <c r="D75" s="255">
        <f>K86</f>
        <v>0.94775076837105332</v>
      </c>
      <c r="E75" s="35"/>
      <c r="F75" s="35"/>
      <c r="G75" s="35"/>
      <c r="H75" s="35"/>
      <c r="I75" s="35"/>
      <c r="J75" s="35"/>
      <c r="K75" s="35"/>
      <c r="L75" s="36"/>
      <c r="M75" s="35"/>
      <c r="N75" s="35"/>
      <c r="O75" s="35"/>
      <c r="P75" s="35"/>
      <c r="Q75" s="154"/>
      <c r="R75" s="133"/>
      <c r="S75" s="156"/>
      <c r="T75" s="47" t="s">
        <v>57</v>
      </c>
      <c r="U75" s="23" t="s">
        <v>81</v>
      </c>
      <c r="V75" s="23" t="s">
        <v>4</v>
      </c>
      <c r="W75" s="23" t="s">
        <v>82</v>
      </c>
      <c r="X75" s="240" t="s">
        <v>26</v>
      </c>
      <c r="Y75" s="267" t="s">
        <v>78</v>
      </c>
      <c r="Z75" s="268"/>
      <c r="AA75" s="269"/>
      <c r="AB75" s="161"/>
      <c r="AC75" s="106" t="s">
        <v>57</v>
      </c>
      <c r="AD75" s="23" t="s">
        <v>81</v>
      </c>
      <c r="AE75" s="23" t="s">
        <v>4</v>
      </c>
      <c r="AF75" s="23" t="s">
        <v>82</v>
      </c>
      <c r="AG75" s="240" t="s">
        <v>26</v>
      </c>
      <c r="AH75" s="267" t="s">
        <v>78</v>
      </c>
      <c r="AI75" s="268"/>
      <c r="AJ75" s="267" t="s">
        <v>77</v>
      </c>
      <c r="AK75" s="269"/>
      <c r="AL75" s="158"/>
      <c r="AM75" s="133"/>
    </row>
    <row r="76" spans="1:39" ht="15" customHeight="1" thickBot="1">
      <c r="A76" s="30"/>
      <c r="B76" s="147"/>
      <c r="C76" s="254"/>
      <c r="D76" s="256"/>
      <c r="E76" s="131"/>
      <c r="F76" s="131"/>
      <c r="G76" s="131"/>
      <c r="H76" s="131"/>
      <c r="I76" s="131"/>
      <c r="J76" s="131"/>
      <c r="K76" s="131"/>
      <c r="L76" s="36"/>
      <c r="M76" s="35"/>
      <c r="N76" s="35"/>
      <c r="O76" s="35"/>
      <c r="P76" s="35"/>
      <c r="Q76" s="154"/>
      <c r="R76" s="133"/>
      <c r="S76" s="156"/>
      <c r="T76" s="107">
        <v>1</v>
      </c>
      <c r="U76" s="101"/>
      <c r="V76" s="100"/>
      <c r="W76" s="101"/>
      <c r="X76" s="101"/>
      <c r="Y76" s="262"/>
      <c r="Z76" s="262"/>
      <c r="AA76" s="263"/>
      <c r="AB76" s="157"/>
      <c r="AC76" s="107">
        <v>1</v>
      </c>
      <c r="AD76" s="211"/>
      <c r="AE76" s="211"/>
      <c r="AF76" s="210"/>
      <c r="AG76" s="210"/>
      <c r="AH76" s="264"/>
      <c r="AI76" s="265"/>
      <c r="AJ76" s="264"/>
      <c r="AK76" s="266"/>
      <c r="AL76" s="158"/>
      <c r="AM76" s="133"/>
    </row>
    <row r="77" spans="1:39" ht="15" customHeight="1">
      <c r="A77" s="30"/>
      <c r="B77" s="147"/>
      <c r="C77" s="29" t="s">
        <v>2</v>
      </c>
      <c r="D77" s="23" t="s">
        <v>6</v>
      </c>
      <c r="E77" s="23" t="s">
        <v>3</v>
      </c>
      <c r="F77" s="23" t="s">
        <v>58</v>
      </c>
      <c r="G77" s="231" t="s">
        <v>0</v>
      </c>
      <c r="H77" s="231" t="s">
        <v>1</v>
      </c>
      <c r="I77" s="231" t="s">
        <v>18</v>
      </c>
      <c r="J77" s="231" t="s">
        <v>5</v>
      </c>
      <c r="K77" s="23" t="s">
        <v>13</v>
      </c>
      <c r="L77" s="231" t="s">
        <v>17</v>
      </c>
      <c r="M77" s="23" t="s">
        <v>9</v>
      </c>
      <c r="N77" s="240" t="s">
        <v>77</v>
      </c>
      <c r="O77" s="24" t="s">
        <v>12</v>
      </c>
      <c r="P77" s="35"/>
      <c r="Q77" s="154"/>
      <c r="R77" s="133"/>
      <c r="S77" s="156"/>
      <c r="T77" s="107">
        <v>2</v>
      </c>
      <c r="U77" s="101"/>
      <c r="V77" s="100"/>
      <c r="W77" s="101"/>
      <c r="X77" s="101"/>
      <c r="Y77" s="262"/>
      <c r="Z77" s="262"/>
      <c r="AA77" s="263"/>
      <c r="AB77" s="157"/>
      <c r="AC77" s="107">
        <v>2</v>
      </c>
      <c r="AD77" s="211"/>
      <c r="AE77" s="211"/>
      <c r="AF77" s="211"/>
      <c r="AG77" s="211"/>
      <c r="AH77" s="264"/>
      <c r="AI77" s="265"/>
      <c r="AJ77" s="264"/>
      <c r="AK77" s="266"/>
      <c r="AL77" s="158"/>
      <c r="AM77" s="133"/>
    </row>
    <row r="78" spans="1:39" ht="15" customHeight="1">
      <c r="A78" s="30"/>
      <c r="B78" s="147"/>
      <c r="C78" s="232">
        <v>1</v>
      </c>
      <c r="D78" s="210"/>
      <c r="E78" s="210" t="s">
        <v>29</v>
      </c>
      <c r="F78" s="210" t="s">
        <v>151</v>
      </c>
      <c r="G78" s="124">
        <v>896</v>
      </c>
      <c r="H78" s="125">
        <v>40</v>
      </c>
      <c r="I78" s="126">
        <v>8</v>
      </c>
      <c r="J78" s="234">
        <f t="shared" ref="J78:J85" si="13">SUM(G78:I78)</f>
        <v>944</v>
      </c>
      <c r="K78" s="171">
        <f t="shared" ref="K78:K86" si="14">IF(J78&lt;&gt;0,G78/J78,0)</f>
        <v>0.94915254237288138</v>
      </c>
      <c r="L78" s="212" t="s">
        <v>168</v>
      </c>
      <c r="M78" s="213"/>
      <c r="N78" s="223"/>
      <c r="O78" s="210"/>
      <c r="P78" s="35"/>
      <c r="Q78" s="154"/>
      <c r="R78" s="133"/>
      <c r="S78" s="156"/>
      <c r="T78" s="107">
        <v>3</v>
      </c>
      <c r="U78" s="101"/>
      <c r="V78" s="100"/>
      <c r="W78" s="101"/>
      <c r="X78" s="101"/>
      <c r="Y78" s="262"/>
      <c r="Z78" s="262"/>
      <c r="AA78" s="263"/>
      <c r="AB78" s="157"/>
      <c r="AC78" s="107">
        <v>3</v>
      </c>
      <c r="AD78" s="211"/>
      <c r="AE78" s="210"/>
      <c r="AF78" s="211"/>
      <c r="AG78" s="211"/>
      <c r="AH78" s="264"/>
      <c r="AI78" s="265"/>
      <c r="AJ78" s="264"/>
      <c r="AK78" s="266"/>
      <c r="AL78" s="158"/>
      <c r="AM78" s="133"/>
    </row>
    <row r="79" spans="1:39" ht="15" customHeight="1">
      <c r="A79" s="30"/>
      <c r="B79" s="147"/>
      <c r="C79" s="28">
        <v>2</v>
      </c>
      <c r="D79" s="210"/>
      <c r="E79" s="210" t="s">
        <v>29</v>
      </c>
      <c r="F79" s="210" t="s">
        <v>151</v>
      </c>
      <c r="G79" s="124">
        <v>1152</v>
      </c>
      <c r="H79" s="125">
        <v>70</v>
      </c>
      <c r="I79" s="126">
        <v>4</v>
      </c>
      <c r="J79" s="26">
        <f t="shared" si="13"/>
        <v>1226</v>
      </c>
      <c r="K79" s="172">
        <f t="shared" si="14"/>
        <v>0.93964110929853184</v>
      </c>
      <c r="L79" s="212" t="s">
        <v>168</v>
      </c>
      <c r="M79" s="207"/>
      <c r="N79" s="223"/>
      <c r="O79" s="210"/>
      <c r="P79" s="35"/>
      <c r="Q79" s="154"/>
      <c r="R79" s="133"/>
      <c r="S79" s="156"/>
      <c r="T79" s="107">
        <v>4</v>
      </c>
      <c r="U79" s="101"/>
      <c r="V79" s="100"/>
      <c r="W79" s="101"/>
      <c r="X79" s="101"/>
      <c r="Y79" s="262"/>
      <c r="Z79" s="262"/>
      <c r="AA79" s="263"/>
      <c r="AB79" s="157"/>
      <c r="AC79" s="107">
        <v>4</v>
      </c>
      <c r="AD79" s="101"/>
      <c r="AE79" s="210"/>
      <c r="AF79" s="211"/>
      <c r="AG79" s="211"/>
      <c r="AH79" s="264"/>
      <c r="AI79" s="265"/>
      <c r="AJ79" s="264"/>
      <c r="AK79" s="266"/>
      <c r="AL79" s="158"/>
      <c r="AM79" s="133"/>
    </row>
    <row r="80" spans="1:39" ht="15" customHeight="1">
      <c r="A80" s="30"/>
      <c r="B80" s="147"/>
      <c r="C80" s="28">
        <v>3</v>
      </c>
      <c r="D80" s="210"/>
      <c r="E80" s="210" t="s">
        <v>29</v>
      </c>
      <c r="F80" s="210" t="s">
        <v>151</v>
      </c>
      <c r="G80" s="124">
        <v>960</v>
      </c>
      <c r="H80" s="125">
        <v>40</v>
      </c>
      <c r="I80" s="126">
        <v>26</v>
      </c>
      <c r="J80" s="26">
        <f t="shared" si="13"/>
        <v>1026</v>
      </c>
      <c r="K80" s="172">
        <f t="shared" si="14"/>
        <v>0.93567251461988299</v>
      </c>
      <c r="L80" s="212" t="s">
        <v>168</v>
      </c>
      <c r="M80" s="213"/>
      <c r="N80" s="223"/>
      <c r="O80" s="210"/>
      <c r="P80" s="35"/>
      <c r="Q80" s="154"/>
      <c r="R80" s="133"/>
      <c r="S80" s="156"/>
      <c r="T80" s="107">
        <v>5</v>
      </c>
      <c r="U80" s="101"/>
      <c r="V80" s="100"/>
      <c r="W80" s="101"/>
      <c r="X80" s="101"/>
      <c r="Y80" s="262"/>
      <c r="Z80" s="262"/>
      <c r="AA80" s="263"/>
      <c r="AB80" s="157"/>
      <c r="AC80" s="107">
        <v>5</v>
      </c>
      <c r="AD80" s="101"/>
      <c r="AE80" s="210"/>
      <c r="AF80" s="211"/>
      <c r="AG80" s="50"/>
      <c r="AH80" s="264"/>
      <c r="AI80" s="265"/>
      <c r="AJ80" s="264"/>
      <c r="AK80" s="266"/>
      <c r="AL80" s="158"/>
      <c r="AM80" s="133"/>
    </row>
    <row r="81" spans="1:39" ht="15" customHeight="1">
      <c r="A81" s="30"/>
      <c r="B81" s="147"/>
      <c r="C81" s="28">
        <v>4</v>
      </c>
      <c r="D81" s="210"/>
      <c r="E81" s="210" t="s">
        <v>29</v>
      </c>
      <c r="F81" s="210" t="s">
        <v>151</v>
      </c>
      <c r="G81" s="124">
        <v>736</v>
      </c>
      <c r="H81" s="125">
        <v>20</v>
      </c>
      <c r="I81" s="126">
        <v>41</v>
      </c>
      <c r="J81" s="26">
        <f t="shared" si="13"/>
        <v>797</v>
      </c>
      <c r="K81" s="172">
        <f t="shared" si="14"/>
        <v>0.92346298619824341</v>
      </c>
      <c r="L81" s="212" t="s">
        <v>168</v>
      </c>
      <c r="M81" s="213"/>
      <c r="N81" s="223"/>
      <c r="O81" s="210"/>
      <c r="P81" s="35"/>
      <c r="Q81" s="154"/>
      <c r="R81" s="133"/>
      <c r="S81" s="156"/>
      <c r="T81" s="107">
        <v>6</v>
      </c>
      <c r="U81" s="101"/>
      <c r="V81" s="100"/>
      <c r="W81" s="101"/>
      <c r="X81" s="101"/>
      <c r="Y81" s="262"/>
      <c r="Z81" s="262"/>
      <c r="AA81" s="263"/>
      <c r="AB81" s="157"/>
      <c r="AC81" s="107">
        <v>6</v>
      </c>
      <c r="AD81" s="101"/>
      <c r="AE81" s="100"/>
      <c r="AF81" s="101"/>
      <c r="AG81" s="101"/>
      <c r="AH81" s="262"/>
      <c r="AI81" s="262"/>
      <c r="AJ81" s="262"/>
      <c r="AK81" s="263"/>
      <c r="AL81" s="158"/>
      <c r="AM81" s="133"/>
    </row>
    <row r="82" spans="1:39" ht="15" customHeight="1">
      <c r="A82" s="30"/>
      <c r="B82" s="147"/>
      <c r="C82" s="28">
        <v>5</v>
      </c>
      <c r="D82" s="210"/>
      <c r="E82" s="210" t="s">
        <v>29</v>
      </c>
      <c r="F82" s="210" t="s">
        <v>151</v>
      </c>
      <c r="G82" s="124">
        <v>736</v>
      </c>
      <c r="H82" s="125">
        <v>20</v>
      </c>
      <c r="I82" s="126">
        <v>12</v>
      </c>
      <c r="J82" s="26">
        <f t="shared" si="13"/>
        <v>768</v>
      </c>
      <c r="K82" s="172">
        <f t="shared" si="14"/>
        <v>0.95833333333333337</v>
      </c>
      <c r="L82" s="212" t="s">
        <v>168</v>
      </c>
      <c r="M82" s="213"/>
      <c r="N82" s="223"/>
      <c r="O82" s="210"/>
      <c r="P82" s="35"/>
      <c r="Q82" s="154"/>
      <c r="R82" s="133"/>
      <c r="S82" s="156"/>
      <c r="T82" s="107">
        <v>7</v>
      </c>
      <c r="U82" s="101"/>
      <c r="V82" s="100"/>
      <c r="W82" s="101"/>
      <c r="X82" s="101"/>
      <c r="Y82" s="262"/>
      <c r="Z82" s="262"/>
      <c r="AA82" s="263"/>
      <c r="AB82" s="157"/>
      <c r="AC82" s="107">
        <v>7</v>
      </c>
      <c r="AD82" s="101"/>
      <c r="AE82" s="100"/>
      <c r="AF82" s="101"/>
      <c r="AG82" s="101"/>
      <c r="AH82" s="262"/>
      <c r="AI82" s="262"/>
      <c r="AJ82" s="262"/>
      <c r="AK82" s="263"/>
      <c r="AL82" s="158"/>
      <c r="AM82" s="133"/>
    </row>
    <row r="83" spans="1:39" ht="15" customHeight="1" thickBot="1">
      <c r="A83" s="30"/>
      <c r="B83" s="147"/>
      <c r="C83" s="28">
        <v>6</v>
      </c>
      <c r="D83" s="210"/>
      <c r="E83" s="210" t="s">
        <v>29</v>
      </c>
      <c r="F83" s="210" t="s">
        <v>151</v>
      </c>
      <c r="G83" s="228">
        <v>896</v>
      </c>
      <c r="H83" s="125">
        <v>20</v>
      </c>
      <c r="I83" s="126">
        <v>7</v>
      </c>
      <c r="J83" s="26">
        <f t="shared" si="13"/>
        <v>923</v>
      </c>
      <c r="K83" s="172">
        <f t="shared" si="14"/>
        <v>0.9707475622968581</v>
      </c>
      <c r="L83" s="212"/>
      <c r="M83" s="213"/>
      <c r="N83" s="223"/>
      <c r="O83" s="210"/>
      <c r="P83" s="35"/>
      <c r="Q83" s="154"/>
      <c r="R83" s="133"/>
      <c r="S83" s="156"/>
      <c r="T83" s="119">
        <v>8</v>
      </c>
      <c r="U83" s="105"/>
      <c r="V83" s="102"/>
      <c r="W83" s="105"/>
      <c r="X83" s="105"/>
      <c r="Y83" s="257"/>
      <c r="Z83" s="257"/>
      <c r="AA83" s="258"/>
      <c r="AB83" s="157"/>
      <c r="AC83" s="119">
        <v>8</v>
      </c>
      <c r="AD83" s="105"/>
      <c r="AE83" s="102"/>
      <c r="AF83" s="105"/>
      <c r="AG83" s="105"/>
      <c r="AH83" s="257"/>
      <c r="AI83" s="257"/>
      <c r="AJ83" s="257"/>
      <c r="AK83" s="258"/>
      <c r="AL83" s="158"/>
      <c r="AM83" s="133"/>
    </row>
    <row r="84" spans="1:39" ht="15" customHeight="1" thickBot="1">
      <c r="A84" s="30"/>
      <c r="B84" s="147"/>
      <c r="C84" s="28">
        <v>7</v>
      </c>
      <c r="D84" s="210"/>
      <c r="E84" s="210" t="s">
        <v>29</v>
      </c>
      <c r="F84" s="210" t="s">
        <v>151</v>
      </c>
      <c r="G84" s="228">
        <v>1088</v>
      </c>
      <c r="H84" s="125">
        <v>40</v>
      </c>
      <c r="I84" s="126">
        <v>12</v>
      </c>
      <c r="J84" s="26">
        <f t="shared" si="13"/>
        <v>1140</v>
      </c>
      <c r="K84" s="172">
        <f t="shared" si="14"/>
        <v>0.95438596491228067</v>
      </c>
      <c r="L84" s="212" t="s">
        <v>168</v>
      </c>
      <c r="M84" s="213"/>
      <c r="N84" s="223"/>
      <c r="O84" s="210"/>
      <c r="P84" s="35"/>
      <c r="Q84" s="154"/>
      <c r="R84" s="133"/>
      <c r="S84" s="156"/>
      <c r="T84" s="179"/>
      <c r="U84" s="239"/>
      <c r="V84" s="239"/>
      <c r="W84" s="239"/>
      <c r="X84" s="123">
        <f>+SUM(X76:X83)</f>
        <v>0</v>
      </c>
      <c r="Y84" s="259"/>
      <c r="Z84" s="260"/>
      <c r="AA84" s="261"/>
      <c r="AB84" s="161"/>
      <c r="AC84" s="179"/>
      <c r="AD84" s="239"/>
      <c r="AE84" s="239"/>
      <c r="AF84" s="239"/>
      <c r="AG84" s="123">
        <f>+SUM(AG76:AG83)</f>
        <v>0</v>
      </c>
      <c r="AH84" s="259"/>
      <c r="AI84" s="260"/>
      <c r="AJ84" s="259"/>
      <c r="AK84" s="261"/>
      <c r="AL84" s="158"/>
      <c r="AM84" s="133"/>
    </row>
    <row r="85" spans="1:39" ht="15" customHeight="1" thickBot="1">
      <c r="A85" s="30"/>
      <c r="B85" s="147"/>
      <c r="C85" s="236">
        <v>8</v>
      </c>
      <c r="D85" s="210"/>
      <c r="E85" s="210" t="s">
        <v>29</v>
      </c>
      <c r="F85" s="210" t="s">
        <v>151</v>
      </c>
      <c r="G85" s="124">
        <v>320</v>
      </c>
      <c r="H85" s="220">
        <v>0</v>
      </c>
      <c r="I85" s="126">
        <v>14</v>
      </c>
      <c r="J85" s="238">
        <f t="shared" si="13"/>
        <v>334</v>
      </c>
      <c r="K85" s="173">
        <f t="shared" si="14"/>
        <v>0.95808383233532934</v>
      </c>
      <c r="L85" s="212" t="s">
        <v>168</v>
      </c>
      <c r="M85" s="109"/>
      <c r="N85" s="223"/>
      <c r="O85" s="210"/>
      <c r="P85" s="35"/>
      <c r="Q85" s="154"/>
      <c r="R85" s="133"/>
      <c r="S85" s="180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  <c r="AD85" s="181"/>
      <c r="AE85" s="181"/>
      <c r="AF85" s="181"/>
      <c r="AG85" s="181"/>
      <c r="AH85" s="181"/>
      <c r="AI85" s="181"/>
      <c r="AJ85" s="181"/>
      <c r="AK85" s="181"/>
      <c r="AL85" s="182"/>
      <c r="AM85" s="133"/>
    </row>
    <row r="86" spans="1:39" ht="15" customHeight="1" thickBot="1">
      <c r="A86" s="30"/>
      <c r="B86" s="147"/>
      <c r="C86" s="174" t="s">
        <v>7</v>
      </c>
      <c r="D86" s="110"/>
      <c r="E86" s="110"/>
      <c r="F86" s="110"/>
      <c r="G86" s="111">
        <f>SUM(G78:G85)</f>
        <v>6784</v>
      </c>
      <c r="H86" s="111">
        <f>SUM(H78:H85)</f>
        <v>250</v>
      </c>
      <c r="I86" s="111">
        <f>SUM(I78:I85)</f>
        <v>124</v>
      </c>
      <c r="J86" s="111">
        <f>SUM(J78:J85)</f>
        <v>7158</v>
      </c>
      <c r="K86" s="175">
        <f t="shared" si="14"/>
        <v>0.94775076837105332</v>
      </c>
      <c r="L86" s="239"/>
      <c r="M86" s="112">
        <f>SUM(M78:M85)</f>
        <v>0</v>
      </c>
      <c r="N86" s="224"/>
      <c r="O86" s="176"/>
      <c r="P86" s="35"/>
      <c r="Q86" s="154"/>
      <c r="R86" s="133"/>
      <c r="AM86" s="133"/>
    </row>
    <row r="87" spans="1:39" ht="15" customHeight="1" thickBot="1">
      <c r="A87" s="30"/>
      <c r="B87" s="147"/>
      <c r="C87" s="41"/>
      <c r="D87" s="41"/>
      <c r="E87" s="41"/>
      <c r="F87" s="41"/>
      <c r="G87" s="42"/>
      <c r="H87" s="42"/>
      <c r="I87" s="42"/>
      <c r="J87" s="42"/>
      <c r="K87" s="177"/>
      <c r="L87" s="42"/>
      <c r="M87" s="41"/>
      <c r="N87" s="41"/>
      <c r="O87" s="35"/>
      <c r="P87" s="35"/>
      <c r="Q87" s="154"/>
      <c r="R87" s="133"/>
      <c r="S87" s="183"/>
      <c r="T87" s="184"/>
      <c r="U87" s="184"/>
      <c r="V87" s="184"/>
      <c r="W87" s="184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4"/>
      <c r="AL87" s="185"/>
      <c r="AM87" s="133"/>
    </row>
    <row r="88" spans="1:39" ht="15" customHeight="1">
      <c r="A88" s="30"/>
      <c r="B88" s="147"/>
      <c r="C88" s="253">
        <v>7</v>
      </c>
      <c r="D88" s="255">
        <f>K99</f>
        <v>0.93029850746268661</v>
      </c>
      <c r="E88" s="35"/>
      <c r="F88" s="35"/>
      <c r="G88" s="35"/>
      <c r="H88" s="35"/>
      <c r="I88" s="35"/>
      <c r="J88" s="35"/>
      <c r="K88" s="35"/>
      <c r="L88" s="36"/>
      <c r="M88" s="35"/>
      <c r="N88" s="35"/>
      <c r="O88" s="35"/>
      <c r="P88" s="35"/>
      <c r="Q88" s="154"/>
      <c r="R88" s="133"/>
      <c r="S88" s="186"/>
      <c r="T88" s="221" t="s">
        <v>69</v>
      </c>
      <c r="U88" s="187"/>
      <c r="V88" s="187"/>
      <c r="W88" s="187"/>
      <c r="X88" s="187"/>
      <c r="Y88" s="187"/>
      <c r="Z88" s="187"/>
      <c r="AA88" s="187"/>
      <c r="AB88" s="187"/>
      <c r="AC88" s="187"/>
      <c r="AD88" s="187"/>
      <c r="AE88" s="187"/>
      <c r="AF88" s="187"/>
      <c r="AG88" s="187"/>
      <c r="AH88" s="187"/>
      <c r="AI88" s="187"/>
      <c r="AJ88" s="187"/>
      <c r="AK88" s="187"/>
      <c r="AL88" s="188"/>
      <c r="AM88" s="133"/>
    </row>
    <row r="89" spans="1:39" ht="15" customHeight="1" thickBot="1">
      <c r="A89" s="30"/>
      <c r="B89" s="147"/>
      <c r="C89" s="254"/>
      <c r="D89" s="256"/>
      <c r="E89" s="131"/>
      <c r="F89" s="131"/>
      <c r="G89" s="131"/>
      <c r="H89" s="131"/>
      <c r="I89" s="131"/>
      <c r="J89" s="131"/>
      <c r="K89" s="131"/>
      <c r="L89" s="36"/>
      <c r="M89" s="35"/>
      <c r="N89" s="35"/>
      <c r="O89" s="35"/>
      <c r="P89" s="35"/>
      <c r="Q89" s="154" t="s">
        <v>56</v>
      </c>
      <c r="R89" s="133"/>
      <c r="S89" s="189"/>
      <c r="T89" s="209"/>
      <c r="U89" s="209"/>
      <c r="V89" s="209"/>
      <c r="W89" s="190"/>
      <c r="X89" s="190"/>
      <c r="Y89" s="190"/>
      <c r="Z89" s="190"/>
      <c r="AA89" s="190"/>
      <c r="AB89" s="190"/>
      <c r="AC89" s="190"/>
      <c r="AD89" s="190"/>
      <c r="AE89" s="190"/>
      <c r="AF89" s="190"/>
      <c r="AG89" s="190"/>
      <c r="AH89" s="190"/>
      <c r="AI89" s="190"/>
      <c r="AJ89" s="190"/>
      <c r="AK89" s="190"/>
      <c r="AL89" s="191"/>
      <c r="AM89" s="133"/>
    </row>
    <row r="90" spans="1:39" ht="15" customHeight="1">
      <c r="A90" s="30"/>
      <c r="B90" s="147"/>
      <c r="C90" s="29" t="s">
        <v>2</v>
      </c>
      <c r="D90" s="23" t="s">
        <v>6</v>
      </c>
      <c r="E90" s="23" t="s">
        <v>3</v>
      </c>
      <c r="F90" s="23" t="s">
        <v>58</v>
      </c>
      <c r="G90" s="231" t="s">
        <v>0</v>
      </c>
      <c r="H90" s="231" t="s">
        <v>1</v>
      </c>
      <c r="I90" s="231" t="s">
        <v>18</v>
      </c>
      <c r="J90" s="231" t="s">
        <v>5</v>
      </c>
      <c r="K90" s="178" t="s">
        <v>13</v>
      </c>
      <c r="L90" s="231" t="s">
        <v>17</v>
      </c>
      <c r="M90" s="23" t="s">
        <v>9</v>
      </c>
      <c r="N90" s="240" t="s">
        <v>77</v>
      </c>
      <c r="O90" s="24" t="s">
        <v>12</v>
      </c>
      <c r="P90" s="35"/>
      <c r="Q90" s="154"/>
      <c r="R90" s="133"/>
      <c r="S90" s="189"/>
      <c r="T90" s="209"/>
      <c r="U90" s="209"/>
      <c r="V90" s="209"/>
      <c r="W90" s="190"/>
      <c r="X90" s="190"/>
      <c r="Y90" s="190"/>
      <c r="Z90" s="190"/>
      <c r="AA90" s="190"/>
      <c r="AB90" s="190"/>
      <c r="AC90" s="190"/>
      <c r="AD90" s="190"/>
      <c r="AE90" s="190"/>
      <c r="AF90" s="190"/>
      <c r="AG90" s="190"/>
      <c r="AH90" s="190"/>
      <c r="AI90" s="190"/>
      <c r="AJ90" s="190"/>
      <c r="AK90" s="190"/>
      <c r="AL90" s="191"/>
      <c r="AM90" s="133"/>
    </row>
    <row r="91" spans="1:39" ht="15" customHeight="1">
      <c r="A91" s="30"/>
      <c r="B91" s="147"/>
      <c r="C91" s="232">
        <v>1</v>
      </c>
      <c r="D91" s="214"/>
      <c r="E91" s="210" t="s">
        <v>60</v>
      </c>
      <c r="F91" s="229" t="s">
        <v>117</v>
      </c>
      <c r="G91" s="124">
        <v>798</v>
      </c>
      <c r="H91" s="125">
        <v>0</v>
      </c>
      <c r="I91" s="126">
        <v>80</v>
      </c>
      <c r="J91" s="234">
        <f t="shared" ref="J91:J98" si="15">+G91+H91+I91</f>
        <v>878</v>
      </c>
      <c r="K91" s="171">
        <f t="shared" ref="K91:K99" si="16">IF(J91&lt;&gt;0,G91/J91,0)</f>
        <v>0.90888382687927105</v>
      </c>
      <c r="L91" s="213" t="s">
        <v>169</v>
      </c>
      <c r="M91" s="213"/>
      <c r="N91" s="223"/>
      <c r="O91" s="210"/>
      <c r="P91" s="35"/>
      <c r="Q91" s="154"/>
      <c r="R91" s="133"/>
      <c r="S91" s="189"/>
      <c r="T91" s="209"/>
      <c r="U91" s="209"/>
      <c r="V91" s="209"/>
      <c r="W91" s="190"/>
      <c r="X91" s="190"/>
      <c r="Y91" s="190"/>
      <c r="Z91" s="190"/>
      <c r="AA91" s="190"/>
      <c r="AB91" s="190"/>
      <c r="AC91" s="190"/>
      <c r="AD91" s="190"/>
      <c r="AE91" s="190"/>
      <c r="AF91" s="190"/>
      <c r="AG91" s="190"/>
      <c r="AH91" s="190"/>
      <c r="AI91" s="190"/>
      <c r="AJ91" s="190"/>
      <c r="AK91" s="190"/>
      <c r="AL91" s="191"/>
      <c r="AM91" s="133"/>
    </row>
    <row r="92" spans="1:39" ht="15" customHeight="1">
      <c r="A92" s="30"/>
      <c r="B92" s="147"/>
      <c r="C92" s="28">
        <v>2</v>
      </c>
      <c r="D92" s="214"/>
      <c r="E92" s="210" t="s">
        <v>60</v>
      </c>
      <c r="F92" s="229" t="s">
        <v>117</v>
      </c>
      <c r="G92" s="124">
        <v>841</v>
      </c>
      <c r="H92" s="125">
        <v>0</v>
      </c>
      <c r="I92" s="126">
        <v>59</v>
      </c>
      <c r="J92" s="26">
        <f t="shared" si="15"/>
        <v>900</v>
      </c>
      <c r="K92" s="172">
        <f t="shared" si="16"/>
        <v>0.93444444444444441</v>
      </c>
      <c r="L92" s="213" t="s">
        <v>169</v>
      </c>
      <c r="M92" s="207"/>
      <c r="N92" s="213"/>
      <c r="O92" s="210"/>
      <c r="P92" s="35"/>
      <c r="Q92" s="154"/>
      <c r="R92" s="133"/>
      <c r="S92" s="189"/>
      <c r="T92" s="209"/>
      <c r="U92" s="209"/>
      <c r="V92" s="209"/>
      <c r="W92" s="190"/>
      <c r="X92" s="190"/>
      <c r="Y92" s="190"/>
      <c r="Z92" s="190"/>
      <c r="AA92" s="190"/>
      <c r="AB92" s="190"/>
      <c r="AC92" s="190"/>
      <c r="AD92" s="190"/>
      <c r="AE92" s="190"/>
      <c r="AF92" s="190"/>
      <c r="AG92" s="190"/>
      <c r="AH92" s="190"/>
      <c r="AI92" s="190"/>
      <c r="AJ92" s="190"/>
      <c r="AK92" s="190"/>
      <c r="AL92" s="191"/>
      <c r="AM92" s="133"/>
    </row>
    <row r="93" spans="1:39" ht="15" customHeight="1">
      <c r="A93" s="30"/>
      <c r="B93" s="147"/>
      <c r="C93" s="28">
        <v>3</v>
      </c>
      <c r="D93" s="210"/>
      <c r="E93" s="210" t="s">
        <v>60</v>
      </c>
      <c r="F93" s="229" t="s">
        <v>117</v>
      </c>
      <c r="G93" s="124">
        <v>917</v>
      </c>
      <c r="H93" s="125">
        <v>0</v>
      </c>
      <c r="I93" s="126">
        <v>42</v>
      </c>
      <c r="J93" s="26">
        <f>+G93+H93+I93</f>
        <v>959</v>
      </c>
      <c r="K93" s="172">
        <f>IF(J93&lt;&gt;0,G93/J93,0)</f>
        <v>0.95620437956204385</v>
      </c>
      <c r="L93" s="213" t="s">
        <v>169</v>
      </c>
      <c r="M93" s="213"/>
      <c r="N93" s="213"/>
      <c r="O93" s="210"/>
      <c r="P93" s="35"/>
      <c r="Q93" s="154"/>
      <c r="R93" s="133"/>
      <c r="S93" s="189"/>
      <c r="T93" s="209"/>
      <c r="U93" s="209"/>
      <c r="V93" s="209"/>
      <c r="W93" s="190"/>
      <c r="X93" s="190"/>
      <c r="Y93" s="190"/>
      <c r="Z93" s="190"/>
      <c r="AA93" s="190"/>
      <c r="AB93" s="190"/>
      <c r="AC93" s="190"/>
      <c r="AD93" s="190"/>
      <c r="AE93" s="190"/>
      <c r="AF93" s="190"/>
      <c r="AG93" s="190"/>
      <c r="AH93" s="190"/>
      <c r="AI93" s="190"/>
      <c r="AJ93" s="190"/>
      <c r="AK93" s="190"/>
      <c r="AL93" s="191"/>
      <c r="AM93" s="133"/>
    </row>
    <row r="94" spans="1:39" ht="15" customHeight="1">
      <c r="A94" s="30"/>
      <c r="B94" s="147"/>
      <c r="C94" s="28">
        <v>4</v>
      </c>
      <c r="D94" s="210"/>
      <c r="E94" s="210" t="s">
        <v>60</v>
      </c>
      <c r="F94" s="229" t="s">
        <v>117</v>
      </c>
      <c r="G94" s="124">
        <v>475</v>
      </c>
      <c r="H94" s="125">
        <v>0</v>
      </c>
      <c r="I94" s="126">
        <v>59</v>
      </c>
      <c r="J94" s="26">
        <f>+G94+H94+I94</f>
        <v>534</v>
      </c>
      <c r="K94" s="172">
        <f>IF(J94&lt;&gt;0,G94/J94,0)</f>
        <v>0.88951310861423216</v>
      </c>
      <c r="L94" s="213" t="s">
        <v>169</v>
      </c>
      <c r="M94" s="213"/>
      <c r="N94" s="213"/>
      <c r="O94" s="210"/>
      <c r="P94" s="35"/>
      <c r="Q94" s="154"/>
      <c r="R94" s="133"/>
      <c r="S94" s="189"/>
      <c r="T94" s="209"/>
      <c r="U94" s="209"/>
      <c r="V94" s="209"/>
      <c r="W94" s="190"/>
      <c r="X94" s="190"/>
      <c r="Y94" s="190"/>
      <c r="Z94" s="190"/>
      <c r="AA94" s="190"/>
      <c r="AB94" s="190"/>
      <c r="AC94" s="190"/>
      <c r="AD94" s="190"/>
      <c r="AE94" s="190"/>
      <c r="AF94" s="190"/>
      <c r="AG94" s="190"/>
      <c r="AH94" s="190"/>
      <c r="AI94" s="190"/>
      <c r="AJ94" s="190"/>
      <c r="AK94" s="190"/>
      <c r="AL94" s="191"/>
      <c r="AM94" s="133"/>
    </row>
    <row r="95" spans="1:39" ht="15" customHeight="1">
      <c r="A95" s="30"/>
      <c r="B95" s="147"/>
      <c r="C95" s="28">
        <v>5</v>
      </c>
      <c r="D95" s="210"/>
      <c r="E95" s="210" t="s">
        <v>60</v>
      </c>
      <c r="F95" s="229" t="s">
        <v>117</v>
      </c>
      <c r="G95" s="124">
        <v>685</v>
      </c>
      <c r="H95" s="125">
        <v>0</v>
      </c>
      <c r="I95" s="126">
        <v>53</v>
      </c>
      <c r="J95" s="26">
        <f t="shared" si="15"/>
        <v>738</v>
      </c>
      <c r="K95" s="172">
        <f t="shared" si="16"/>
        <v>0.92818428184281843</v>
      </c>
      <c r="L95" s="212" t="s">
        <v>169</v>
      </c>
      <c r="M95" s="213"/>
      <c r="N95" s="213"/>
      <c r="O95" s="210"/>
      <c r="P95" s="35"/>
      <c r="Q95" s="154"/>
      <c r="R95" s="133"/>
      <c r="S95" s="189"/>
      <c r="T95" s="209"/>
      <c r="U95" s="209"/>
      <c r="V95" s="209"/>
      <c r="W95" s="190"/>
      <c r="X95" s="190"/>
      <c r="Y95" s="190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1"/>
      <c r="AM95" s="133"/>
    </row>
    <row r="96" spans="1:39" ht="15" customHeight="1">
      <c r="A96" s="30"/>
      <c r="B96" s="147"/>
      <c r="C96" s="28">
        <v>6</v>
      </c>
      <c r="D96" s="210"/>
      <c r="E96" s="210" t="s">
        <v>60</v>
      </c>
      <c r="F96" s="229" t="s">
        <v>117</v>
      </c>
      <c r="G96" s="228">
        <v>754</v>
      </c>
      <c r="H96" s="125">
        <v>0</v>
      </c>
      <c r="I96" s="126">
        <v>98</v>
      </c>
      <c r="J96" s="26">
        <f t="shared" si="15"/>
        <v>852</v>
      </c>
      <c r="K96" s="172">
        <f t="shared" si="16"/>
        <v>0.88497652582159625</v>
      </c>
      <c r="L96" s="212" t="s">
        <v>169</v>
      </c>
      <c r="M96" s="213"/>
      <c r="N96" s="213"/>
      <c r="O96" s="210"/>
      <c r="P96" s="35"/>
      <c r="Q96" s="154"/>
      <c r="R96" s="133"/>
      <c r="S96" s="189"/>
      <c r="T96" s="209"/>
      <c r="U96" s="209"/>
      <c r="V96" s="209"/>
      <c r="W96" s="190"/>
      <c r="X96" s="190"/>
      <c r="Y96" s="190"/>
      <c r="Z96" s="190"/>
      <c r="AA96" s="190"/>
      <c r="AB96" s="190"/>
      <c r="AC96" s="190"/>
      <c r="AD96" s="190"/>
      <c r="AE96" s="190"/>
      <c r="AF96" s="190"/>
      <c r="AG96" s="190"/>
      <c r="AH96" s="190"/>
      <c r="AI96" s="190"/>
      <c r="AJ96" s="190"/>
      <c r="AK96" s="190"/>
      <c r="AL96" s="191"/>
      <c r="AM96" s="133"/>
    </row>
    <row r="97" spans="1:39" ht="15" customHeight="1">
      <c r="A97" s="30"/>
      <c r="B97" s="147"/>
      <c r="C97" s="28">
        <v>7</v>
      </c>
      <c r="D97" s="210"/>
      <c r="E97" s="210" t="s">
        <v>60</v>
      </c>
      <c r="F97" s="229" t="s">
        <v>117</v>
      </c>
      <c r="G97" s="124">
        <v>775</v>
      </c>
      <c r="H97" s="125">
        <v>0</v>
      </c>
      <c r="I97" s="126">
        <v>31</v>
      </c>
      <c r="J97" s="26">
        <f t="shared" si="15"/>
        <v>806</v>
      </c>
      <c r="K97" s="172">
        <f t="shared" si="16"/>
        <v>0.96153846153846156</v>
      </c>
      <c r="L97" s="212"/>
      <c r="M97" s="213"/>
      <c r="N97" s="213"/>
      <c r="O97" s="210"/>
      <c r="P97" s="35"/>
      <c r="Q97" s="154"/>
      <c r="R97" s="133"/>
      <c r="S97" s="189"/>
      <c r="T97" s="209"/>
      <c r="U97" s="209"/>
      <c r="V97" s="209"/>
      <c r="W97" s="190"/>
      <c r="X97" s="190"/>
      <c r="Y97" s="190"/>
      <c r="Z97" s="190"/>
      <c r="AA97" s="190"/>
      <c r="AB97" s="190"/>
      <c r="AC97" s="190"/>
      <c r="AD97" s="190"/>
      <c r="AE97" s="190"/>
      <c r="AF97" s="190"/>
      <c r="AG97" s="190"/>
      <c r="AH97" s="190"/>
      <c r="AI97" s="190"/>
      <c r="AJ97" s="190"/>
      <c r="AK97" s="190"/>
      <c r="AL97" s="191"/>
      <c r="AM97" s="133"/>
    </row>
    <row r="98" spans="1:39" ht="15" customHeight="1" thickBot="1">
      <c r="A98" s="30"/>
      <c r="B98" s="147"/>
      <c r="C98" s="236">
        <v>8</v>
      </c>
      <c r="D98" s="210"/>
      <c r="E98" s="210" t="s">
        <v>60</v>
      </c>
      <c r="F98" s="229" t="s">
        <v>117</v>
      </c>
      <c r="G98" s="205">
        <v>988</v>
      </c>
      <c r="H98" s="220">
        <v>0</v>
      </c>
      <c r="I98" s="206">
        <v>45</v>
      </c>
      <c r="J98" s="238">
        <f t="shared" si="15"/>
        <v>1033</v>
      </c>
      <c r="K98" s="173">
        <f t="shared" si="16"/>
        <v>0.95643756050338824</v>
      </c>
      <c r="L98" s="212" t="s">
        <v>169</v>
      </c>
      <c r="M98" s="109"/>
      <c r="N98" s="213"/>
      <c r="O98" s="210"/>
      <c r="P98" s="35"/>
      <c r="Q98" s="154"/>
      <c r="R98" s="133"/>
      <c r="S98" s="189"/>
      <c r="T98" s="209"/>
      <c r="U98" s="209"/>
      <c r="V98" s="209"/>
      <c r="W98" s="190"/>
      <c r="X98" s="190"/>
      <c r="Y98" s="190"/>
      <c r="Z98" s="190"/>
      <c r="AA98" s="190"/>
      <c r="AB98" s="190"/>
      <c r="AC98" s="190"/>
      <c r="AD98" s="190"/>
      <c r="AE98" s="190"/>
      <c r="AF98" s="190"/>
      <c r="AG98" s="190"/>
      <c r="AH98" s="190"/>
      <c r="AI98" s="190"/>
      <c r="AJ98" s="190"/>
      <c r="AK98" s="190"/>
      <c r="AL98" s="191"/>
      <c r="AM98" s="133"/>
    </row>
    <row r="99" spans="1:39" ht="15" customHeight="1" thickBot="1">
      <c r="A99" s="30"/>
      <c r="B99" s="147"/>
      <c r="C99" s="174" t="s">
        <v>7</v>
      </c>
      <c r="D99" s="110"/>
      <c r="E99" s="110"/>
      <c r="F99" s="132"/>
      <c r="G99" s="111">
        <f>SUM(G91:G98)</f>
        <v>6233</v>
      </c>
      <c r="H99" s="111">
        <f>SUM(H91:H98)</f>
        <v>0</v>
      </c>
      <c r="I99" s="111">
        <f>SUM(I91:I98)</f>
        <v>467</v>
      </c>
      <c r="J99" s="111">
        <f>SUM(J91:J98)</f>
        <v>6700</v>
      </c>
      <c r="K99" s="175">
        <f t="shared" si="16"/>
        <v>0.93029850746268661</v>
      </c>
      <c r="L99" s="239"/>
      <c r="M99" s="112">
        <f>SUM(M91:M98)</f>
        <v>0</v>
      </c>
      <c r="N99" s="224"/>
      <c r="O99" s="176"/>
      <c r="P99" s="35"/>
      <c r="Q99" s="154"/>
      <c r="R99" s="133"/>
      <c r="S99" s="189"/>
      <c r="T99" s="209"/>
      <c r="U99" s="209"/>
      <c r="V99" s="209"/>
      <c r="W99" s="190"/>
      <c r="X99" s="190"/>
      <c r="Y99" s="190"/>
      <c r="Z99" s="190"/>
      <c r="AA99" s="190"/>
      <c r="AB99" s="190"/>
      <c r="AC99" s="190"/>
      <c r="AD99" s="190"/>
      <c r="AE99" s="190"/>
      <c r="AF99" s="190"/>
      <c r="AG99" s="190"/>
      <c r="AH99" s="190"/>
      <c r="AI99" s="190"/>
      <c r="AJ99" s="190"/>
      <c r="AK99" s="190"/>
      <c r="AL99" s="191"/>
      <c r="AM99" s="133"/>
    </row>
    <row r="100" spans="1:39" ht="15" customHeight="1" thickBot="1">
      <c r="A100" s="30"/>
      <c r="B100" s="147"/>
      <c r="C100" s="41"/>
      <c r="D100" s="41"/>
      <c r="E100" s="41"/>
      <c r="F100" s="131"/>
      <c r="G100" s="42"/>
      <c r="H100" s="42"/>
      <c r="I100" s="42"/>
      <c r="J100" s="42"/>
      <c r="K100" s="177"/>
      <c r="L100" s="42"/>
      <c r="M100" s="41"/>
      <c r="N100" s="41"/>
      <c r="O100" s="35"/>
      <c r="P100" s="35"/>
      <c r="Q100" s="154"/>
      <c r="R100" s="133"/>
      <c r="S100" s="189"/>
      <c r="T100" s="209"/>
      <c r="U100" s="209"/>
      <c r="V100" s="209"/>
      <c r="W100" s="190"/>
      <c r="X100" s="190"/>
      <c r="Y100" s="190"/>
      <c r="Z100" s="190"/>
      <c r="AA100" s="190"/>
      <c r="AB100" s="190"/>
      <c r="AC100" s="190"/>
      <c r="AD100" s="190"/>
      <c r="AE100" s="190"/>
      <c r="AF100" s="190"/>
      <c r="AG100" s="190"/>
      <c r="AH100" s="190"/>
      <c r="AI100" s="190"/>
      <c r="AJ100" s="190"/>
      <c r="AK100" s="190"/>
      <c r="AL100" s="191"/>
      <c r="AM100" s="133"/>
    </row>
    <row r="101" spans="1:39" ht="15" customHeight="1">
      <c r="A101" s="30"/>
      <c r="B101" s="147"/>
      <c r="C101" s="253">
        <v>8</v>
      </c>
      <c r="D101" s="255">
        <f>K112</f>
        <v>0.79129984464008285</v>
      </c>
      <c r="E101" s="35"/>
      <c r="F101" s="35"/>
      <c r="G101" s="35"/>
      <c r="H101" s="35"/>
      <c r="I101" s="35"/>
      <c r="J101" s="35"/>
      <c r="K101" s="35"/>
      <c r="L101" s="36"/>
      <c r="M101" s="35"/>
      <c r="N101" s="35"/>
      <c r="O101" s="35"/>
      <c r="P101" s="35"/>
      <c r="Q101" s="154"/>
      <c r="R101" s="133"/>
      <c r="S101" s="189"/>
      <c r="T101" s="209"/>
      <c r="U101" s="209"/>
      <c r="V101" s="209"/>
      <c r="W101" s="190"/>
      <c r="X101" s="190"/>
      <c r="Y101" s="190"/>
      <c r="Z101" s="190"/>
      <c r="AA101" s="190"/>
      <c r="AB101" s="190"/>
      <c r="AC101" s="190"/>
      <c r="AD101" s="190"/>
      <c r="AE101" s="190"/>
      <c r="AF101" s="190"/>
      <c r="AG101" s="190"/>
      <c r="AH101" s="190"/>
      <c r="AI101" s="190"/>
      <c r="AJ101" s="190"/>
      <c r="AK101" s="190"/>
      <c r="AL101" s="191"/>
      <c r="AM101" s="133"/>
    </row>
    <row r="102" spans="1:39" ht="15" customHeight="1" thickBot="1">
      <c r="A102" s="30"/>
      <c r="B102" s="147"/>
      <c r="C102" s="254"/>
      <c r="D102" s="256"/>
      <c r="E102" s="131"/>
      <c r="F102" s="131"/>
      <c r="G102" s="131"/>
      <c r="H102" s="131"/>
      <c r="I102" s="131"/>
      <c r="J102" s="131"/>
      <c r="K102" s="131"/>
      <c r="L102" s="36"/>
      <c r="M102" s="35"/>
      <c r="N102" s="35"/>
      <c r="O102" s="35"/>
      <c r="P102" s="35"/>
      <c r="Q102" s="154"/>
      <c r="R102" s="133"/>
      <c r="S102" s="189"/>
      <c r="T102" s="209"/>
      <c r="U102" s="209"/>
      <c r="V102" s="209"/>
      <c r="W102" s="190"/>
      <c r="X102" s="190"/>
      <c r="Y102" s="190"/>
      <c r="Z102" s="190"/>
      <c r="AA102" s="190"/>
      <c r="AB102" s="190"/>
      <c r="AC102" s="190"/>
      <c r="AD102" s="190"/>
      <c r="AE102" s="190"/>
      <c r="AF102" s="190"/>
      <c r="AG102" s="190"/>
      <c r="AH102" s="190"/>
      <c r="AI102" s="190"/>
      <c r="AJ102" s="190"/>
      <c r="AK102" s="190"/>
      <c r="AL102" s="191"/>
      <c r="AM102" s="133"/>
    </row>
    <row r="103" spans="1:39" ht="15" customHeight="1">
      <c r="A103" s="30"/>
      <c r="B103" s="147"/>
      <c r="C103" s="29" t="s">
        <v>2</v>
      </c>
      <c r="D103" s="23" t="s">
        <v>6</v>
      </c>
      <c r="E103" s="23" t="s">
        <v>3</v>
      </c>
      <c r="F103" s="23" t="s">
        <v>58</v>
      </c>
      <c r="G103" s="231" t="s">
        <v>0</v>
      </c>
      <c r="H103" s="231" t="s">
        <v>1</v>
      </c>
      <c r="I103" s="231" t="s">
        <v>18</v>
      </c>
      <c r="J103" s="231" t="s">
        <v>5</v>
      </c>
      <c r="K103" s="23" t="s">
        <v>13</v>
      </c>
      <c r="L103" s="231" t="s">
        <v>17</v>
      </c>
      <c r="M103" s="23" t="s">
        <v>9</v>
      </c>
      <c r="N103" s="240" t="s">
        <v>77</v>
      </c>
      <c r="O103" s="24" t="s">
        <v>12</v>
      </c>
      <c r="P103" s="35"/>
      <c r="Q103" s="154"/>
      <c r="R103" s="133"/>
      <c r="S103" s="189"/>
      <c r="T103" s="209"/>
      <c r="U103" s="209"/>
      <c r="V103" s="209"/>
      <c r="W103" s="190"/>
      <c r="X103" s="190"/>
      <c r="Y103" s="190"/>
      <c r="Z103" s="190"/>
      <c r="AA103" s="190"/>
      <c r="AB103" s="190"/>
      <c r="AC103" s="190"/>
      <c r="AD103" s="190"/>
      <c r="AE103" s="190"/>
      <c r="AF103" s="190"/>
      <c r="AG103" s="190"/>
      <c r="AH103" s="190"/>
      <c r="AI103" s="190"/>
      <c r="AJ103" s="190"/>
      <c r="AK103" s="190"/>
      <c r="AL103" s="191"/>
      <c r="AM103" s="133"/>
    </row>
    <row r="104" spans="1:39" ht="15" customHeight="1">
      <c r="A104" s="30"/>
      <c r="B104" s="147"/>
      <c r="C104" s="232">
        <v>1</v>
      </c>
      <c r="D104" s="214"/>
      <c r="E104" s="210" t="s">
        <v>63</v>
      </c>
      <c r="F104" s="210" t="s">
        <v>117</v>
      </c>
      <c r="G104" s="124">
        <v>432</v>
      </c>
      <c r="H104" s="125">
        <v>0</v>
      </c>
      <c r="I104" s="126">
        <v>78</v>
      </c>
      <c r="J104" s="234">
        <f t="shared" ref="J104:J111" si="17">+G104+H104+I104</f>
        <v>510</v>
      </c>
      <c r="K104" s="171">
        <f t="shared" ref="K104:K112" si="18">IF(J104&lt;&gt;0,G104/J104,0)</f>
        <v>0.84705882352941175</v>
      </c>
      <c r="L104" s="213" t="s">
        <v>165</v>
      </c>
      <c r="M104" s="213"/>
      <c r="N104" s="223"/>
      <c r="O104" s="210"/>
      <c r="P104" s="35"/>
      <c r="Q104" s="154"/>
      <c r="R104" s="133"/>
      <c r="S104" s="189"/>
      <c r="T104" s="209"/>
      <c r="U104" s="209"/>
      <c r="V104" s="209"/>
      <c r="W104" s="190"/>
      <c r="X104" s="190"/>
      <c r="Y104" s="190"/>
      <c r="Z104" s="190"/>
      <c r="AA104" s="190"/>
      <c r="AB104" s="190"/>
      <c r="AC104" s="190"/>
      <c r="AD104" s="190"/>
      <c r="AE104" s="190"/>
      <c r="AF104" s="190"/>
      <c r="AG104" s="190"/>
      <c r="AH104" s="190"/>
      <c r="AI104" s="190"/>
      <c r="AJ104" s="190"/>
      <c r="AK104" s="190"/>
      <c r="AL104" s="191"/>
      <c r="AM104" s="133"/>
    </row>
    <row r="105" spans="1:39" ht="15" customHeight="1">
      <c r="A105" s="30"/>
      <c r="B105" s="147"/>
      <c r="C105" s="28">
        <v>2</v>
      </c>
      <c r="D105" s="214"/>
      <c r="E105" s="210" t="s">
        <v>63</v>
      </c>
      <c r="F105" s="210" t="s">
        <v>117</v>
      </c>
      <c r="G105" s="124">
        <v>336</v>
      </c>
      <c r="H105" s="125">
        <v>0</v>
      </c>
      <c r="I105" s="126">
        <v>170</v>
      </c>
      <c r="J105" s="26">
        <f t="shared" si="17"/>
        <v>506</v>
      </c>
      <c r="K105" s="172">
        <f t="shared" si="18"/>
        <v>0.66403162055335974</v>
      </c>
      <c r="L105" s="213" t="s">
        <v>164</v>
      </c>
      <c r="M105" s="213"/>
      <c r="N105" s="223"/>
      <c r="O105" s="210"/>
      <c r="P105" s="35"/>
      <c r="Q105" s="154"/>
      <c r="R105" s="133"/>
      <c r="S105" s="189"/>
      <c r="T105" s="209"/>
      <c r="U105" s="209"/>
      <c r="V105" s="209"/>
      <c r="W105" s="190"/>
      <c r="X105" s="190"/>
      <c r="Y105" s="190"/>
      <c r="Z105" s="190"/>
      <c r="AA105" s="190"/>
      <c r="AB105" s="190"/>
      <c r="AC105" s="190"/>
      <c r="AD105" s="190"/>
      <c r="AE105" s="190"/>
      <c r="AF105" s="190"/>
      <c r="AG105" s="190"/>
      <c r="AH105" s="190"/>
      <c r="AI105" s="190"/>
      <c r="AJ105" s="190"/>
      <c r="AK105" s="190"/>
      <c r="AL105" s="191"/>
      <c r="AM105" s="133"/>
    </row>
    <row r="106" spans="1:39" ht="15" customHeight="1">
      <c r="A106" s="30"/>
      <c r="B106" s="147"/>
      <c r="C106" s="28">
        <v>3</v>
      </c>
      <c r="D106" s="214"/>
      <c r="E106" s="210" t="s">
        <v>63</v>
      </c>
      <c r="F106" s="210" t="s">
        <v>117</v>
      </c>
      <c r="G106" s="124">
        <v>480</v>
      </c>
      <c r="H106" s="125">
        <v>0</v>
      </c>
      <c r="I106" s="126">
        <v>101</v>
      </c>
      <c r="J106" s="26">
        <f t="shared" si="17"/>
        <v>581</v>
      </c>
      <c r="K106" s="172">
        <f t="shared" si="18"/>
        <v>0.82616179001721168</v>
      </c>
      <c r="L106" s="213" t="s">
        <v>164</v>
      </c>
      <c r="M106" s="213"/>
      <c r="N106" s="223"/>
      <c r="O106" s="210"/>
      <c r="P106" s="35"/>
      <c r="Q106" s="154"/>
      <c r="R106" s="133"/>
      <c r="S106" s="189"/>
      <c r="T106" s="209"/>
      <c r="U106" s="209"/>
      <c r="V106" s="209"/>
      <c r="W106" s="190"/>
      <c r="X106" s="190"/>
      <c r="Y106" s="190"/>
      <c r="Z106" s="190"/>
      <c r="AA106" s="190"/>
      <c r="AB106" s="190"/>
      <c r="AC106" s="190"/>
      <c r="AD106" s="190"/>
      <c r="AE106" s="190"/>
      <c r="AF106" s="190"/>
      <c r="AG106" s="190"/>
      <c r="AH106" s="190"/>
      <c r="AI106" s="190"/>
      <c r="AJ106" s="190"/>
      <c r="AK106" s="190"/>
      <c r="AL106" s="191"/>
      <c r="AM106" s="133"/>
    </row>
    <row r="107" spans="1:39" ht="15" customHeight="1">
      <c r="A107" s="30"/>
      <c r="B107" s="147"/>
      <c r="C107" s="28">
        <v>4</v>
      </c>
      <c r="D107" s="214"/>
      <c r="E107" s="210" t="s">
        <v>63</v>
      </c>
      <c r="F107" s="210" t="s">
        <v>117</v>
      </c>
      <c r="G107" s="124">
        <v>864</v>
      </c>
      <c r="H107" s="125">
        <v>0</v>
      </c>
      <c r="I107" s="126">
        <v>34</v>
      </c>
      <c r="J107" s="26">
        <f t="shared" si="17"/>
        <v>898</v>
      </c>
      <c r="K107" s="172">
        <f t="shared" si="18"/>
        <v>0.96213808463251671</v>
      </c>
      <c r="L107" s="213"/>
      <c r="M107" s="213"/>
      <c r="N107" s="223"/>
      <c r="O107" s="210"/>
      <c r="P107" s="35"/>
      <c r="Q107" s="154"/>
      <c r="R107" s="133"/>
      <c r="S107" s="189"/>
      <c r="T107" s="209"/>
      <c r="U107" s="209"/>
      <c r="V107" s="209"/>
      <c r="W107" s="190"/>
      <c r="X107" s="190"/>
      <c r="Y107" s="190"/>
      <c r="Z107" s="190"/>
      <c r="AA107" s="190"/>
      <c r="AB107" s="190"/>
      <c r="AC107" s="190"/>
      <c r="AD107" s="190"/>
      <c r="AE107" s="190"/>
      <c r="AF107" s="190"/>
      <c r="AG107" s="190"/>
      <c r="AH107" s="190"/>
      <c r="AI107" s="190"/>
      <c r="AJ107" s="190"/>
      <c r="AK107" s="190"/>
      <c r="AL107" s="191"/>
      <c r="AM107" s="133"/>
    </row>
    <row r="108" spans="1:39" ht="15" customHeight="1">
      <c r="A108" s="30"/>
      <c r="B108" s="147"/>
      <c r="C108" s="28">
        <v>5</v>
      </c>
      <c r="D108" s="214"/>
      <c r="E108" s="210" t="s">
        <v>63</v>
      </c>
      <c r="F108" s="210" t="s">
        <v>117</v>
      </c>
      <c r="G108" s="124">
        <v>528</v>
      </c>
      <c r="H108" s="125">
        <v>0</v>
      </c>
      <c r="I108" s="126">
        <v>166</v>
      </c>
      <c r="J108" s="26">
        <f t="shared" si="17"/>
        <v>694</v>
      </c>
      <c r="K108" s="172">
        <f t="shared" si="18"/>
        <v>0.76080691642651299</v>
      </c>
      <c r="L108" s="213" t="s">
        <v>170</v>
      </c>
      <c r="M108" s="213"/>
      <c r="N108" s="223"/>
      <c r="O108" s="210"/>
      <c r="P108" s="35"/>
      <c r="Q108" s="154"/>
      <c r="R108" s="133"/>
      <c r="S108" s="189"/>
      <c r="T108" s="209"/>
      <c r="U108" s="209"/>
      <c r="V108" s="209"/>
      <c r="W108" s="190"/>
      <c r="X108" s="190"/>
      <c r="Y108" s="190"/>
      <c r="Z108" s="190"/>
      <c r="AA108" s="190"/>
      <c r="AB108" s="190"/>
      <c r="AC108" s="190"/>
      <c r="AD108" s="190"/>
      <c r="AE108" s="190"/>
      <c r="AF108" s="190"/>
      <c r="AG108" s="190"/>
      <c r="AH108" s="190"/>
      <c r="AI108" s="190"/>
      <c r="AJ108" s="190"/>
      <c r="AK108" s="190"/>
      <c r="AL108" s="191"/>
      <c r="AM108" s="133"/>
    </row>
    <row r="109" spans="1:39" ht="15" customHeight="1">
      <c r="A109" s="30"/>
      <c r="B109" s="147"/>
      <c r="C109" s="28">
        <v>6</v>
      </c>
      <c r="D109" s="214"/>
      <c r="E109" s="210" t="s">
        <v>63</v>
      </c>
      <c r="F109" s="210" t="s">
        <v>117</v>
      </c>
      <c r="G109" s="228">
        <v>672</v>
      </c>
      <c r="H109" s="125">
        <v>0</v>
      </c>
      <c r="I109" s="126">
        <v>220</v>
      </c>
      <c r="J109" s="127">
        <f>+G109+H109+I109</f>
        <v>892</v>
      </c>
      <c r="K109" s="172">
        <f t="shared" si="18"/>
        <v>0.75336322869955152</v>
      </c>
      <c r="L109" s="213" t="s">
        <v>170</v>
      </c>
      <c r="M109" s="213"/>
      <c r="N109" s="223"/>
      <c r="O109" s="210"/>
      <c r="P109" s="35"/>
      <c r="Q109" s="154"/>
      <c r="R109" s="133"/>
      <c r="S109" s="189"/>
      <c r="T109" s="209"/>
      <c r="U109" s="209"/>
      <c r="V109" s="209"/>
      <c r="W109" s="190"/>
      <c r="X109" s="190"/>
      <c r="Y109" s="190"/>
      <c r="Z109" s="190"/>
      <c r="AA109" s="190"/>
      <c r="AB109" s="190"/>
      <c r="AC109" s="190"/>
      <c r="AD109" s="190"/>
      <c r="AE109" s="190"/>
      <c r="AF109" s="190"/>
      <c r="AG109" s="190"/>
      <c r="AH109" s="190"/>
      <c r="AI109" s="190"/>
      <c r="AJ109" s="190"/>
      <c r="AK109" s="190"/>
      <c r="AL109" s="191"/>
      <c r="AM109" s="133"/>
    </row>
    <row r="110" spans="1:39" ht="15" customHeight="1">
      <c r="A110" s="30"/>
      <c r="B110" s="147"/>
      <c r="C110" s="28">
        <v>7</v>
      </c>
      <c r="D110" s="214"/>
      <c r="E110" s="210" t="s">
        <v>63</v>
      </c>
      <c r="F110" s="210" t="s">
        <v>117</v>
      </c>
      <c r="G110" s="124">
        <v>624</v>
      </c>
      <c r="H110" s="125">
        <v>0</v>
      </c>
      <c r="I110" s="126">
        <v>260</v>
      </c>
      <c r="J110" s="26">
        <f t="shared" si="17"/>
        <v>884</v>
      </c>
      <c r="K110" s="172">
        <f t="shared" si="18"/>
        <v>0.70588235294117652</v>
      </c>
      <c r="L110" s="213" t="s">
        <v>170</v>
      </c>
      <c r="M110" s="213"/>
      <c r="N110" s="223"/>
      <c r="O110" s="210"/>
      <c r="P110" s="35"/>
      <c r="Q110" s="154"/>
      <c r="R110" s="133"/>
      <c r="S110" s="189"/>
      <c r="T110" s="209"/>
      <c r="U110" s="209"/>
      <c r="V110" s="209"/>
      <c r="W110" s="190"/>
      <c r="X110" s="190"/>
      <c r="Y110" s="190"/>
      <c r="Z110" s="190"/>
      <c r="AA110" s="190"/>
      <c r="AB110" s="190"/>
      <c r="AC110" s="190"/>
      <c r="AD110" s="190"/>
      <c r="AE110" s="190"/>
      <c r="AF110" s="190"/>
      <c r="AG110" s="190"/>
      <c r="AH110" s="190"/>
      <c r="AI110" s="190"/>
      <c r="AJ110" s="190"/>
      <c r="AK110" s="190"/>
      <c r="AL110" s="191"/>
      <c r="AM110" s="133"/>
    </row>
    <row r="111" spans="1:39" ht="15" customHeight="1" thickBot="1">
      <c r="A111" s="30"/>
      <c r="B111" s="147"/>
      <c r="C111" s="236">
        <v>8</v>
      </c>
      <c r="D111" s="214"/>
      <c r="E111" s="210" t="s">
        <v>63</v>
      </c>
      <c r="F111" s="210" t="s">
        <v>117</v>
      </c>
      <c r="G111" s="124">
        <v>648</v>
      </c>
      <c r="H111" s="219">
        <v>0</v>
      </c>
      <c r="I111" s="126">
        <v>180</v>
      </c>
      <c r="J111" s="238">
        <f t="shared" si="17"/>
        <v>828</v>
      </c>
      <c r="K111" s="173">
        <f t="shared" si="18"/>
        <v>0.78260869565217395</v>
      </c>
      <c r="L111" s="213" t="s">
        <v>170</v>
      </c>
      <c r="M111" s="213"/>
      <c r="N111" s="223"/>
      <c r="O111" s="210"/>
      <c r="P111" s="35"/>
      <c r="Q111" s="154"/>
      <c r="R111" s="133"/>
      <c r="S111" s="189"/>
      <c r="T111" s="209"/>
      <c r="U111" s="209"/>
      <c r="V111" s="209"/>
      <c r="W111" s="190"/>
      <c r="X111" s="190"/>
      <c r="Y111" s="190"/>
      <c r="Z111" s="190"/>
      <c r="AA111" s="190"/>
      <c r="AB111" s="190"/>
      <c r="AC111" s="190"/>
      <c r="AD111" s="190"/>
      <c r="AE111" s="190"/>
      <c r="AF111" s="190"/>
      <c r="AG111" s="190"/>
      <c r="AH111" s="190"/>
      <c r="AI111" s="190"/>
      <c r="AJ111" s="190"/>
      <c r="AK111" s="190"/>
      <c r="AL111" s="191"/>
      <c r="AM111" s="133"/>
    </row>
    <row r="112" spans="1:39" ht="15" customHeight="1" thickBot="1">
      <c r="A112" s="30"/>
      <c r="B112" s="147"/>
      <c r="C112" s="174" t="s">
        <v>7</v>
      </c>
      <c r="D112" s="110"/>
      <c r="E112" s="110"/>
      <c r="F112" s="110"/>
      <c r="G112" s="111">
        <f>SUM(G104:G111)</f>
        <v>4584</v>
      </c>
      <c r="H112" s="111">
        <f>SUM(H104:H111)</f>
        <v>0</v>
      </c>
      <c r="I112" s="111">
        <f>SUM(I104:I111)</f>
        <v>1209</v>
      </c>
      <c r="J112" s="111">
        <f>SUM(J104:J111)</f>
        <v>5793</v>
      </c>
      <c r="K112" s="175">
        <f t="shared" si="18"/>
        <v>0.79129984464008285</v>
      </c>
      <c r="L112" s="110"/>
      <c r="M112" s="112">
        <f>SUM(M104:M111)</f>
        <v>0</v>
      </c>
      <c r="N112" s="224"/>
      <c r="O112" s="176"/>
      <c r="P112" s="35"/>
      <c r="Q112" s="154"/>
      <c r="R112" s="133"/>
      <c r="S112" s="189"/>
      <c r="T112" s="209"/>
      <c r="U112" s="209"/>
      <c r="V112" s="209"/>
      <c r="W112" s="190"/>
      <c r="X112" s="190"/>
      <c r="Y112" s="190"/>
      <c r="Z112" s="190"/>
      <c r="AA112" s="190"/>
      <c r="AB112" s="190"/>
      <c r="AC112" s="190"/>
      <c r="AD112" s="190"/>
      <c r="AE112" s="190"/>
      <c r="AF112" s="190"/>
      <c r="AG112" s="190"/>
      <c r="AH112" s="190"/>
      <c r="AI112" s="190"/>
      <c r="AJ112" s="190"/>
      <c r="AK112" s="190"/>
      <c r="AL112" s="191"/>
      <c r="AM112" s="133"/>
    </row>
    <row r="113" spans="1:39" ht="15" customHeight="1" thickBot="1">
      <c r="A113" s="30"/>
      <c r="B113" s="147"/>
      <c r="C113" s="41"/>
      <c r="D113" s="41"/>
      <c r="E113" s="41"/>
      <c r="F113" s="41"/>
      <c r="G113" s="42"/>
      <c r="H113" s="42"/>
      <c r="I113" s="42"/>
      <c r="J113" s="42"/>
      <c r="K113" s="177"/>
      <c r="L113" s="41"/>
      <c r="M113" s="41"/>
      <c r="N113" s="41"/>
      <c r="O113" s="35"/>
      <c r="P113" s="35"/>
      <c r="Q113" s="154"/>
      <c r="R113" s="133"/>
      <c r="S113" s="189"/>
      <c r="T113" s="209"/>
      <c r="U113" s="209"/>
      <c r="V113" s="209"/>
      <c r="W113" s="190"/>
      <c r="X113" s="190"/>
      <c r="Y113" s="190"/>
      <c r="Z113" s="190"/>
      <c r="AA113" s="190"/>
      <c r="AB113" s="190"/>
      <c r="AC113" s="190"/>
      <c r="AD113" s="190"/>
      <c r="AE113" s="190"/>
      <c r="AF113" s="190"/>
      <c r="AG113" s="190"/>
      <c r="AH113" s="190"/>
      <c r="AI113" s="190"/>
      <c r="AJ113" s="190"/>
      <c r="AK113" s="190"/>
      <c r="AL113" s="191"/>
      <c r="AM113" s="133"/>
    </row>
    <row r="114" spans="1:39" ht="15" customHeight="1">
      <c r="A114" s="30"/>
      <c r="B114" s="147"/>
      <c r="C114" s="253" t="s">
        <v>68</v>
      </c>
      <c r="D114" s="255">
        <f>H125</f>
        <v>0.86458800048877849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154"/>
      <c r="R114" s="133"/>
      <c r="S114" s="189"/>
      <c r="T114" s="209"/>
      <c r="U114" s="209"/>
      <c r="V114" s="209"/>
      <c r="W114" s="190"/>
      <c r="X114" s="190"/>
      <c r="Y114" s="190"/>
      <c r="Z114" s="190"/>
      <c r="AA114" s="190"/>
      <c r="AB114" s="190"/>
      <c r="AC114" s="190"/>
      <c r="AD114" s="190"/>
      <c r="AE114" s="190"/>
      <c r="AF114" s="190"/>
      <c r="AG114" s="190"/>
      <c r="AH114" s="190"/>
      <c r="AI114" s="190"/>
      <c r="AJ114" s="190"/>
      <c r="AK114" s="190"/>
      <c r="AL114" s="191"/>
      <c r="AM114" s="133"/>
    </row>
    <row r="115" spans="1:39" ht="15" customHeight="1" thickBot="1">
      <c r="A115" s="30"/>
      <c r="B115" s="147"/>
      <c r="C115" s="254"/>
      <c r="D115" s="256"/>
      <c r="E115" s="131"/>
      <c r="F115" s="131"/>
      <c r="G115" s="131"/>
      <c r="H115" s="131"/>
      <c r="I115" s="131"/>
      <c r="J115" s="131"/>
      <c r="K115" s="131"/>
      <c r="L115" s="35"/>
      <c r="M115" s="35"/>
      <c r="N115" s="35"/>
      <c r="O115" s="35"/>
      <c r="P115" s="35"/>
      <c r="Q115" s="154"/>
      <c r="R115" s="133"/>
      <c r="S115" s="189"/>
      <c r="T115" s="209"/>
      <c r="U115" s="209"/>
      <c r="V115" s="209"/>
      <c r="W115" s="190"/>
      <c r="X115" s="190"/>
      <c r="Y115" s="190"/>
      <c r="Z115" s="190"/>
      <c r="AA115" s="190"/>
      <c r="AB115" s="190"/>
      <c r="AC115" s="190"/>
      <c r="AD115" s="190"/>
      <c r="AE115" s="190"/>
      <c r="AF115" s="190"/>
      <c r="AG115" s="190"/>
      <c r="AH115" s="190"/>
      <c r="AI115" s="190"/>
      <c r="AJ115" s="190"/>
      <c r="AK115" s="190"/>
      <c r="AL115" s="191"/>
      <c r="AM115" s="133"/>
    </row>
    <row r="116" spans="1:39" ht="15" customHeight="1">
      <c r="A116" s="30"/>
      <c r="B116" s="147"/>
      <c r="C116" s="29" t="s">
        <v>2</v>
      </c>
      <c r="D116" s="23" t="s">
        <v>0</v>
      </c>
      <c r="E116" s="23" t="s">
        <v>1</v>
      </c>
      <c r="F116" s="23" t="s">
        <v>18</v>
      </c>
      <c r="G116" s="23" t="s">
        <v>5</v>
      </c>
      <c r="H116" s="23" t="s">
        <v>13</v>
      </c>
      <c r="I116" s="249" t="s">
        <v>46</v>
      </c>
      <c r="J116" s="250"/>
      <c r="K116" s="24" t="s">
        <v>9</v>
      </c>
      <c r="L116" s="37"/>
      <c r="M116" s="37"/>
      <c r="N116" s="37"/>
      <c r="O116" s="35"/>
      <c r="P116" s="35"/>
      <c r="Q116" s="154"/>
      <c r="R116" s="133"/>
      <c r="S116" s="189"/>
      <c r="T116" s="209"/>
      <c r="U116" s="209"/>
      <c r="V116" s="209"/>
      <c r="W116" s="190"/>
      <c r="X116" s="190"/>
      <c r="Y116" s="190"/>
      <c r="Z116" s="190"/>
      <c r="AA116" s="190"/>
      <c r="AB116" s="190"/>
      <c r="AC116" s="190"/>
      <c r="AD116" s="190"/>
      <c r="AE116" s="190"/>
      <c r="AF116" s="190"/>
      <c r="AG116" s="190"/>
      <c r="AH116" s="190"/>
      <c r="AI116" s="190"/>
      <c r="AJ116" s="190"/>
      <c r="AK116" s="190"/>
      <c r="AL116" s="191"/>
    </row>
    <row r="117" spans="1:39" ht="15" customHeight="1">
      <c r="A117" s="30"/>
      <c r="B117" s="147"/>
      <c r="C117" s="232">
        <v>1</v>
      </c>
      <c r="D117" s="87">
        <f t="shared" ref="D117:G124" si="19">G13+G26+G39+G52+G65+G78+G91+G104</f>
        <v>5325</v>
      </c>
      <c r="E117" s="87">
        <f t="shared" si="19"/>
        <v>780</v>
      </c>
      <c r="F117" s="87">
        <f t="shared" si="19"/>
        <v>199</v>
      </c>
      <c r="G117" s="234">
        <f t="shared" si="19"/>
        <v>6304</v>
      </c>
      <c r="H117" s="171">
        <f t="shared" ref="H117:H125" si="20">IF(G117&lt;&gt;0,D117/G117,0)</f>
        <v>0.84470177664974622</v>
      </c>
      <c r="I117" s="251">
        <f>G117*8</f>
        <v>50432</v>
      </c>
      <c r="J117" s="252"/>
      <c r="K117" s="97">
        <f t="shared" ref="K117:K124" si="21">M13+M26+M39+M52+M65</f>
        <v>0</v>
      </c>
      <c r="L117" s="37"/>
      <c r="M117" s="37"/>
      <c r="N117" s="37"/>
      <c r="O117" s="35"/>
      <c r="P117" s="35"/>
      <c r="Q117" s="154"/>
      <c r="R117" s="133"/>
      <c r="S117" s="189"/>
      <c r="T117" s="209"/>
      <c r="U117" s="209"/>
      <c r="V117" s="209"/>
      <c r="W117" s="190"/>
      <c r="X117" s="190"/>
      <c r="Y117" s="190"/>
      <c r="Z117" s="190"/>
      <c r="AA117" s="190"/>
      <c r="AB117" s="190"/>
      <c r="AC117" s="190"/>
      <c r="AD117" s="190"/>
      <c r="AE117" s="190"/>
      <c r="AF117" s="190"/>
      <c r="AG117" s="190"/>
      <c r="AH117" s="190"/>
      <c r="AI117" s="190"/>
      <c r="AJ117" s="190"/>
      <c r="AK117" s="190"/>
      <c r="AL117" s="191"/>
    </row>
    <row r="118" spans="1:39" ht="15" customHeight="1">
      <c r="A118" s="30"/>
      <c r="B118" s="147"/>
      <c r="C118" s="28">
        <v>2</v>
      </c>
      <c r="D118" s="127">
        <f>G14+G27+G40+G53+G66+G79+G92+G105</f>
        <v>5646</v>
      </c>
      <c r="E118" s="127">
        <f t="shared" si="19"/>
        <v>540</v>
      </c>
      <c r="F118" s="127">
        <f t="shared" si="19"/>
        <v>270</v>
      </c>
      <c r="G118" s="26">
        <f t="shared" si="19"/>
        <v>6456</v>
      </c>
      <c r="H118" s="172">
        <f t="shared" si="20"/>
        <v>0.87453531598513012</v>
      </c>
      <c r="I118" s="243">
        <f>IF(G118&lt;&gt;"",AVERAGE(G117:G118)*8,"-")</f>
        <v>51040</v>
      </c>
      <c r="J118" s="244"/>
      <c r="K118" s="98">
        <f t="shared" si="21"/>
        <v>0</v>
      </c>
      <c r="L118" s="37"/>
      <c r="M118" s="37"/>
      <c r="N118" s="37"/>
      <c r="O118" s="35"/>
      <c r="P118" s="35"/>
      <c r="Q118" s="154"/>
      <c r="R118" s="133"/>
      <c r="S118" s="189"/>
      <c r="T118" s="209"/>
      <c r="U118" s="209"/>
      <c r="V118" s="209"/>
      <c r="W118" s="190"/>
      <c r="X118" s="190"/>
      <c r="Y118" s="190"/>
      <c r="Z118" s="190"/>
      <c r="AA118" s="190"/>
      <c r="AB118" s="190"/>
      <c r="AC118" s="190"/>
      <c r="AD118" s="190"/>
      <c r="AE118" s="190"/>
      <c r="AF118" s="190"/>
      <c r="AG118" s="190"/>
      <c r="AH118" s="190"/>
      <c r="AI118" s="190"/>
      <c r="AJ118" s="190"/>
      <c r="AK118" s="190"/>
      <c r="AL118" s="191"/>
    </row>
    <row r="119" spans="1:39" ht="15" customHeight="1">
      <c r="A119" s="30"/>
      <c r="B119" s="147"/>
      <c r="C119" s="28">
        <v>3</v>
      </c>
      <c r="D119" s="127">
        <f>G15+G28+G41+G54+G67+G80+G93+G106</f>
        <v>5750</v>
      </c>
      <c r="E119" s="127">
        <f t="shared" si="19"/>
        <v>440</v>
      </c>
      <c r="F119" s="127">
        <f t="shared" si="19"/>
        <v>219</v>
      </c>
      <c r="G119" s="26">
        <f t="shared" si="19"/>
        <v>6409</v>
      </c>
      <c r="H119" s="172">
        <f t="shared" si="20"/>
        <v>0.89717584646590731</v>
      </c>
      <c r="I119" s="243">
        <f>IF(G119&lt;&gt;"",AVERAGE(G117:G119)*8,"-")</f>
        <v>51117.333333333336</v>
      </c>
      <c r="J119" s="244"/>
      <c r="K119" s="98">
        <f>M15+M28+M41+M54+M67</f>
        <v>0</v>
      </c>
      <c r="L119" s="37"/>
      <c r="M119" s="37"/>
      <c r="N119" s="37"/>
      <c r="O119" s="35"/>
      <c r="P119" s="35"/>
      <c r="Q119" s="154"/>
      <c r="R119" s="133"/>
      <c r="S119" s="189"/>
      <c r="T119" s="209"/>
      <c r="U119" s="209"/>
      <c r="V119" s="209"/>
      <c r="W119" s="190"/>
      <c r="X119" s="190"/>
      <c r="Y119" s="190"/>
      <c r="Z119" s="190"/>
      <c r="AA119" s="190"/>
      <c r="AB119" s="190"/>
      <c r="AC119" s="190"/>
      <c r="AD119" s="190"/>
      <c r="AE119" s="190"/>
      <c r="AF119" s="190"/>
      <c r="AG119" s="190"/>
      <c r="AH119" s="190"/>
      <c r="AI119" s="190"/>
      <c r="AJ119" s="190"/>
      <c r="AK119" s="190"/>
      <c r="AL119" s="191"/>
    </row>
    <row r="120" spans="1:39" ht="15" customHeight="1">
      <c r="A120" s="30"/>
      <c r="B120" s="147"/>
      <c r="C120" s="28">
        <v>4</v>
      </c>
      <c r="D120" s="127">
        <f>G16+G29+G42+G55+G68+G81+G94+G107</f>
        <v>5252</v>
      </c>
      <c r="E120" s="127">
        <f t="shared" si="19"/>
        <v>410</v>
      </c>
      <c r="F120" s="127">
        <f t="shared" si="19"/>
        <v>202</v>
      </c>
      <c r="G120" s="26">
        <f t="shared" si="19"/>
        <v>5864</v>
      </c>
      <c r="H120" s="172">
        <f t="shared" si="20"/>
        <v>0.89563437926330147</v>
      </c>
      <c r="I120" s="243">
        <f>IF(G120&lt;&gt;"",AVERAGE(G117:G120)*8,"-")</f>
        <v>50066</v>
      </c>
      <c r="J120" s="244"/>
      <c r="K120" s="98">
        <f>M16+M29+M42+M55+M68</f>
        <v>0</v>
      </c>
      <c r="L120" s="37"/>
      <c r="M120" s="37"/>
      <c r="N120" s="37"/>
      <c r="O120" s="35"/>
      <c r="P120" s="35"/>
      <c r="Q120" s="154"/>
      <c r="R120" s="133"/>
      <c r="S120" s="189"/>
      <c r="T120" s="209"/>
      <c r="U120" s="209"/>
      <c r="V120" s="209"/>
      <c r="W120" s="190"/>
      <c r="X120" s="190"/>
      <c r="Y120" s="190"/>
      <c r="Z120" s="190"/>
      <c r="AA120" s="190"/>
      <c r="AB120" s="190"/>
      <c r="AC120" s="190"/>
      <c r="AD120" s="190"/>
      <c r="AE120" s="190"/>
      <c r="AF120" s="190"/>
      <c r="AG120" s="190"/>
      <c r="AH120" s="190"/>
      <c r="AI120" s="190"/>
      <c r="AJ120" s="190"/>
      <c r="AK120" s="190"/>
      <c r="AL120" s="191"/>
    </row>
    <row r="121" spans="1:39" ht="15" customHeight="1">
      <c r="A121" s="30"/>
      <c r="B121" s="147"/>
      <c r="C121" s="28">
        <v>5</v>
      </c>
      <c r="D121" s="127">
        <f t="shared" si="19"/>
        <v>5362</v>
      </c>
      <c r="E121" s="127">
        <f t="shared" si="19"/>
        <v>430</v>
      </c>
      <c r="F121" s="127">
        <f t="shared" si="19"/>
        <v>288</v>
      </c>
      <c r="G121" s="26">
        <f t="shared" si="19"/>
        <v>6080</v>
      </c>
      <c r="H121" s="172">
        <f t="shared" si="20"/>
        <v>0.88190789473684206</v>
      </c>
      <c r="I121" s="243">
        <f>IF(G121&lt;&gt;"",AVERAGE(G117:G121)*8,"-")</f>
        <v>49780.800000000003</v>
      </c>
      <c r="J121" s="244"/>
      <c r="K121" s="98">
        <f t="shared" si="21"/>
        <v>0</v>
      </c>
      <c r="L121" s="37"/>
      <c r="M121" s="37"/>
      <c r="N121" s="37"/>
      <c r="O121" s="35"/>
      <c r="P121" s="35"/>
      <c r="Q121" s="154"/>
      <c r="R121" s="133"/>
      <c r="S121" s="189"/>
      <c r="T121" s="209"/>
      <c r="U121" s="209"/>
      <c r="V121" s="209"/>
      <c r="W121" s="190"/>
      <c r="X121" s="190"/>
      <c r="Y121" s="190"/>
      <c r="Z121" s="190"/>
      <c r="AA121" s="190"/>
      <c r="AB121" s="190"/>
      <c r="AC121" s="190"/>
      <c r="AD121" s="190"/>
      <c r="AE121" s="190"/>
      <c r="AF121" s="190"/>
      <c r="AG121" s="190"/>
      <c r="AH121" s="190"/>
      <c r="AI121" s="190"/>
      <c r="AJ121" s="190"/>
      <c r="AK121" s="190"/>
      <c r="AL121" s="191"/>
    </row>
    <row r="122" spans="1:39" ht="15" customHeight="1">
      <c r="A122" s="30"/>
      <c r="B122" s="147"/>
      <c r="C122" s="28">
        <v>6</v>
      </c>
      <c r="D122" s="127">
        <f t="shared" si="19"/>
        <v>5436</v>
      </c>
      <c r="E122" s="127">
        <f t="shared" si="19"/>
        <v>420</v>
      </c>
      <c r="F122" s="127">
        <f t="shared" si="19"/>
        <v>358</v>
      </c>
      <c r="G122" s="26">
        <f t="shared" si="19"/>
        <v>6214</v>
      </c>
      <c r="H122" s="172">
        <f t="shared" si="20"/>
        <v>0.87479884132603802</v>
      </c>
      <c r="I122" s="243">
        <f>IF(G122&lt;&gt;"",AVERAGE(G117:G122)*8,"-")</f>
        <v>49769.333333333336</v>
      </c>
      <c r="J122" s="244"/>
      <c r="K122" s="98">
        <f t="shared" si="21"/>
        <v>0</v>
      </c>
      <c r="L122" s="37"/>
      <c r="M122" s="37"/>
      <c r="N122" s="37"/>
      <c r="O122" s="35"/>
      <c r="P122" s="35"/>
      <c r="Q122" s="154"/>
      <c r="R122" s="133"/>
      <c r="S122" s="189"/>
      <c r="T122" s="209"/>
      <c r="U122" s="209"/>
      <c r="V122" s="209"/>
      <c r="W122" s="190"/>
      <c r="X122" s="190"/>
      <c r="Y122" s="190"/>
      <c r="Z122" s="190"/>
      <c r="AA122" s="190"/>
      <c r="AB122" s="190"/>
      <c r="AC122" s="190"/>
      <c r="AD122" s="190"/>
      <c r="AE122" s="190"/>
      <c r="AF122" s="190"/>
      <c r="AG122" s="190"/>
      <c r="AH122" s="190"/>
      <c r="AI122" s="190"/>
      <c r="AJ122" s="190"/>
      <c r="AK122" s="190"/>
      <c r="AL122" s="191"/>
    </row>
    <row r="123" spans="1:39" ht="15" customHeight="1">
      <c r="A123" s="30"/>
      <c r="B123" s="147"/>
      <c r="C123" s="28">
        <v>7</v>
      </c>
      <c r="D123" s="127">
        <f>G19+G32+G45+G58+G71+G84+G97+G110</f>
        <v>5294</v>
      </c>
      <c r="E123" s="127">
        <f>H19+H31+H45+H58+H71+H84+H97+H110</f>
        <v>740</v>
      </c>
      <c r="F123" s="127">
        <f t="shared" si="19"/>
        <v>416</v>
      </c>
      <c r="G123" s="26">
        <f t="shared" si="19"/>
        <v>6450</v>
      </c>
      <c r="H123" s="172">
        <f t="shared" si="20"/>
        <v>0.82077519379844965</v>
      </c>
      <c r="I123" s="243">
        <f>IF(G123&lt;&gt;"",AVERAGE(G117:G123)*8,"-")</f>
        <v>50030.857142857145</v>
      </c>
      <c r="J123" s="244"/>
      <c r="K123" s="98">
        <f t="shared" si="21"/>
        <v>0</v>
      </c>
      <c r="L123" s="37"/>
      <c r="M123" s="37"/>
      <c r="N123" s="37"/>
      <c r="O123" s="35"/>
      <c r="P123" s="35"/>
      <c r="Q123" s="154"/>
      <c r="R123" s="133"/>
      <c r="S123" s="189"/>
      <c r="T123" s="209"/>
      <c r="U123" s="209"/>
      <c r="V123" s="209"/>
      <c r="W123" s="190"/>
      <c r="X123" s="190"/>
      <c r="Y123" s="190"/>
      <c r="Z123" s="190"/>
      <c r="AA123" s="190"/>
      <c r="AB123" s="190"/>
      <c r="AC123" s="190"/>
      <c r="AD123" s="190"/>
      <c r="AE123" s="190"/>
      <c r="AF123" s="190"/>
      <c r="AG123" s="190"/>
      <c r="AH123" s="190"/>
      <c r="AI123" s="190"/>
      <c r="AJ123" s="190"/>
      <c r="AK123" s="190"/>
      <c r="AL123" s="191"/>
    </row>
    <row r="124" spans="1:39" ht="15" customHeight="1">
      <c r="A124" s="30"/>
      <c r="B124" s="147"/>
      <c r="C124" s="233">
        <v>8</v>
      </c>
      <c r="D124" s="88">
        <f>G20+G33+G46+G59+G72+G85+G98+G111</f>
        <v>4388</v>
      </c>
      <c r="E124" s="88">
        <f>H20+H32+H46+H59+H72+H85+H98+H111</f>
        <v>540</v>
      </c>
      <c r="F124" s="88">
        <f>I20+I32+I46+I59+I72+I85+I98+I111</f>
        <v>400</v>
      </c>
      <c r="G124" s="235">
        <f t="shared" si="19"/>
        <v>5325</v>
      </c>
      <c r="H124" s="192">
        <f t="shared" si="20"/>
        <v>0.82403755868544604</v>
      </c>
      <c r="I124" s="245">
        <f>IF(G124&lt;&gt;"",AVERAGE(G117:G124)*8,"-")</f>
        <v>49102</v>
      </c>
      <c r="J124" s="246"/>
      <c r="K124" s="99">
        <f t="shared" si="21"/>
        <v>0</v>
      </c>
      <c r="L124" s="37"/>
      <c r="M124" s="37"/>
      <c r="N124" s="37"/>
      <c r="O124" s="35"/>
      <c r="P124" s="35"/>
      <c r="Q124" s="154"/>
      <c r="R124" s="133"/>
      <c r="S124" s="189"/>
      <c r="T124" s="209"/>
      <c r="U124" s="209"/>
      <c r="V124" s="209"/>
      <c r="W124" s="190"/>
      <c r="X124" s="190"/>
      <c r="Y124" s="190"/>
      <c r="Z124" s="190"/>
      <c r="AA124" s="190"/>
      <c r="AB124" s="190"/>
      <c r="AC124" s="190"/>
      <c r="AD124" s="190"/>
      <c r="AE124" s="190"/>
      <c r="AF124" s="190"/>
      <c r="AG124" s="190"/>
      <c r="AH124" s="190"/>
      <c r="AI124" s="190"/>
      <c r="AJ124" s="190"/>
      <c r="AK124" s="190"/>
      <c r="AL124" s="191"/>
    </row>
    <row r="125" spans="1:39" ht="15" customHeight="1" thickBot="1">
      <c r="A125" s="30"/>
      <c r="B125" s="147"/>
      <c r="C125" s="193" t="s">
        <v>7</v>
      </c>
      <c r="D125" s="129">
        <f>SUM(D117:D124)</f>
        <v>42453</v>
      </c>
      <c r="E125" s="25">
        <f>SUM(E117:E124)</f>
        <v>4300</v>
      </c>
      <c r="F125" s="129">
        <f>SUM(F117:F124)</f>
        <v>2352</v>
      </c>
      <c r="G125" s="25">
        <f>SUM(G117:G124)</f>
        <v>49102</v>
      </c>
      <c r="H125" s="194">
        <f t="shared" si="20"/>
        <v>0.86458800048877849</v>
      </c>
      <c r="I125" s="247"/>
      <c r="J125" s="248"/>
      <c r="K125" s="27">
        <f>SUM(K117:K124)</f>
        <v>0</v>
      </c>
      <c r="L125" s="37"/>
      <c r="M125" s="37"/>
      <c r="N125" s="37"/>
      <c r="O125" s="35"/>
      <c r="P125" s="35"/>
      <c r="Q125" s="154"/>
      <c r="R125" s="133"/>
      <c r="S125" s="189"/>
      <c r="T125" s="209"/>
      <c r="U125" s="209"/>
      <c r="V125" s="209"/>
      <c r="W125" s="190"/>
      <c r="X125" s="190"/>
      <c r="Y125" s="190"/>
      <c r="Z125" s="190"/>
      <c r="AA125" s="190"/>
      <c r="AB125" s="190"/>
      <c r="AC125" s="190"/>
      <c r="AD125" s="190"/>
      <c r="AE125" s="190"/>
      <c r="AF125" s="190"/>
      <c r="AG125" s="190"/>
      <c r="AH125" s="190"/>
      <c r="AI125" s="190"/>
      <c r="AJ125" s="190"/>
      <c r="AK125" s="190"/>
      <c r="AL125" s="191"/>
    </row>
    <row r="126" spans="1:39" ht="15.75" customHeight="1" thickBot="1">
      <c r="A126" s="30"/>
      <c r="B126" s="195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196"/>
      <c r="R126" s="133"/>
      <c r="S126" s="197"/>
      <c r="T126" s="198"/>
      <c r="U126" s="198"/>
      <c r="V126" s="198"/>
      <c r="W126" s="198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  <c r="AI126" s="198"/>
      <c r="AJ126" s="198"/>
      <c r="AK126" s="198"/>
      <c r="AL126" s="199"/>
    </row>
    <row r="127" spans="1:39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133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</row>
    <row r="128" spans="1:39">
      <c r="A128" s="30"/>
      <c r="B128" s="30"/>
      <c r="C128" s="200" t="s">
        <v>64</v>
      </c>
      <c r="D128" s="20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133"/>
      <c r="AI128" s="133"/>
      <c r="AJ128" s="133"/>
      <c r="AK128" s="133"/>
      <c r="AL128" s="133"/>
    </row>
    <row r="129" spans="1:40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133"/>
      <c r="S129" s="133"/>
      <c r="T129" s="133"/>
      <c r="U129" s="133"/>
      <c r="V129" s="133"/>
      <c r="W129" s="133"/>
      <c r="X129" s="201"/>
      <c r="Y129" s="133"/>
      <c r="Z129" s="133"/>
      <c r="AA129" s="133"/>
      <c r="AB129" s="133"/>
      <c r="AC129" s="133"/>
      <c r="AD129" s="133"/>
      <c r="AE129" s="133"/>
      <c r="AF129" s="133"/>
      <c r="AG129" s="133"/>
      <c r="AH129" s="133"/>
      <c r="AI129" s="133"/>
      <c r="AJ129" s="133"/>
      <c r="AK129" s="133"/>
      <c r="AL129" s="133"/>
    </row>
    <row r="130" spans="1:40" ht="15" customHeight="1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133"/>
      <c r="S130" s="133"/>
      <c r="T130" s="230"/>
      <c r="U130" s="133"/>
      <c r="V130" s="133"/>
      <c r="W130" s="133"/>
      <c r="X130" s="61"/>
      <c r="Y130" s="133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3"/>
      <c r="AJ130" s="133"/>
      <c r="AK130" s="133"/>
      <c r="AL130" s="133"/>
    </row>
    <row r="131" spans="1:40" ht="15" customHeight="1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133"/>
      <c r="S131" s="133"/>
      <c r="T131" s="230"/>
      <c r="U131" s="201"/>
      <c r="V131" s="201"/>
      <c r="W131" s="201"/>
      <c r="X131" s="63"/>
      <c r="Y131" s="201"/>
      <c r="Z131" s="201"/>
      <c r="AA131" s="201"/>
      <c r="AB131" s="133"/>
      <c r="AC131" s="133"/>
      <c r="AD131" s="133"/>
      <c r="AE131" s="133"/>
      <c r="AF131" s="133"/>
      <c r="AG131" s="133"/>
      <c r="AH131" s="133"/>
      <c r="AI131" s="133"/>
      <c r="AJ131" s="133"/>
      <c r="AK131" s="133"/>
      <c r="AL131" s="133"/>
    </row>
    <row r="132" spans="1:40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133"/>
      <c r="S132" s="133"/>
      <c r="T132" s="61"/>
      <c r="U132" s="61"/>
      <c r="V132" s="61"/>
      <c r="W132" s="61"/>
      <c r="X132" s="63"/>
      <c r="Y132" s="61"/>
      <c r="Z132" s="61"/>
      <c r="AA132" s="61"/>
      <c r="AB132" s="61"/>
      <c r="AC132" s="133"/>
      <c r="AD132" s="133"/>
      <c r="AE132" s="133"/>
      <c r="AF132" s="133"/>
      <c r="AG132" s="133"/>
      <c r="AH132" s="133"/>
      <c r="AI132" s="133"/>
      <c r="AJ132" s="133"/>
      <c r="AK132" s="133"/>
      <c r="AL132" s="133"/>
    </row>
    <row r="133" spans="1:40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133"/>
      <c r="S133" s="133"/>
      <c r="T133" s="63"/>
      <c r="U133" s="63"/>
      <c r="V133" s="91"/>
      <c r="W133" s="91"/>
      <c r="X133" s="63"/>
      <c r="Y133" s="63"/>
      <c r="Z133" s="63"/>
      <c r="AA133" s="63"/>
      <c r="AB133" s="64"/>
      <c r="AC133" s="133"/>
      <c r="AD133" s="133"/>
      <c r="AE133" s="133"/>
      <c r="AF133" s="133"/>
      <c r="AG133" s="133"/>
      <c r="AH133" s="133"/>
      <c r="AI133" s="133"/>
      <c r="AJ133" s="133"/>
      <c r="AK133" s="133"/>
      <c r="AL133" s="133"/>
    </row>
    <row r="134" spans="1:40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133"/>
      <c r="S134" s="133"/>
      <c r="T134" s="63"/>
      <c r="U134" s="63"/>
      <c r="V134" s="91"/>
      <c r="W134" s="91"/>
      <c r="X134" s="63"/>
      <c r="Y134" s="63"/>
      <c r="Z134" s="63"/>
      <c r="AA134" s="63"/>
      <c r="AB134" s="64"/>
      <c r="AC134" s="133"/>
      <c r="AD134" s="133"/>
      <c r="AE134" s="133"/>
      <c r="AF134" s="133"/>
      <c r="AG134" s="133"/>
      <c r="AH134" s="133"/>
      <c r="AI134" s="133"/>
      <c r="AJ134" s="133"/>
      <c r="AK134" s="133"/>
      <c r="AL134" s="133"/>
    </row>
    <row r="135" spans="1:40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133"/>
      <c r="S135" s="133"/>
      <c r="T135" s="63"/>
      <c r="U135" s="63"/>
      <c r="V135" s="91"/>
      <c r="W135" s="91"/>
      <c r="X135" s="63"/>
      <c r="Y135" s="63"/>
      <c r="Z135" s="63"/>
      <c r="AA135" s="63"/>
      <c r="AB135" s="64"/>
      <c r="AC135" s="133"/>
      <c r="AD135" s="133"/>
      <c r="AE135" s="133"/>
      <c r="AF135" s="133"/>
      <c r="AG135" s="133"/>
      <c r="AH135" s="133"/>
      <c r="AI135" s="133"/>
      <c r="AJ135" s="133"/>
      <c r="AK135" s="133"/>
      <c r="AL135" s="133"/>
    </row>
    <row r="136" spans="1:40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133"/>
      <c r="S136" s="133"/>
      <c r="T136" s="63"/>
      <c r="U136" s="63"/>
      <c r="V136" s="91"/>
      <c r="W136" s="91"/>
      <c r="X136" s="63"/>
      <c r="Y136" s="63"/>
      <c r="Z136" s="63"/>
      <c r="AA136" s="63"/>
      <c r="AB136" s="64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</row>
    <row r="137" spans="1:40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133"/>
      <c r="S137" s="133"/>
      <c r="T137" s="63"/>
      <c r="U137" s="63"/>
      <c r="V137" s="91"/>
      <c r="W137" s="91"/>
      <c r="X137" s="63"/>
      <c r="Y137" s="63"/>
      <c r="Z137" s="63"/>
      <c r="AA137" s="63"/>
      <c r="AB137" s="64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</row>
    <row r="138" spans="1:40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133"/>
      <c r="S138" s="133"/>
      <c r="T138" s="63"/>
      <c r="U138" s="63"/>
      <c r="V138" s="91"/>
      <c r="W138" s="91"/>
      <c r="X138" s="63"/>
      <c r="Y138" s="63"/>
      <c r="Z138" s="63"/>
      <c r="AA138" s="63"/>
      <c r="AB138" s="64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</row>
    <row r="139" spans="1:40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133"/>
      <c r="S139" s="133"/>
      <c r="T139" s="63"/>
      <c r="U139" s="63"/>
      <c r="V139" s="91"/>
      <c r="W139" s="91"/>
      <c r="X139" s="61"/>
      <c r="Y139" s="63"/>
      <c r="Z139" s="63"/>
      <c r="AA139" s="63"/>
      <c r="AB139" s="64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</row>
    <row r="140" spans="1:40" s="134" customFormat="1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133"/>
      <c r="S140" s="133"/>
      <c r="T140" s="63"/>
      <c r="U140" s="63"/>
      <c r="V140" s="91"/>
      <c r="W140" s="91"/>
      <c r="X140" s="133"/>
      <c r="Y140" s="63"/>
      <c r="Z140" s="63"/>
      <c r="AA140" s="63"/>
      <c r="AB140" s="64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30"/>
      <c r="AN140" s="30"/>
    </row>
    <row r="141" spans="1:40" s="134" customFormat="1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133"/>
      <c r="S141" s="133"/>
      <c r="T141" s="61"/>
      <c r="U141" s="61"/>
      <c r="V141" s="61"/>
      <c r="W141" s="61"/>
      <c r="X141" s="133"/>
      <c r="Y141" s="61"/>
      <c r="Z141" s="61"/>
      <c r="AA141" s="61"/>
      <c r="AB141" s="65"/>
      <c r="AC141" s="133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30"/>
      <c r="AN141" s="30"/>
    </row>
    <row r="142" spans="1:40" s="134" customFormat="1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133"/>
      <c r="S142" s="133"/>
      <c r="T142" s="133"/>
      <c r="U142" s="133"/>
      <c r="V142" s="133"/>
      <c r="W142" s="133"/>
      <c r="X142" s="201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30"/>
      <c r="AN142" s="30"/>
    </row>
    <row r="143" spans="1:40" s="134" customFormat="1" ht="15" customHeight="1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133"/>
      <c r="S143" s="133"/>
      <c r="T143" s="230"/>
      <c r="U143" s="133"/>
      <c r="V143" s="133"/>
      <c r="W143" s="133"/>
      <c r="X143" s="61"/>
      <c r="Y143" s="133"/>
      <c r="Z143" s="133"/>
      <c r="AA143" s="133"/>
      <c r="AB143" s="133"/>
      <c r="AC143" s="133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30"/>
      <c r="AN143" s="30"/>
    </row>
    <row r="144" spans="1:40" s="134" customFormat="1" ht="15" customHeight="1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133"/>
      <c r="S144" s="133"/>
      <c r="T144" s="230"/>
      <c r="U144" s="202"/>
      <c r="V144" s="201"/>
      <c r="W144" s="201"/>
      <c r="X144" s="66"/>
      <c r="Y144" s="201"/>
      <c r="Z144" s="201"/>
      <c r="AA144" s="201"/>
      <c r="AB144" s="201"/>
      <c r="AC144" s="133"/>
      <c r="AD144" s="133"/>
      <c r="AE144" s="133"/>
      <c r="AF144" s="133"/>
      <c r="AG144" s="133"/>
      <c r="AH144" s="133"/>
      <c r="AI144" s="133"/>
      <c r="AJ144" s="133"/>
      <c r="AK144" s="133"/>
      <c r="AL144" s="133"/>
      <c r="AM144" s="30"/>
      <c r="AN144" s="30"/>
    </row>
    <row r="145" spans="1:40" s="134" customFormat="1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133"/>
      <c r="S145" s="133"/>
      <c r="T145" s="61"/>
      <c r="U145" s="61"/>
      <c r="V145" s="61"/>
      <c r="W145" s="61"/>
      <c r="X145" s="66"/>
      <c r="Y145" s="61"/>
      <c r="Z145" s="61"/>
      <c r="AA145" s="61"/>
      <c r="AB145" s="61"/>
      <c r="AC145" s="133"/>
      <c r="AD145" s="133"/>
      <c r="AE145" s="133"/>
      <c r="AF145" s="133"/>
      <c r="AG145" s="133"/>
      <c r="AH145" s="133"/>
      <c r="AI145" s="133"/>
      <c r="AJ145" s="133"/>
      <c r="AK145" s="133"/>
      <c r="AL145" s="133"/>
      <c r="AM145" s="30"/>
      <c r="AN145" s="30"/>
    </row>
    <row r="146" spans="1:40" s="134" customFormat="1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133"/>
      <c r="S146" s="133"/>
      <c r="T146" s="66"/>
      <c r="U146" s="66"/>
      <c r="V146" s="92"/>
      <c r="W146" s="92"/>
      <c r="X146" s="66"/>
      <c r="Y146" s="66"/>
      <c r="Z146" s="66"/>
      <c r="AA146" s="66"/>
      <c r="AB146" s="67"/>
      <c r="AC146" s="133"/>
      <c r="AD146" s="133"/>
      <c r="AE146" s="133"/>
      <c r="AF146" s="133"/>
      <c r="AG146" s="133"/>
      <c r="AH146" s="133"/>
      <c r="AI146" s="133"/>
      <c r="AJ146" s="133"/>
      <c r="AK146" s="133"/>
      <c r="AL146" s="133"/>
      <c r="AM146" s="30"/>
      <c r="AN146" s="30"/>
    </row>
    <row r="147" spans="1:40" s="134" customFormat="1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133"/>
      <c r="S147" s="133"/>
      <c r="T147" s="66"/>
      <c r="U147" s="66"/>
      <c r="V147" s="92"/>
      <c r="W147" s="92"/>
      <c r="X147" s="66"/>
      <c r="Y147" s="66"/>
      <c r="Z147" s="66"/>
      <c r="AA147" s="66"/>
      <c r="AB147" s="67"/>
      <c r="AC147" s="133"/>
      <c r="AD147" s="133"/>
      <c r="AE147" s="133"/>
      <c r="AF147" s="133"/>
      <c r="AG147" s="133"/>
      <c r="AH147" s="133"/>
      <c r="AI147" s="133"/>
      <c r="AJ147" s="133"/>
      <c r="AK147" s="133"/>
      <c r="AL147" s="133"/>
      <c r="AM147" s="30"/>
      <c r="AN147" s="30"/>
    </row>
    <row r="148" spans="1:40" s="134" customFormat="1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133"/>
      <c r="S148" s="133"/>
      <c r="T148" s="66"/>
      <c r="U148" s="66"/>
      <c r="V148" s="92"/>
      <c r="W148" s="92"/>
      <c r="X148" s="66"/>
      <c r="Y148" s="66"/>
      <c r="Z148" s="66"/>
      <c r="AA148" s="66"/>
      <c r="AB148" s="67"/>
      <c r="AC148" s="133"/>
      <c r="AD148" s="133"/>
      <c r="AE148" s="133"/>
      <c r="AF148" s="133"/>
      <c r="AG148" s="133"/>
      <c r="AH148" s="133"/>
      <c r="AI148" s="133"/>
      <c r="AJ148" s="133"/>
      <c r="AK148" s="133"/>
      <c r="AL148" s="133"/>
      <c r="AM148" s="30"/>
      <c r="AN148" s="30"/>
    </row>
    <row r="149" spans="1:40" s="134" customFormat="1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133"/>
      <c r="S149" s="133"/>
      <c r="T149" s="66"/>
      <c r="U149" s="66"/>
      <c r="V149" s="92"/>
      <c r="W149" s="92"/>
      <c r="X149" s="66"/>
      <c r="Y149" s="66"/>
      <c r="Z149" s="66"/>
      <c r="AA149" s="66"/>
      <c r="AB149" s="67"/>
      <c r="AC149" s="133"/>
      <c r="AD149" s="133"/>
      <c r="AE149" s="133"/>
      <c r="AF149" s="133"/>
      <c r="AG149" s="133"/>
      <c r="AH149" s="133"/>
      <c r="AI149" s="133"/>
      <c r="AJ149" s="133"/>
      <c r="AK149" s="133"/>
      <c r="AL149" s="133"/>
      <c r="AM149" s="30"/>
      <c r="AN149" s="30"/>
    </row>
    <row r="150" spans="1:40" s="134" customFormat="1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133"/>
      <c r="S150" s="133"/>
      <c r="T150" s="66"/>
      <c r="U150" s="66"/>
      <c r="V150" s="92"/>
      <c r="W150" s="92"/>
      <c r="X150" s="66"/>
      <c r="Y150" s="66"/>
      <c r="Z150" s="66"/>
      <c r="AA150" s="66"/>
      <c r="AB150" s="67"/>
      <c r="AC150" s="133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30"/>
      <c r="AN150" s="30"/>
    </row>
    <row r="151" spans="1:40" s="134" customFormat="1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133"/>
      <c r="S151" s="133"/>
      <c r="T151" s="66"/>
      <c r="U151" s="66"/>
      <c r="V151" s="92"/>
      <c r="W151" s="92"/>
      <c r="X151" s="66"/>
      <c r="Y151" s="66"/>
      <c r="Z151" s="66"/>
      <c r="AA151" s="66"/>
      <c r="AB151" s="67"/>
      <c r="AC151" s="133"/>
      <c r="AD151" s="133"/>
      <c r="AE151" s="133"/>
      <c r="AF151" s="133"/>
      <c r="AG151" s="133"/>
      <c r="AH151" s="133"/>
      <c r="AI151" s="133"/>
      <c r="AJ151" s="133"/>
      <c r="AK151" s="133"/>
      <c r="AL151" s="133"/>
      <c r="AM151" s="30"/>
      <c r="AN151" s="30"/>
    </row>
    <row r="152" spans="1:40" s="134" customFormat="1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133"/>
      <c r="S152" s="133"/>
      <c r="T152" s="66"/>
      <c r="U152" s="66"/>
      <c r="V152" s="92"/>
      <c r="W152" s="92"/>
      <c r="X152" s="61"/>
      <c r="Y152" s="66"/>
      <c r="Z152" s="66"/>
      <c r="AA152" s="66"/>
      <c r="AB152" s="67"/>
      <c r="AC152" s="133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30"/>
      <c r="AN152" s="30"/>
    </row>
    <row r="153" spans="1:40" s="134" customFormat="1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133"/>
      <c r="S153" s="133"/>
      <c r="T153" s="66"/>
      <c r="U153" s="66"/>
      <c r="V153" s="92"/>
      <c r="W153" s="92"/>
      <c r="X153" s="133"/>
      <c r="Y153" s="66"/>
      <c r="Z153" s="66"/>
      <c r="AA153" s="66"/>
      <c r="AB153" s="67"/>
      <c r="AC153" s="133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30"/>
      <c r="AN153" s="30"/>
    </row>
    <row r="154" spans="1:40" s="134" customFormat="1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133"/>
      <c r="S154" s="133"/>
      <c r="T154" s="61"/>
      <c r="U154" s="61"/>
      <c r="V154" s="61"/>
      <c r="W154" s="61"/>
      <c r="X154" s="133"/>
      <c r="Y154" s="61"/>
      <c r="Z154" s="61"/>
      <c r="AA154" s="61"/>
      <c r="AB154" s="65"/>
      <c r="AC154" s="133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30"/>
      <c r="AN154" s="30"/>
    </row>
    <row r="155" spans="1:40" s="134" customFormat="1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133"/>
      <c r="S155" s="133"/>
      <c r="T155" s="133"/>
      <c r="U155" s="133"/>
      <c r="V155" s="133"/>
      <c r="W155" s="133"/>
      <c r="X155" s="201"/>
      <c r="Y155" s="133"/>
      <c r="Z155" s="133"/>
      <c r="AA155" s="133"/>
      <c r="AB155" s="133"/>
      <c r="AC155" s="133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30"/>
      <c r="AN155" s="30"/>
    </row>
    <row r="156" spans="1:40" s="134" customFormat="1" ht="15" customHeight="1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133"/>
      <c r="S156" s="133"/>
      <c r="T156" s="230"/>
      <c r="U156" s="230"/>
      <c r="V156" s="133"/>
      <c r="W156" s="133"/>
      <c r="X156" s="61"/>
      <c r="Y156" s="133"/>
      <c r="Z156" s="133"/>
      <c r="AA156" s="133"/>
      <c r="AB156" s="133"/>
      <c r="AC156" s="133"/>
      <c r="AD156" s="133"/>
      <c r="AE156" s="133"/>
      <c r="AF156" s="133"/>
      <c r="AG156" s="133"/>
      <c r="AH156" s="133"/>
      <c r="AI156" s="133"/>
      <c r="AJ156" s="133"/>
      <c r="AK156" s="133"/>
      <c r="AL156" s="133"/>
      <c r="AM156" s="30"/>
      <c r="AN156" s="30"/>
    </row>
    <row r="157" spans="1:40" s="134" customFormat="1" ht="15" customHeight="1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133"/>
      <c r="S157" s="133"/>
      <c r="T157" s="230"/>
      <c r="U157" s="230"/>
      <c r="V157" s="201"/>
      <c r="W157" s="201"/>
      <c r="X157" s="63"/>
      <c r="Y157" s="201"/>
      <c r="Z157" s="201"/>
      <c r="AA157" s="201"/>
      <c r="AB157" s="133"/>
      <c r="AC157" s="133"/>
      <c r="AD157" s="133"/>
      <c r="AE157" s="133"/>
      <c r="AF157" s="133"/>
      <c r="AG157" s="133"/>
      <c r="AH157" s="133"/>
      <c r="AI157" s="133"/>
      <c r="AJ157" s="133"/>
      <c r="AK157" s="133"/>
      <c r="AL157" s="133"/>
      <c r="AM157" s="30"/>
      <c r="AN157" s="30"/>
    </row>
    <row r="158" spans="1:40" s="134" customFormat="1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133"/>
      <c r="S158" s="133"/>
      <c r="T158" s="61"/>
      <c r="U158" s="61"/>
      <c r="V158" s="61"/>
      <c r="W158" s="61"/>
      <c r="X158" s="63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133"/>
      <c r="AM158" s="30" t="s">
        <v>83</v>
      </c>
      <c r="AN158" s="30"/>
    </row>
    <row r="159" spans="1:40" s="134" customFormat="1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133"/>
      <c r="S159" s="133"/>
      <c r="T159" s="63"/>
      <c r="U159" s="63"/>
      <c r="V159" s="63"/>
      <c r="W159" s="63"/>
      <c r="X159" s="63"/>
      <c r="Y159" s="63"/>
      <c r="Z159" s="63"/>
      <c r="AA159" s="63"/>
      <c r="AB159" s="64"/>
      <c r="AC159" s="64"/>
      <c r="AD159" s="64"/>
      <c r="AE159" s="63"/>
      <c r="AF159" s="63"/>
      <c r="AG159" s="64"/>
      <c r="AH159" s="64"/>
      <c r="AI159" s="64"/>
      <c r="AJ159" s="64"/>
      <c r="AK159" s="64"/>
      <c r="AL159" s="133"/>
      <c r="AM159" s="30"/>
      <c r="AN159" s="30"/>
    </row>
    <row r="160" spans="1:40" s="134" customFormat="1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133"/>
      <c r="S160" s="133"/>
      <c r="T160" s="63"/>
      <c r="U160" s="63"/>
      <c r="V160" s="63"/>
      <c r="W160" s="63"/>
      <c r="X160" s="63"/>
      <c r="Y160" s="63"/>
      <c r="Z160" s="63"/>
      <c r="AA160" s="63"/>
      <c r="AB160" s="64"/>
      <c r="AC160" s="64"/>
      <c r="AD160" s="64"/>
      <c r="AE160" s="63"/>
      <c r="AF160" s="63"/>
      <c r="AG160" s="64"/>
      <c r="AH160" s="64"/>
      <c r="AI160" s="64"/>
      <c r="AJ160" s="64"/>
      <c r="AK160" s="64"/>
      <c r="AL160" s="133"/>
      <c r="AM160" s="30"/>
      <c r="AN160" s="30"/>
    </row>
    <row r="161" spans="1:40" s="134" customFormat="1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133"/>
      <c r="S161" s="133"/>
      <c r="T161" s="63"/>
      <c r="U161" s="63"/>
      <c r="V161" s="91"/>
      <c r="W161" s="91"/>
      <c r="X161" s="63"/>
      <c r="Y161" s="63"/>
      <c r="Z161" s="63"/>
      <c r="AA161" s="63"/>
      <c r="AB161" s="64"/>
      <c r="AC161" s="64"/>
      <c r="AD161" s="64"/>
      <c r="AE161" s="63"/>
      <c r="AF161" s="63"/>
      <c r="AG161" s="64"/>
      <c r="AH161" s="64"/>
      <c r="AI161" s="64"/>
      <c r="AJ161" s="64"/>
      <c r="AK161" s="64"/>
      <c r="AL161" s="133"/>
      <c r="AM161" s="30"/>
      <c r="AN161" s="30"/>
    </row>
    <row r="162" spans="1:40" s="134" customFormat="1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133"/>
      <c r="S162" s="133"/>
      <c r="T162" s="63"/>
      <c r="U162" s="63"/>
      <c r="V162" s="63"/>
      <c r="W162" s="63"/>
      <c r="X162" s="63"/>
      <c r="Y162" s="63"/>
      <c r="Z162" s="63"/>
      <c r="AA162" s="63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133"/>
      <c r="AM162" s="30"/>
      <c r="AN162" s="30"/>
    </row>
    <row r="163" spans="1:40" s="134" customFormat="1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133"/>
      <c r="S163" s="133"/>
      <c r="T163" s="61"/>
      <c r="U163" s="63"/>
      <c r="V163" s="63"/>
      <c r="W163" s="63"/>
      <c r="X163" s="63"/>
      <c r="Y163" s="63"/>
      <c r="Z163" s="63"/>
      <c r="AA163" s="63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133"/>
      <c r="AM163" s="30"/>
      <c r="AN163" s="30"/>
    </row>
    <row r="164" spans="1:40" s="134" customFormat="1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133"/>
      <c r="S164" s="133"/>
      <c r="T164" s="61"/>
      <c r="U164" s="63"/>
      <c r="V164" s="63"/>
      <c r="W164" s="63"/>
      <c r="X164" s="63"/>
      <c r="Y164" s="63"/>
      <c r="Z164" s="63"/>
      <c r="AA164" s="63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133"/>
      <c r="AM164" s="30"/>
      <c r="AN164" s="30"/>
    </row>
    <row r="165" spans="1:40" s="134" customFormat="1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133"/>
      <c r="S165" s="133"/>
      <c r="T165" s="63"/>
      <c r="U165" s="63"/>
      <c r="V165" s="63"/>
      <c r="W165" s="63"/>
      <c r="X165" s="63"/>
      <c r="Y165" s="63"/>
      <c r="Z165" s="63"/>
      <c r="AA165" s="63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133"/>
      <c r="AM165" s="30"/>
      <c r="AN165" s="30"/>
    </row>
    <row r="166" spans="1:40" s="134" customFormat="1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133"/>
      <c r="S166" s="133"/>
      <c r="T166" s="63"/>
      <c r="U166" s="63"/>
      <c r="V166" s="63"/>
      <c r="W166" s="63"/>
      <c r="X166" s="63"/>
      <c r="Y166" s="63"/>
      <c r="Z166" s="63"/>
      <c r="AA166" s="63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133"/>
      <c r="AM166" s="30"/>
      <c r="AN166" s="30"/>
    </row>
    <row r="167" spans="1:40" s="134" customFormat="1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133"/>
      <c r="S167" s="133"/>
      <c r="T167" s="63"/>
      <c r="U167" s="63"/>
      <c r="V167" s="63"/>
      <c r="W167" s="63"/>
      <c r="X167" s="63"/>
      <c r="Y167" s="63"/>
      <c r="Z167" s="63"/>
      <c r="AA167" s="63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133"/>
      <c r="AM167" s="30"/>
      <c r="AN167" s="30"/>
    </row>
    <row r="168" spans="1:40">
      <c r="S168" s="133"/>
      <c r="T168" s="63"/>
      <c r="U168" s="63"/>
      <c r="V168" s="63"/>
      <c r="W168" s="63"/>
      <c r="X168" s="63"/>
      <c r="Y168" s="63"/>
      <c r="Z168" s="63"/>
      <c r="AA168" s="63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133"/>
    </row>
    <row r="169" spans="1:40">
      <c r="S169" s="133"/>
      <c r="T169" s="63"/>
      <c r="U169" s="63"/>
      <c r="V169" s="63"/>
      <c r="W169" s="63"/>
      <c r="X169" s="63"/>
      <c r="Y169" s="63"/>
      <c r="Z169" s="63"/>
      <c r="AA169" s="63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133"/>
    </row>
    <row r="170" spans="1:40">
      <c r="S170" s="133"/>
      <c r="T170" s="63"/>
      <c r="U170" s="63"/>
      <c r="V170" s="63"/>
      <c r="W170" s="63"/>
      <c r="X170" s="61"/>
      <c r="Y170" s="63"/>
      <c r="Z170" s="63"/>
      <c r="AA170" s="63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133"/>
    </row>
    <row r="171" spans="1:40">
      <c r="S171" s="133"/>
      <c r="T171" s="63"/>
      <c r="U171" s="63"/>
      <c r="V171" s="63"/>
      <c r="W171" s="63"/>
      <c r="X171" s="133"/>
      <c r="Y171" s="63"/>
      <c r="Z171" s="63"/>
      <c r="AA171" s="63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133"/>
    </row>
    <row r="172" spans="1:40">
      <c r="S172" s="133"/>
      <c r="T172" s="61"/>
      <c r="U172" s="61"/>
      <c r="V172" s="61"/>
      <c r="W172" s="61"/>
      <c r="X172" s="133"/>
      <c r="Y172" s="65"/>
      <c r="Z172" s="65"/>
      <c r="AA172" s="65"/>
      <c r="AB172" s="65"/>
      <c r="AC172" s="65"/>
      <c r="AD172" s="65"/>
      <c r="AE172" s="65"/>
      <c r="AF172" s="65"/>
      <c r="AG172" s="65"/>
      <c r="AH172" s="65"/>
      <c r="AI172" s="65"/>
      <c r="AJ172" s="65"/>
      <c r="AK172" s="65"/>
      <c r="AL172" s="133"/>
    </row>
    <row r="173" spans="1:40"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  <c r="AC173" s="133"/>
      <c r="AD173" s="133"/>
      <c r="AE173" s="133"/>
      <c r="AF173" s="133"/>
      <c r="AG173" s="133"/>
      <c r="AH173" s="133"/>
      <c r="AI173" s="133"/>
      <c r="AJ173" s="133"/>
      <c r="AK173" s="133"/>
      <c r="AL173" s="133"/>
    </row>
    <row r="174" spans="1:40" ht="15" customHeight="1">
      <c r="S174" s="133"/>
      <c r="T174" s="230"/>
      <c r="U174" s="133"/>
      <c r="V174" s="133"/>
      <c r="W174" s="133"/>
      <c r="X174" s="62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</row>
    <row r="175" spans="1:40" ht="15" customHeight="1">
      <c r="S175" s="133"/>
      <c r="T175" s="230"/>
      <c r="U175" s="133"/>
      <c r="V175" s="133"/>
      <c r="W175" s="133"/>
      <c r="X175" s="63"/>
      <c r="Y175" s="133"/>
      <c r="Z175" s="133"/>
      <c r="AA175" s="133"/>
      <c r="AB175" s="133"/>
      <c r="AC175" s="133"/>
      <c r="AD175" s="133"/>
      <c r="AE175" s="133"/>
      <c r="AF175" s="133"/>
      <c r="AG175" s="133"/>
      <c r="AH175" s="133"/>
      <c r="AI175" s="133"/>
      <c r="AJ175" s="133"/>
      <c r="AK175" s="133"/>
      <c r="AL175" s="133"/>
    </row>
    <row r="176" spans="1:40">
      <c r="S176" s="133"/>
      <c r="T176" s="62"/>
      <c r="U176" s="62"/>
      <c r="V176" s="62"/>
      <c r="W176" s="62"/>
      <c r="X176" s="63"/>
      <c r="Y176" s="62"/>
      <c r="Z176" s="133"/>
      <c r="AA176" s="133"/>
      <c r="AB176" s="133"/>
      <c r="AC176" s="133"/>
      <c r="AD176" s="133"/>
      <c r="AE176" s="133"/>
      <c r="AF176" s="133"/>
      <c r="AG176" s="133"/>
      <c r="AH176" s="133"/>
      <c r="AI176" s="133"/>
      <c r="AJ176" s="133"/>
      <c r="AK176" s="133"/>
      <c r="AL176" s="133"/>
    </row>
    <row r="177" spans="19:38">
      <c r="S177" s="133"/>
      <c r="T177" s="63"/>
      <c r="U177" s="63"/>
      <c r="V177" s="63"/>
      <c r="W177" s="63"/>
      <c r="X177" s="63"/>
      <c r="Y177" s="64"/>
      <c r="Z177" s="133"/>
      <c r="AA177" s="133"/>
      <c r="AB177" s="133"/>
      <c r="AC177" s="133"/>
      <c r="AD177" s="133"/>
      <c r="AE177" s="133"/>
      <c r="AF177" s="133"/>
      <c r="AG177" s="133"/>
      <c r="AH177" s="133"/>
      <c r="AI177" s="133"/>
      <c r="AJ177" s="133"/>
      <c r="AK177" s="133"/>
      <c r="AL177" s="133"/>
    </row>
    <row r="178" spans="19:38">
      <c r="S178" s="133"/>
      <c r="T178" s="63"/>
      <c r="U178" s="63"/>
      <c r="V178" s="63"/>
      <c r="W178" s="63"/>
      <c r="X178" s="61"/>
      <c r="Y178" s="64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133"/>
      <c r="AJ178" s="133"/>
      <c r="AK178" s="133"/>
      <c r="AL178" s="133"/>
    </row>
    <row r="179" spans="19:38">
      <c r="S179" s="133"/>
      <c r="T179" s="63"/>
      <c r="U179" s="63"/>
      <c r="V179" s="63"/>
      <c r="W179" s="63"/>
      <c r="X179" s="133"/>
      <c r="Y179" s="64"/>
      <c r="Z179" s="133"/>
      <c r="AA179" s="133"/>
      <c r="AB179" s="133"/>
      <c r="AC179" s="133"/>
      <c r="AD179" s="133"/>
      <c r="AE179" s="133"/>
      <c r="AF179" s="133"/>
      <c r="AG179" s="133"/>
      <c r="AH179" s="133"/>
      <c r="AI179" s="133"/>
      <c r="AJ179" s="133"/>
      <c r="AK179" s="133"/>
      <c r="AL179" s="133"/>
    </row>
    <row r="180" spans="19:38">
      <c r="S180" s="133"/>
      <c r="T180" s="61"/>
      <c r="U180" s="61"/>
      <c r="V180" s="61"/>
      <c r="W180" s="61"/>
      <c r="X180" s="133"/>
      <c r="Y180" s="65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</row>
    <row r="181" spans="19:38"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  <c r="AC181" s="133"/>
      <c r="AD181" s="133"/>
      <c r="AE181" s="133"/>
      <c r="AF181" s="133"/>
      <c r="AG181" s="133"/>
      <c r="AH181" s="133"/>
      <c r="AI181" s="133"/>
      <c r="AJ181" s="133"/>
      <c r="AK181" s="133"/>
      <c r="AL181" s="133"/>
    </row>
    <row r="182" spans="19:38"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  <c r="AC182" s="133"/>
      <c r="AD182" s="133"/>
      <c r="AE182" s="133"/>
      <c r="AF182" s="133"/>
      <c r="AG182" s="133"/>
      <c r="AH182" s="133"/>
      <c r="AI182" s="133"/>
      <c r="AJ182" s="133"/>
      <c r="AK182" s="133"/>
      <c r="AL182" s="133"/>
    </row>
    <row r="338" spans="9:9">
      <c r="I338" s="39" t="s">
        <v>59</v>
      </c>
    </row>
  </sheetData>
  <sheetProtection password="CFD7" sheet="1" objects="1" scenarios="1" selectLockedCells="1"/>
  <mergeCells count="161">
    <mergeCell ref="I122:J122"/>
    <mergeCell ref="I123:J123"/>
    <mergeCell ref="I124:J124"/>
    <mergeCell ref="I125:J125"/>
    <mergeCell ref="I116:J116"/>
    <mergeCell ref="I117:J117"/>
    <mergeCell ref="I118:J118"/>
    <mergeCell ref="I119:J119"/>
    <mergeCell ref="I120:J120"/>
    <mergeCell ref="I121:J121"/>
    <mergeCell ref="C88:C89"/>
    <mergeCell ref="D88:D89"/>
    <mergeCell ref="C101:C102"/>
    <mergeCell ref="D101:D102"/>
    <mergeCell ref="C114:C115"/>
    <mergeCell ref="D114:D115"/>
    <mergeCell ref="Y83:AA83"/>
    <mergeCell ref="AH83:AI83"/>
    <mergeCell ref="AJ83:AK83"/>
    <mergeCell ref="Y84:AA84"/>
    <mergeCell ref="AH84:AI84"/>
    <mergeCell ref="AJ84:AK84"/>
    <mergeCell ref="Y81:AA81"/>
    <mergeCell ref="AH81:AI81"/>
    <mergeCell ref="AJ81:AK81"/>
    <mergeCell ref="Y82:AA82"/>
    <mergeCell ref="AH82:AI82"/>
    <mergeCell ref="AJ82:AK82"/>
    <mergeCell ref="Y79:AA79"/>
    <mergeCell ref="AH79:AI79"/>
    <mergeCell ref="AJ79:AK79"/>
    <mergeCell ref="Y80:AA80"/>
    <mergeCell ref="AH80:AI80"/>
    <mergeCell ref="AJ80:AK80"/>
    <mergeCell ref="Y77:AA77"/>
    <mergeCell ref="AH77:AI77"/>
    <mergeCell ref="AJ77:AK77"/>
    <mergeCell ref="Y78:AA78"/>
    <mergeCell ref="AH78:AI78"/>
    <mergeCell ref="AJ78:AK78"/>
    <mergeCell ref="C75:C76"/>
    <mergeCell ref="D75:D76"/>
    <mergeCell ref="Y75:AA75"/>
    <mergeCell ref="AH75:AI75"/>
    <mergeCell ref="AJ75:AK75"/>
    <mergeCell ref="Y76:AA76"/>
    <mergeCell ref="AH76:AI76"/>
    <mergeCell ref="AJ76:AK76"/>
    <mergeCell ref="T69:T70"/>
    <mergeCell ref="AD69:AD70"/>
    <mergeCell ref="AF69:AH70"/>
    <mergeCell ref="AF71:AH71"/>
    <mergeCell ref="T73:V74"/>
    <mergeCell ref="AC73:AE74"/>
    <mergeCell ref="T65:T66"/>
    <mergeCell ref="AD65:AD66"/>
    <mergeCell ref="AF65:AH66"/>
    <mergeCell ref="T67:T68"/>
    <mergeCell ref="AD67:AD68"/>
    <mergeCell ref="AF67:AH68"/>
    <mergeCell ref="T61:T62"/>
    <mergeCell ref="AD61:AD62"/>
    <mergeCell ref="AF61:AH62"/>
    <mergeCell ref="C62:C63"/>
    <mergeCell ref="D62:D63"/>
    <mergeCell ref="T63:T64"/>
    <mergeCell ref="AD63:AD64"/>
    <mergeCell ref="AF63:AH64"/>
    <mergeCell ref="T57:T58"/>
    <mergeCell ref="AD57:AD58"/>
    <mergeCell ref="AF57:AH58"/>
    <mergeCell ref="T59:T60"/>
    <mergeCell ref="AD59:AD60"/>
    <mergeCell ref="AF59:AH60"/>
    <mergeCell ref="C49:C50"/>
    <mergeCell ref="D49:D50"/>
    <mergeCell ref="AD50:AF50"/>
    <mergeCell ref="T52:V53"/>
    <mergeCell ref="AF54:AH54"/>
    <mergeCell ref="T55:T56"/>
    <mergeCell ref="AD55:AD56"/>
    <mergeCell ref="AF55:AH56"/>
    <mergeCell ref="T46:T47"/>
    <mergeCell ref="AA46:AA47"/>
    <mergeCell ref="AC46:AC47"/>
    <mergeCell ref="AD46:AF47"/>
    <mergeCell ref="T48:T49"/>
    <mergeCell ref="AA48:AA49"/>
    <mergeCell ref="AC48:AC49"/>
    <mergeCell ref="AD48:AF49"/>
    <mergeCell ref="T42:T43"/>
    <mergeCell ref="AA42:AA43"/>
    <mergeCell ref="AC42:AC43"/>
    <mergeCell ref="AD42:AF43"/>
    <mergeCell ref="T44:T45"/>
    <mergeCell ref="AA44:AA45"/>
    <mergeCell ref="AC44:AC45"/>
    <mergeCell ref="AD44:AF45"/>
    <mergeCell ref="T38:T39"/>
    <mergeCell ref="AA38:AA39"/>
    <mergeCell ref="AC38:AC39"/>
    <mergeCell ref="AD38:AF39"/>
    <mergeCell ref="T40:T41"/>
    <mergeCell ref="AA40:AA41"/>
    <mergeCell ref="AC40:AC41"/>
    <mergeCell ref="AD40:AF41"/>
    <mergeCell ref="C36:C37"/>
    <mergeCell ref="D36:D37"/>
    <mergeCell ref="T36:T37"/>
    <mergeCell ref="AA36:AA37"/>
    <mergeCell ref="AC36:AC37"/>
    <mergeCell ref="AD36:AF37"/>
    <mergeCell ref="AD29:AF29"/>
    <mergeCell ref="T31:V32"/>
    <mergeCell ref="AD33:AF33"/>
    <mergeCell ref="T34:T35"/>
    <mergeCell ref="AA34:AA35"/>
    <mergeCell ref="AC34:AC35"/>
    <mergeCell ref="AD34:AF35"/>
    <mergeCell ref="T25:T26"/>
    <mergeCell ref="AA25:AA26"/>
    <mergeCell ref="AC25:AC26"/>
    <mergeCell ref="AD25:AF26"/>
    <mergeCell ref="T27:T28"/>
    <mergeCell ref="AA27:AA28"/>
    <mergeCell ref="AC27:AC28"/>
    <mergeCell ref="AD27:AF28"/>
    <mergeCell ref="T21:T22"/>
    <mergeCell ref="AA21:AA22"/>
    <mergeCell ref="AC21:AC22"/>
    <mergeCell ref="AD21:AF22"/>
    <mergeCell ref="C23:C24"/>
    <mergeCell ref="D23:D24"/>
    <mergeCell ref="T23:T24"/>
    <mergeCell ref="AA23:AA24"/>
    <mergeCell ref="AC23:AC24"/>
    <mergeCell ref="AD23:AF24"/>
    <mergeCell ref="T17:T18"/>
    <mergeCell ref="AA17:AA18"/>
    <mergeCell ref="AC17:AC18"/>
    <mergeCell ref="AD17:AF18"/>
    <mergeCell ref="T19:T20"/>
    <mergeCell ref="AA19:AA20"/>
    <mergeCell ref="AC19:AC20"/>
    <mergeCell ref="AD19:AF20"/>
    <mergeCell ref="AD12:AF12"/>
    <mergeCell ref="T13:T14"/>
    <mergeCell ref="AA13:AA14"/>
    <mergeCell ref="AC13:AC14"/>
    <mergeCell ref="AD13:AF14"/>
    <mergeCell ref="T15:T16"/>
    <mergeCell ref="AA15:AA16"/>
    <mergeCell ref="AC15:AC16"/>
    <mergeCell ref="AD15:AF16"/>
    <mergeCell ref="E7:F8"/>
    <mergeCell ref="W7:Y8"/>
    <mergeCell ref="AF7:AG7"/>
    <mergeCell ref="AF8:AG8"/>
    <mergeCell ref="C10:C11"/>
    <mergeCell ref="D10:D11"/>
    <mergeCell ref="T10:V11"/>
  </mergeCells>
  <conditionalFormatting sqref="K8 D10 K13:K21 D23 D36 K39:K47 D49 D62 K65:K73 D114 H117:H125 K26:K34 K52:K60">
    <cfRule type="cellIs" dxfId="7271" priority="2727" operator="greaterThanOrEqual">
      <formula>$L$8</formula>
    </cfRule>
  </conditionalFormatting>
  <conditionalFormatting sqref="K8 D10 K13:K21 D23 D36 K39:K47 D49 D62 K65:K73 D114 H117:H125 K26:K34 K52:K60">
    <cfRule type="cellIs" dxfId="7270" priority="2726" operator="lessThan">
      <formula>$L$8</formula>
    </cfRule>
  </conditionalFormatting>
  <conditionalFormatting sqref="X175:X177 X157:X169 X144:X151 X131:X138 G55">
    <cfRule type="containsText" dxfId="7269" priority="2717" operator="containsText" text="Cinza">
      <formula>NOT(ISERROR(SEARCH("Cinza",G55)))</formula>
    </cfRule>
    <cfRule type="containsText" dxfId="7268" priority="2718" operator="containsText" text="Púrpura">
      <formula>NOT(ISERROR(SEARCH("Púrpura",G55)))</formula>
    </cfRule>
    <cfRule type="containsText" dxfId="7267" priority="2719" operator="containsText" text="Rosa">
      <formula>NOT(ISERROR(SEARCH("Rosa",G55)))</formula>
    </cfRule>
    <cfRule type="containsText" dxfId="7266" priority="2720" operator="containsText" text="Castanho">
      <formula>NOT(ISERROR(SEARCH("Castanho",G55)))</formula>
    </cfRule>
    <cfRule type="containsText" dxfId="7265" priority="2721" operator="containsText" text="Verde Água">
      <formula>NOT(ISERROR(SEARCH("Verde Água",G55)))</formula>
    </cfRule>
    <cfRule type="containsText" dxfId="7264" priority="2722" operator="containsText" text="Azul Petróleo">
      <formula>NOT(ISERROR(SEARCH("Azul Petróleo",G55)))</formula>
    </cfRule>
    <cfRule type="containsText" dxfId="7263" priority="2723" operator="containsText" text="Preto">
      <formula>NOT(ISERROR(SEARCH("Preto",G55)))</formula>
    </cfRule>
    <cfRule type="containsText" priority="2724" operator="containsText" text="Branco">
      <formula>NOT(ISERROR(SEARCH("Branco",G55)))</formula>
    </cfRule>
    <cfRule type="containsText" dxfId="7262" priority="2725" operator="containsText" text="Bege">
      <formula>NOT(ISERROR(SEARCH("Bege",G55)))</formula>
    </cfRule>
  </conditionalFormatting>
  <conditionalFormatting sqref="V84 F73 F34:F37 F21:F24 F47:F50 F60:F63 G55">
    <cfRule type="containsText" dxfId="7261" priority="2708" operator="containsText" text="Escuro">
      <formula>NOT(ISERROR(SEARCH("Escuro",F21)))</formula>
    </cfRule>
    <cfRule type="containsText" dxfId="7260" priority="2709" operator="containsText" text="Cinza">
      <formula>NOT(ISERROR(SEARCH("Cinza",F21)))</formula>
    </cfRule>
    <cfRule type="containsText" dxfId="7259" priority="2710" operator="containsText" text="Púrpura">
      <formula>NOT(ISERROR(SEARCH("Púrpura",F21)))</formula>
    </cfRule>
    <cfRule type="containsText" dxfId="7258" priority="2711" operator="containsText" text="Rosa">
      <formula>NOT(ISERROR(SEARCH("Rosa",F21)))</formula>
    </cfRule>
    <cfRule type="containsText" dxfId="7257" priority="2712" operator="containsText" text="Castanho">
      <formula>NOT(ISERROR(SEARCH("Castanho",F21)))</formula>
    </cfRule>
    <cfRule type="containsText" dxfId="7256" priority="2713" operator="containsText" text="Verde Água">
      <formula>NOT(ISERROR(SEARCH("Verde Água",F21)))</formula>
    </cfRule>
    <cfRule type="containsText" dxfId="7255" priority="2714" operator="containsText" text="Azul Petróleo">
      <formula>NOT(ISERROR(SEARCH("Azul Petróleo",F21)))</formula>
    </cfRule>
    <cfRule type="containsText" dxfId="7254" priority="2715" operator="containsText" text="Preto">
      <formula>NOT(ISERROR(SEARCH("Preto",F21)))</formula>
    </cfRule>
    <cfRule type="containsText" priority="2716" operator="containsText" text="Branco">
      <formula>NOT(ISERROR(SEARCH("Branco",F21)))</formula>
    </cfRule>
  </conditionalFormatting>
  <conditionalFormatting sqref="D75 D88 D101 K104:K112 K91:K99 K78:K86">
    <cfRule type="cellIs" dxfId="7253" priority="2707" operator="greaterThanOrEqual">
      <formula>$L$8</formula>
    </cfRule>
  </conditionalFormatting>
  <conditionalFormatting sqref="D75 D88 K91:K99 D101 K104:K112 K78:K86">
    <cfRule type="cellIs" dxfId="7252" priority="2706" operator="lessThan">
      <formula>$L$8</formula>
    </cfRule>
  </conditionalFormatting>
  <conditionalFormatting sqref="F112 F75:F76 F86:F89 F99:F102">
    <cfRule type="containsText" dxfId="7251" priority="2697" operator="containsText" text="Escuro">
      <formula>NOT(ISERROR(SEARCH("Escuro",F75)))</formula>
    </cfRule>
    <cfRule type="containsText" dxfId="7250" priority="2698" operator="containsText" text="Cinza">
      <formula>NOT(ISERROR(SEARCH("Cinza",F75)))</formula>
    </cfRule>
    <cfRule type="containsText" dxfId="7249" priority="2699" operator="containsText" text="Púrpura">
      <formula>NOT(ISERROR(SEARCH("Púrpura",F75)))</formula>
    </cfRule>
    <cfRule type="containsText" dxfId="7248" priority="2700" operator="containsText" text="Rosa">
      <formula>NOT(ISERROR(SEARCH("Rosa",F75)))</formula>
    </cfRule>
    <cfRule type="containsText" dxfId="7247" priority="2701" operator="containsText" text="Castanho">
      <formula>NOT(ISERROR(SEARCH("Castanho",F75)))</formula>
    </cfRule>
    <cfRule type="containsText" dxfId="7246" priority="2702" operator="containsText" text="Verde Água">
      <formula>NOT(ISERROR(SEARCH("Verde Água",F75)))</formula>
    </cfRule>
    <cfRule type="containsText" dxfId="7245" priority="2703" operator="containsText" text="Azul Petróleo">
      <formula>NOT(ISERROR(SEARCH("Azul Petróleo",F75)))</formula>
    </cfRule>
    <cfRule type="containsText" dxfId="7244" priority="2704" operator="containsText" text="Preto">
      <formula>NOT(ISERROR(SEARCH("Preto",F75)))</formula>
    </cfRule>
    <cfRule type="containsText" priority="2705" operator="containsText" text="Branco">
      <formula>NOT(ISERROR(SEARCH("Branco",F75)))</formula>
    </cfRule>
  </conditionalFormatting>
  <conditionalFormatting sqref="G55">
    <cfRule type="containsText" dxfId="7243" priority="2687" operator="containsText" text="Escuro">
      <formula>NOT(ISERROR(SEARCH("Escuro",G55)))</formula>
    </cfRule>
    <cfRule type="containsText" dxfId="7242" priority="2688" operator="containsText" text="Cinza">
      <formula>NOT(ISERROR(SEARCH("Cinza",G55)))</formula>
    </cfRule>
    <cfRule type="containsText" dxfId="7241" priority="2689" operator="containsText" text="Púrpura">
      <formula>NOT(ISERROR(SEARCH("Púrpura",G55)))</formula>
    </cfRule>
    <cfRule type="containsText" dxfId="7240" priority="2690" operator="containsText" text="Rosa">
      <formula>NOT(ISERROR(SEARCH("Rosa",G55)))</formula>
    </cfRule>
    <cfRule type="containsText" dxfId="7239" priority="2691" operator="containsText" text="Castanho">
      <formula>NOT(ISERROR(SEARCH("Castanho",G55)))</formula>
    </cfRule>
    <cfRule type="containsText" dxfId="7238" priority="2692" operator="containsText" text="Verde Água">
      <formula>NOT(ISERROR(SEARCH("Verde Água",G55)))</formula>
    </cfRule>
    <cfRule type="containsText" dxfId="7237" priority="2693" operator="containsText" text="Azul Petróleo">
      <formula>NOT(ISERROR(SEARCH("Azul Petróleo",G55)))</formula>
    </cfRule>
    <cfRule type="containsText" dxfId="7236" priority="2694" operator="containsText" text="Preto">
      <formula>NOT(ISERROR(SEARCH("Preto",G55)))</formula>
    </cfRule>
    <cfRule type="containsText" priority="2695" operator="containsText" text="Branco">
      <formula>NOT(ISERROR(SEARCH("Branco",G55)))</formula>
    </cfRule>
    <cfRule type="containsText" dxfId="7235" priority="2696" operator="containsText" text="Bege">
      <formula>NOT(ISERROR(SEARCH("Bege",G55)))</formula>
    </cfRule>
  </conditionalFormatting>
  <conditionalFormatting sqref="M79">
    <cfRule type="containsText" dxfId="7234" priority="2677" operator="containsText" text="Escuro">
      <formula>NOT(ISERROR(SEARCH("Escuro",M79)))</formula>
    </cfRule>
    <cfRule type="containsText" dxfId="7233" priority="2678" operator="containsText" text="Cinza">
      <formula>NOT(ISERROR(SEARCH("Cinza",M79)))</formula>
    </cfRule>
    <cfRule type="containsText" dxfId="7232" priority="2679" operator="containsText" text="Púrpura">
      <formula>NOT(ISERROR(SEARCH("Púrpura",M79)))</formula>
    </cfRule>
    <cfRule type="containsText" dxfId="7231" priority="2680" operator="containsText" text="Rosa">
      <formula>NOT(ISERROR(SEARCH("Rosa",M79)))</formula>
    </cfRule>
    <cfRule type="containsText" dxfId="7230" priority="2681" operator="containsText" text="Castanho">
      <formula>NOT(ISERROR(SEARCH("Castanho",M79)))</formula>
    </cfRule>
    <cfRule type="containsText" dxfId="7229" priority="2682" operator="containsText" text="Verde Água">
      <formula>NOT(ISERROR(SEARCH("Verde Água",M79)))</formula>
    </cfRule>
    <cfRule type="containsText" dxfId="7228" priority="2683" operator="containsText" text="Azul Petróleo">
      <formula>NOT(ISERROR(SEARCH("Azul Petróleo",M79)))</formula>
    </cfRule>
    <cfRule type="containsText" dxfId="7227" priority="2684" operator="containsText" text="Preto">
      <formula>NOT(ISERROR(SEARCH("Preto",M79)))</formula>
    </cfRule>
    <cfRule type="containsText" priority="2685" operator="containsText" text="Branco">
      <formula>NOT(ISERROR(SEARCH("Branco",M79)))</formula>
    </cfRule>
    <cfRule type="containsText" dxfId="7226" priority="2686" operator="containsText" text="Bege">
      <formula>NOT(ISERROR(SEARCH("Bege",M79)))</formula>
    </cfRule>
  </conditionalFormatting>
  <conditionalFormatting sqref="M79">
    <cfRule type="containsText" dxfId="7225" priority="2668" operator="containsText" text="Cinza">
      <formula>NOT(ISERROR(SEARCH("Cinza",M79)))</formula>
    </cfRule>
    <cfRule type="containsText" dxfId="7224" priority="2669" operator="containsText" text="Púrpura">
      <formula>NOT(ISERROR(SEARCH("Púrpura",M79)))</formula>
    </cfRule>
    <cfRule type="containsText" dxfId="7223" priority="2670" operator="containsText" text="Rosa">
      <formula>NOT(ISERROR(SEARCH("Rosa",M79)))</formula>
    </cfRule>
    <cfRule type="containsText" dxfId="7222" priority="2671" operator="containsText" text="Castanho">
      <formula>NOT(ISERROR(SEARCH("Castanho",M79)))</formula>
    </cfRule>
    <cfRule type="containsText" dxfId="7221" priority="2672" operator="containsText" text="Verde Água">
      <formula>NOT(ISERROR(SEARCH("Verde Água",M79)))</formula>
    </cfRule>
    <cfRule type="containsText" dxfId="7220" priority="2673" operator="containsText" text="Azul Petróleo">
      <formula>NOT(ISERROR(SEARCH("Azul Petróleo",M79)))</formula>
    </cfRule>
    <cfRule type="containsText" dxfId="7219" priority="2674" operator="containsText" text="Preto">
      <formula>NOT(ISERROR(SEARCH("Preto",M79)))</formula>
    </cfRule>
    <cfRule type="containsText" priority="2675" operator="containsText" text="Branco">
      <formula>NOT(ISERROR(SEARCH("Branco",M79)))</formula>
    </cfRule>
    <cfRule type="containsText" dxfId="7218" priority="2676" operator="containsText" text="Bege">
      <formula>NOT(ISERROR(SEARCH("Bege",M79)))</formula>
    </cfRule>
  </conditionalFormatting>
  <conditionalFormatting sqref="M79">
    <cfRule type="containsText" dxfId="7217" priority="2659" operator="containsText" text="Cinza">
      <formula>NOT(ISERROR(SEARCH("Cinza",M79)))</formula>
    </cfRule>
    <cfRule type="containsText" dxfId="7216" priority="2660" operator="containsText" text="Púrpura">
      <formula>NOT(ISERROR(SEARCH("Púrpura",M79)))</formula>
    </cfRule>
    <cfRule type="containsText" dxfId="7215" priority="2661" operator="containsText" text="Rosa">
      <formula>NOT(ISERROR(SEARCH("Rosa",M79)))</formula>
    </cfRule>
    <cfRule type="containsText" dxfId="7214" priority="2662" operator="containsText" text="Castanho">
      <formula>NOT(ISERROR(SEARCH("Castanho",M79)))</formula>
    </cfRule>
    <cfRule type="containsText" dxfId="7213" priority="2663" operator="containsText" text="Verde Água">
      <formula>NOT(ISERROR(SEARCH("Verde Água",M79)))</formula>
    </cfRule>
    <cfRule type="containsText" dxfId="7212" priority="2664" operator="containsText" text="Azul Petróleo">
      <formula>NOT(ISERROR(SEARCH("Azul Petróleo",M79)))</formula>
    </cfRule>
    <cfRule type="containsText" dxfId="7211" priority="2665" operator="containsText" text="Preto">
      <formula>NOT(ISERROR(SEARCH("Preto",M79)))</formula>
    </cfRule>
    <cfRule type="containsText" priority="2666" operator="containsText" text="Branco">
      <formula>NOT(ISERROR(SEARCH("Branco",M79)))</formula>
    </cfRule>
    <cfRule type="containsText" dxfId="7210" priority="2667" operator="containsText" text="Bege">
      <formula>NOT(ISERROR(SEARCH("Bege",M79)))</formula>
    </cfRule>
  </conditionalFormatting>
  <conditionalFormatting sqref="M79">
    <cfRule type="containsText" dxfId="7209" priority="2650" operator="containsText" text="Cinza">
      <formula>NOT(ISERROR(SEARCH("Cinza",M79)))</formula>
    </cfRule>
    <cfRule type="containsText" dxfId="7208" priority="2651" operator="containsText" text="Púrpura">
      <formula>NOT(ISERROR(SEARCH("Púrpura",M79)))</formula>
    </cfRule>
    <cfRule type="containsText" dxfId="7207" priority="2652" operator="containsText" text="Rosa">
      <formula>NOT(ISERROR(SEARCH("Rosa",M79)))</formula>
    </cfRule>
    <cfRule type="containsText" dxfId="7206" priority="2653" operator="containsText" text="Castanho">
      <formula>NOT(ISERROR(SEARCH("Castanho",M79)))</formula>
    </cfRule>
    <cfRule type="containsText" dxfId="7205" priority="2654" operator="containsText" text="Verde Água">
      <formula>NOT(ISERROR(SEARCH("Verde Água",M79)))</formula>
    </cfRule>
    <cfRule type="containsText" dxfId="7204" priority="2655" operator="containsText" text="Azul Petróleo">
      <formula>NOT(ISERROR(SEARCH("Azul Petróleo",M79)))</formula>
    </cfRule>
    <cfRule type="containsText" dxfId="7203" priority="2656" operator="containsText" text="Preto">
      <formula>NOT(ISERROR(SEARCH("Preto",M79)))</formula>
    </cfRule>
    <cfRule type="containsText" priority="2657" operator="containsText" text="Branco">
      <formula>NOT(ISERROR(SEARCH("Branco",M79)))</formula>
    </cfRule>
    <cfRule type="containsText" dxfId="7202" priority="2658" operator="containsText" text="Bege">
      <formula>NOT(ISERROR(SEARCH("Bege",M79)))</formula>
    </cfRule>
  </conditionalFormatting>
  <conditionalFormatting sqref="M79">
    <cfRule type="containsText" dxfId="7201" priority="2641" operator="containsText" text="Cinza">
      <formula>NOT(ISERROR(SEARCH("Cinza",M79)))</formula>
    </cfRule>
    <cfRule type="containsText" dxfId="7200" priority="2642" operator="containsText" text="Púrpura">
      <formula>NOT(ISERROR(SEARCH("Púrpura",M79)))</formula>
    </cfRule>
    <cfRule type="containsText" dxfId="7199" priority="2643" operator="containsText" text="Rosa">
      <formula>NOT(ISERROR(SEARCH("Rosa",M79)))</formula>
    </cfRule>
    <cfRule type="containsText" dxfId="7198" priority="2644" operator="containsText" text="Castanho">
      <formula>NOT(ISERROR(SEARCH("Castanho",M79)))</formula>
    </cfRule>
    <cfRule type="containsText" dxfId="7197" priority="2645" operator="containsText" text="Verde Água">
      <formula>NOT(ISERROR(SEARCH("Verde Água",M79)))</formula>
    </cfRule>
    <cfRule type="containsText" dxfId="7196" priority="2646" operator="containsText" text="Azul Petróleo">
      <formula>NOT(ISERROR(SEARCH("Azul Petróleo",M79)))</formula>
    </cfRule>
    <cfRule type="containsText" dxfId="7195" priority="2647" operator="containsText" text="Preto">
      <formula>NOT(ISERROR(SEARCH("Preto",M79)))</formula>
    </cfRule>
    <cfRule type="containsText" priority="2648" operator="containsText" text="Branco">
      <formula>NOT(ISERROR(SEARCH("Branco",M79)))</formula>
    </cfRule>
    <cfRule type="containsText" dxfId="7194" priority="2649" operator="containsText" text="Bege">
      <formula>NOT(ISERROR(SEARCH("Bege",M79)))</formula>
    </cfRule>
  </conditionalFormatting>
  <conditionalFormatting sqref="M79">
    <cfRule type="containsText" dxfId="7193" priority="2632" operator="containsText" text="Cinza">
      <formula>NOT(ISERROR(SEARCH("Cinza",M79)))</formula>
    </cfRule>
    <cfRule type="containsText" dxfId="7192" priority="2633" operator="containsText" text="Púrpura">
      <formula>NOT(ISERROR(SEARCH("Púrpura",M79)))</formula>
    </cfRule>
    <cfRule type="containsText" dxfId="7191" priority="2634" operator="containsText" text="Rosa">
      <formula>NOT(ISERROR(SEARCH("Rosa",M79)))</formula>
    </cfRule>
    <cfRule type="containsText" dxfId="7190" priority="2635" operator="containsText" text="Castanho">
      <formula>NOT(ISERROR(SEARCH("Castanho",M79)))</formula>
    </cfRule>
    <cfRule type="containsText" dxfId="7189" priority="2636" operator="containsText" text="Verde Água">
      <formula>NOT(ISERROR(SEARCH("Verde Água",M79)))</formula>
    </cfRule>
    <cfRule type="containsText" dxfId="7188" priority="2637" operator="containsText" text="Azul Petróleo">
      <formula>NOT(ISERROR(SEARCH("Azul Petróleo",M79)))</formula>
    </cfRule>
    <cfRule type="containsText" dxfId="7187" priority="2638" operator="containsText" text="Preto">
      <formula>NOT(ISERROR(SEARCH("Preto",M79)))</formula>
    </cfRule>
    <cfRule type="containsText" priority="2639" operator="containsText" text="Branco">
      <formula>NOT(ISERROR(SEARCH("Branco",M79)))</formula>
    </cfRule>
    <cfRule type="containsText" dxfId="7186" priority="2640" operator="containsText" text="Bege">
      <formula>NOT(ISERROR(SEARCH("Bege",M79)))</formula>
    </cfRule>
  </conditionalFormatting>
  <conditionalFormatting sqref="M79">
    <cfRule type="containsText" dxfId="7185" priority="2623" operator="containsText" text="Cinza">
      <formula>NOT(ISERROR(SEARCH("Cinza",M79)))</formula>
    </cfRule>
    <cfRule type="containsText" dxfId="7184" priority="2624" operator="containsText" text="Púrpura">
      <formula>NOT(ISERROR(SEARCH("Púrpura",M79)))</formula>
    </cfRule>
    <cfRule type="containsText" dxfId="7183" priority="2625" operator="containsText" text="Rosa">
      <formula>NOT(ISERROR(SEARCH("Rosa",M79)))</formula>
    </cfRule>
    <cfRule type="containsText" dxfId="7182" priority="2626" operator="containsText" text="Castanho">
      <formula>NOT(ISERROR(SEARCH("Castanho",M79)))</formula>
    </cfRule>
    <cfRule type="containsText" dxfId="7181" priority="2627" operator="containsText" text="Verde Água">
      <formula>NOT(ISERROR(SEARCH("Verde Água",M79)))</formula>
    </cfRule>
    <cfRule type="containsText" dxfId="7180" priority="2628" operator="containsText" text="Azul Petróleo">
      <formula>NOT(ISERROR(SEARCH("Azul Petróleo",M79)))</formula>
    </cfRule>
    <cfRule type="containsText" dxfId="7179" priority="2629" operator="containsText" text="Preto">
      <formula>NOT(ISERROR(SEARCH("Preto",M79)))</formula>
    </cfRule>
    <cfRule type="containsText" priority="2630" operator="containsText" text="Branco">
      <formula>NOT(ISERROR(SEARCH("Branco",M79)))</formula>
    </cfRule>
    <cfRule type="containsText" dxfId="7178" priority="2631" operator="containsText" text="Bege">
      <formula>NOT(ISERROR(SEARCH("Bege",M79)))</formula>
    </cfRule>
  </conditionalFormatting>
  <conditionalFormatting sqref="M79">
    <cfRule type="containsText" dxfId="7177" priority="2614" operator="containsText" text="Cinza">
      <formula>NOT(ISERROR(SEARCH("Cinza",M79)))</formula>
    </cfRule>
    <cfRule type="containsText" dxfId="7176" priority="2615" operator="containsText" text="Púrpura">
      <formula>NOT(ISERROR(SEARCH("Púrpura",M79)))</formula>
    </cfRule>
    <cfRule type="containsText" dxfId="7175" priority="2616" operator="containsText" text="Rosa">
      <formula>NOT(ISERROR(SEARCH("Rosa",M79)))</formula>
    </cfRule>
    <cfRule type="containsText" dxfId="7174" priority="2617" operator="containsText" text="Castanho">
      <formula>NOT(ISERROR(SEARCH("Castanho",M79)))</formula>
    </cfRule>
    <cfRule type="containsText" dxfId="7173" priority="2618" operator="containsText" text="Verde Água">
      <formula>NOT(ISERROR(SEARCH("Verde Água",M79)))</formula>
    </cfRule>
    <cfRule type="containsText" dxfId="7172" priority="2619" operator="containsText" text="Azul Petróleo">
      <formula>NOT(ISERROR(SEARCH("Azul Petróleo",M79)))</formula>
    </cfRule>
    <cfRule type="containsText" dxfId="7171" priority="2620" operator="containsText" text="Preto">
      <formula>NOT(ISERROR(SEARCH("Preto",M79)))</formula>
    </cfRule>
    <cfRule type="containsText" priority="2621" operator="containsText" text="Branco">
      <formula>NOT(ISERROR(SEARCH("Branco",M79)))</formula>
    </cfRule>
    <cfRule type="containsText" dxfId="7170" priority="2622" operator="containsText" text="Bege">
      <formula>NOT(ISERROR(SEARCH("Bege",M79)))</formula>
    </cfRule>
  </conditionalFormatting>
  <conditionalFormatting sqref="M79">
    <cfRule type="containsText" dxfId="7169" priority="2605" operator="containsText" text="Cinza">
      <formula>NOT(ISERROR(SEARCH("Cinza",M79)))</formula>
    </cfRule>
    <cfRule type="containsText" dxfId="7168" priority="2606" operator="containsText" text="Púrpura">
      <formula>NOT(ISERROR(SEARCH("Púrpura",M79)))</formula>
    </cfRule>
    <cfRule type="containsText" dxfId="7167" priority="2607" operator="containsText" text="Rosa">
      <formula>NOT(ISERROR(SEARCH("Rosa",M79)))</formula>
    </cfRule>
    <cfRule type="containsText" dxfId="7166" priority="2608" operator="containsText" text="Castanho">
      <formula>NOT(ISERROR(SEARCH("Castanho",M79)))</formula>
    </cfRule>
    <cfRule type="containsText" dxfId="7165" priority="2609" operator="containsText" text="Verde Água">
      <formula>NOT(ISERROR(SEARCH("Verde Água",M79)))</formula>
    </cfRule>
    <cfRule type="containsText" dxfId="7164" priority="2610" operator="containsText" text="Azul Petróleo">
      <formula>NOT(ISERROR(SEARCH("Azul Petróleo",M79)))</formula>
    </cfRule>
    <cfRule type="containsText" dxfId="7163" priority="2611" operator="containsText" text="Preto">
      <formula>NOT(ISERROR(SEARCH("Preto",M79)))</formula>
    </cfRule>
    <cfRule type="containsText" priority="2612" operator="containsText" text="Branco">
      <formula>NOT(ISERROR(SEARCH("Branco",M79)))</formula>
    </cfRule>
    <cfRule type="containsText" dxfId="7162" priority="2613" operator="containsText" text="Bege">
      <formula>NOT(ISERROR(SEARCH("Bege",M79)))</formula>
    </cfRule>
  </conditionalFormatting>
  <conditionalFormatting sqref="M79">
    <cfRule type="containsText" dxfId="7161" priority="2596" operator="containsText" text="Cinza">
      <formula>NOT(ISERROR(SEARCH("Cinza",M79)))</formula>
    </cfRule>
    <cfRule type="containsText" dxfId="7160" priority="2597" operator="containsText" text="Púrpura">
      <formula>NOT(ISERROR(SEARCH("Púrpura",M79)))</formula>
    </cfRule>
    <cfRule type="containsText" dxfId="7159" priority="2598" operator="containsText" text="Rosa">
      <formula>NOT(ISERROR(SEARCH("Rosa",M79)))</formula>
    </cfRule>
    <cfRule type="containsText" dxfId="7158" priority="2599" operator="containsText" text="Castanho">
      <formula>NOT(ISERROR(SEARCH("Castanho",M79)))</formula>
    </cfRule>
    <cfRule type="containsText" dxfId="7157" priority="2600" operator="containsText" text="Verde Água">
      <formula>NOT(ISERROR(SEARCH("Verde Água",M79)))</formula>
    </cfRule>
    <cfRule type="containsText" dxfId="7156" priority="2601" operator="containsText" text="Azul Petróleo">
      <formula>NOT(ISERROR(SEARCH("Azul Petróleo",M79)))</formula>
    </cfRule>
    <cfRule type="containsText" dxfId="7155" priority="2602" operator="containsText" text="Preto">
      <formula>NOT(ISERROR(SEARCH("Preto",M79)))</formula>
    </cfRule>
    <cfRule type="containsText" priority="2603" operator="containsText" text="Branco">
      <formula>NOT(ISERROR(SEARCH("Branco",M79)))</formula>
    </cfRule>
    <cfRule type="containsText" dxfId="7154" priority="2604" operator="containsText" text="Bege">
      <formula>NOT(ISERROR(SEARCH("Bege",M79)))</formula>
    </cfRule>
  </conditionalFormatting>
  <conditionalFormatting sqref="M79">
    <cfRule type="containsText" dxfId="7153" priority="2587" operator="containsText" text="Cinza">
      <formula>NOT(ISERROR(SEARCH("Cinza",M79)))</formula>
    </cfRule>
    <cfRule type="containsText" dxfId="7152" priority="2588" operator="containsText" text="Púrpura">
      <formula>NOT(ISERROR(SEARCH("Púrpura",M79)))</formula>
    </cfRule>
    <cfRule type="containsText" dxfId="7151" priority="2589" operator="containsText" text="Rosa">
      <formula>NOT(ISERROR(SEARCH("Rosa",M79)))</formula>
    </cfRule>
    <cfRule type="containsText" dxfId="7150" priority="2590" operator="containsText" text="Castanho">
      <formula>NOT(ISERROR(SEARCH("Castanho",M79)))</formula>
    </cfRule>
    <cfRule type="containsText" dxfId="7149" priority="2591" operator="containsText" text="Verde Água">
      <formula>NOT(ISERROR(SEARCH("Verde Água",M79)))</formula>
    </cfRule>
    <cfRule type="containsText" dxfId="7148" priority="2592" operator="containsText" text="Azul Petróleo">
      <formula>NOT(ISERROR(SEARCH("Azul Petróleo",M79)))</formula>
    </cfRule>
    <cfRule type="containsText" dxfId="7147" priority="2593" operator="containsText" text="Preto">
      <formula>NOT(ISERROR(SEARCH("Preto",M79)))</formula>
    </cfRule>
    <cfRule type="containsText" priority="2594" operator="containsText" text="Branco">
      <formula>NOT(ISERROR(SEARCH("Branco",M79)))</formula>
    </cfRule>
    <cfRule type="containsText" dxfId="7146" priority="2595" operator="containsText" text="Bege">
      <formula>NOT(ISERROR(SEARCH("Bege",M79)))</formula>
    </cfRule>
  </conditionalFormatting>
  <conditionalFormatting sqref="M79">
    <cfRule type="containsText" dxfId="7145" priority="2578" operator="containsText" text="Cinza">
      <formula>NOT(ISERROR(SEARCH("Cinza",M79)))</formula>
    </cfRule>
    <cfRule type="containsText" dxfId="7144" priority="2579" operator="containsText" text="Púrpura">
      <formula>NOT(ISERROR(SEARCH("Púrpura",M79)))</formula>
    </cfRule>
    <cfRule type="containsText" dxfId="7143" priority="2580" operator="containsText" text="Rosa">
      <formula>NOT(ISERROR(SEARCH("Rosa",M79)))</formula>
    </cfRule>
    <cfRule type="containsText" dxfId="7142" priority="2581" operator="containsText" text="Castanho">
      <formula>NOT(ISERROR(SEARCH("Castanho",M79)))</formula>
    </cfRule>
    <cfRule type="containsText" dxfId="7141" priority="2582" operator="containsText" text="Verde Água">
      <formula>NOT(ISERROR(SEARCH("Verde Água",M79)))</formula>
    </cfRule>
    <cfRule type="containsText" dxfId="7140" priority="2583" operator="containsText" text="Azul Petróleo">
      <formula>NOT(ISERROR(SEARCH("Azul Petróleo",M79)))</formula>
    </cfRule>
    <cfRule type="containsText" dxfId="7139" priority="2584" operator="containsText" text="Preto">
      <formula>NOT(ISERROR(SEARCH("Preto",M79)))</formula>
    </cfRule>
    <cfRule type="containsText" priority="2585" operator="containsText" text="Branco">
      <formula>NOT(ISERROR(SEARCH("Branco",M79)))</formula>
    </cfRule>
    <cfRule type="containsText" dxfId="7138" priority="2586" operator="containsText" text="Bege">
      <formula>NOT(ISERROR(SEARCH("Bege",M79)))</formula>
    </cfRule>
  </conditionalFormatting>
  <conditionalFormatting sqref="M79">
    <cfRule type="containsText" dxfId="7137" priority="2569" operator="containsText" text="Cinza">
      <formula>NOT(ISERROR(SEARCH("Cinza",M79)))</formula>
    </cfRule>
    <cfRule type="containsText" dxfId="7136" priority="2570" operator="containsText" text="Púrpura">
      <formula>NOT(ISERROR(SEARCH("Púrpura",M79)))</formula>
    </cfRule>
    <cfRule type="containsText" dxfId="7135" priority="2571" operator="containsText" text="Rosa">
      <formula>NOT(ISERROR(SEARCH("Rosa",M79)))</formula>
    </cfRule>
    <cfRule type="containsText" dxfId="7134" priority="2572" operator="containsText" text="Castanho">
      <formula>NOT(ISERROR(SEARCH("Castanho",M79)))</formula>
    </cfRule>
    <cfRule type="containsText" dxfId="7133" priority="2573" operator="containsText" text="Verde Água">
      <formula>NOT(ISERROR(SEARCH("Verde Água",M79)))</formula>
    </cfRule>
    <cfRule type="containsText" dxfId="7132" priority="2574" operator="containsText" text="Azul Petróleo">
      <formula>NOT(ISERROR(SEARCH("Azul Petróleo",M79)))</formula>
    </cfRule>
    <cfRule type="containsText" dxfId="7131" priority="2575" operator="containsText" text="Preto">
      <formula>NOT(ISERROR(SEARCH("Preto",M79)))</formula>
    </cfRule>
    <cfRule type="containsText" priority="2576" operator="containsText" text="Branco">
      <formula>NOT(ISERROR(SEARCH("Branco",M79)))</formula>
    </cfRule>
    <cfRule type="containsText" dxfId="7130" priority="2577" operator="containsText" text="Bege">
      <formula>NOT(ISERROR(SEARCH("Bege",M79)))</formula>
    </cfRule>
  </conditionalFormatting>
  <conditionalFormatting sqref="M79">
    <cfRule type="containsText" dxfId="7129" priority="2560" operator="containsText" text="Cinza">
      <formula>NOT(ISERROR(SEARCH("Cinza",M79)))</formula>
    </cfRule>
    <cfRule type="containsText" dxfId="7128" priority="2561" operator="containsText" text="Púrpura">
      <formula>NOT(ISERROR(SEARCH("Púrpura",M79)))</formula>
    </cfRule>
    <cfRule type="containsText" dxfId="7127" priority="2562" operator="containsText" text="Rosa">
      <formula>NOT(ISERROR(SEARCH("Rosa",M79)))</formula>
    </cfRule>
    <cfRule type="containsText" dxfId="7126" priority="2563" operator="containsText" text="Castanho">
      <formula>NOT(ISERROR(SEARCH("Castanho",M79)))</formula>
    </cfRule>
    <cfRule type="containsText" dxfId="7125" priority="2564" operator="containsText" text="Verde Água">
      <formula>NOT(ISERROR(SEARCH("Verde Água",M79)))</formula>
    </cfRule>
    <cfRule type="containsText" dxfId="7124" priority="2565" operator="containsText" text="Azul Petróleo">
      <formula>NOT(ISERROR(SEARCH("Azul Petróleo",M79)))</formula>
    </cfRule>
    <cfRule type="containsText" dxfId="7123" priority="2566" operator="containsText" text="Preto">
      <formula>NOT(ISERROR(SEARCH("Preto",M79)))</formula>
    </cfRule>
    <cfRule type="containsText" priority="2567" operator="containsText" text="Branco">
      <formula>NOT(ISERROR(SEARCH("Branco",M79)))</formula>
    </cfRule>
    <cfRule type="containsText" dxfId="7122" priority="2568" operator="containsText" text="Bege">
      <formula>NOT(ISERROR(SEARCH("Bege",M79)))</formula>
    </cfRule>
  </conditionalFormatting>
  <conditionalFormatting sqref="M79">
    <cfRule type="containsText" dxfId="7121" priority="2551" operator="containsText" text="Cinza">
      <formula>NOT(ISERROR(SEARCH("Cinza",M79)))</formula>
    </cfRule>
    <cfRule type="containsText" dxfId="7120" priority="2552" operator="containsText" text="Púrpura">
      <formula>NOT(ISERROR(SEARCH("Púrpura",M79)))</formula>
    </cfRule>
    <cfRule type="containsText" dxfId="7119" priority="2553" operator="containsText" text="Rosa">
      <formula>NOT(ISERROR(SEARCH("Rosa",M79)))</formula>
    </cfRule>
    <cfRule type="containsText" dxfId="7118" priority="2554" operator="containsText" text="Castanho">
      <formula>NOT(ISERROR(SEARCH("Castanho",M79)))</formula>
    </cfRule>
    <cfRule type="containsText" dxfId="7117" priority="2555" operator="containsText" text="Verde Água">
      <formula>NOT(ISERROR(SEARCH("Verde Água",M79)))</formula>
    </cfRule>
    <cfRule type="containsText" dxfId="7116" priority="2556" operator="containsText" text="Azul Petróleo">
      <formula>NOT(ISERROR(SEARCH("Azul Petróleo",M79)))</formula>
    </cfRule>
    <cfRule type="containsText" dxfId="7115" priority="2557" operator="containsText" text="Preto">
      <formula>NOT(ISERROR(SEARCH("Preto",M79)))</formula>
    </cfRule>
    <cfRule type="containsText" priority="2558" operator="containsText" text="Branco">
      <formula>NOT(ISERROR(SEARCH("Branco",M79)))</formula>
    </cfRule>
    <cfRule type="containsText" dxfId="7114" priority="2559" operator="containsText" text="Bege">
      <formula>NOT(ISERROR(SEARCH("Bege",M79)))</formula>
    </cfRule>
  </conditionalFormatting>
  <conditionalFormatting sqref="M79">
    <cfRule type="containsText" dxfId="7113" priority="2542" operator="containsText" text="Cinza">
      <formula>NOT(ISERROR(SEARCH("Cinza",M79)))</formula>
    </cfRule>
    <cfRule type="containsText" dxfId="7112" priority="2543" operator="containsText" text="Púrpura">
      <formula>NOT(ISERROR(SEARCH("Púrpura",M79)))</formula>
    </cfRule>
    <cfRule type="containsText" dxfId="7111" priority="2544" operator="containsText" text="Rosa">
      <formula>NOT(ISERROR(SEARCH("Rosa",M79)))</formula>
    </cfRule>
    <cfRule type="containsText" dxfId="7110" priority="2545" operator="containsText" text="Castanho">
      <formula>NOT(ISERROR(SEARCH("Castanho",M79)))</formula>
    </cfRule>
    <cfRule type="containsText" dxfId="7109" priority="2546" operator="containsText" text="Verde Água">
      <formula>NOT(ISERROR(SEARCH("Verde Água",M79)))</formula>
    </cfRule>
    <cfRule type="containsText" dxfId="7108" priority="2547" operator="containsText" text="Azul Petróleo">
      <formula>NOT(ISERROR(SEARCH("Azul Petróleo",M79)))</formula>
    </cfRule>
    <cfRule type="containsText" dxfId="7107" priority="2548" operator="containsText" text="Preto">
      <formula>NOT(ISERROR(SEARCH("Preto",M79)))</formula>
    </cfRule>
    <cfRule type="containsText" priority="2549" operator="containsText" text="Branco">
      <formula>NOT(ISERROR(SEARCH("Branco",M79)))</formula>
    </cfRule>
    <cfRule type="containsText" dxfId="7106" priority="2550" operator="containsText" text="Bege">
      <formula>NOT(ISERROR(SEARCH("Bege",M79)))</formula>
    </cfRule>
  </conditionalFormatting>
  <conditionalFormatting sqref="M79">
    <cfRule type="containsText" dxfId="7105" priority="2533" operator="containsText" text="Cinza">
      <formula>NOT(ISERROR(SEARCH("Cinza",M79)))</formula>
    </cfRule>
    <cfRule type="containsText" dxfId="7104" priority="2534" operator="containsText" text="Púrpura">
      <formula>NOT(ISERROR(SEARCH("Púrpura",M79)))</formula>
    </cfRule>
    <cfRule type="containsText" dxfId="7103" priority="2535" operator="containsText" text="Rosa">
      <formula>NOT(ISERROR(SEARCH("Rosa",M79)))</formula>
    </cfRule>
    <cfRule type="containsText" dxfId="7102" priority="2536" operator="containsText" text="Castanho">
      <formula>NOT(ISERROR(SEARCH("Castanho",M79)))</formula>
    </cfRule>
    <cfRule type="containsText" dxfId="7101" priority="2537" operator="containsText" text="Verde Água">
      <formula>NOT(ISERROR(SEARCH("Verde Água",M79)))</formula>
    </cfRule>
    <cfRule type="containsText" dxfId="7100" priority="2538" operator="containsText" text="Azul Petróleo">
      <formula>NOT(ISERROR(SEARCH("Azul Petróleo",M79)))</formula>
    </cfRule>
    <cfRule type="containsText" dxfId="7099" priority="2539" operator="containsText" text="Preto">
      <formula>NOT(ISERROR(SEARCH("Preto",M79)))</formula>
    </cfRule>
    <cfRule type="containsText" priority="2540" operator="containsText" text="Branco">
      <formula>NOT(ISERROR(SEARCH("Branco",M79)))</formula>
    </cfRule>
    <cfRule type="containsText" dxfId="7098" priority="2541" operator="containsText" text="Bege">
      <formula>NOT(ISERROR(SEARCH("Bege",M79)))</formula>
    </cfRule>
  </conditionalFormatting>
  <conditionalFormatting sqref="M79">
    <cfRule type="containsText" dxfId="7097" priority="2524" operator="containsText" text="Cinza">
      <formula>NOT(ISERROR(SEARCH("Cinza",M79)))</formula>
    </cfRule>
    <cfRule type="containsText" dxfId="7096" priority="2525" operator="containsText" text="Púrpura">
      <formula>NOT(ISERROR(SEARCH("Púrpura",M79)))</formula>
    </cfRule>
    <cfRule type="containsText" dxfId="7095" priority="2526" operator="containsText" text="Rosa">
      <formula>NOT(ISERROR(SEARCH("Rosa",M79)))</formula>
    </cfRule>
    <cfRule type="containsText" dxfId="7094" priority="2527" operator="containsText" text="Castanho">
      <formula>NOT(ISERROR(SEARCH("Castanho",M79)))</formula>
    </cfRule>
    <cfRule type="containsText" dxfId="7093" priority="2528" operator="containsText" text="Verde Água">
      <formula>NOT(ISERROR(SEARCH("Verde Água",M79)))</formula>
    </cfRule>
    <cfRule type="containsText" dxfId="7092" priority="2529" operator="containsText" text="Azul Petróleo">
      <formula>NOT(ISERROR(SEARCH("Azul Petróleo",M79)))</formula>
    </cfRule>
    <cfRule type="containsText" dxfId="7091" priority="2530" operator="containsText" text="Preto">
      <formula>NOT(ISERROR(SEARCH("Preto",M79)))</formula>
    </cfRule>
    <cfRule type="containsText" priority="2531" operator="containsText" text="Branco">
      <formula>NOT(ISERROR(SEARCH("Branco",M79)))</formula>
    </cfRule>
    <cfRule type="containsText" dxfId="7090" priority="2532" operator="containsText" text="Bege">
      <formula>NOT(ISERROR(SEARCH("Bege",M79)))</formula>
    </cfRule>
  </conditionalFormatting>
  <conditionalFormatting sqref="M79">
    <cfRule type="containsText" dxfId="7089" priority="2515" operator="containsText" text="Cinza">
      <formula>NOT(ISERROR(SEARCH("Cinza",M79)))</formula>
    </cfRule>
    <cfRule type="containsText" dxfId="7088" priority="2516" operator="containsText" text="Púrpura">
      <formula>NOT(ISERROR(SEARCH("Púrpura",M79)))</formula>
    </cfRule>
    <cfRule type="containsText" dxfId="7087" priority="2517" operator="containsText" text="Rosa">
      <formula>NOT(ISERROR(SEARCH("Rosa",M79)))</formula>
    </cfRule>
    <cfRule type="containsText" dxfId="7086" priority="2518" operator="containsText" text="Castanho">
      <formula>NOT(ISERROR(SEARCH("Castanho",M79)))</formula>
    </cfRule>
    <cfRule type="containsText" dxfId="7085" priority="2519" operator="containsText" text="Verde Água">
      <formula>NOT(ISERROR(SEARCH("Verde Água",M79)))</formula>
    </cfRule>
    <cfRule type="containsText" dxfId="7084" priority="2520" operator="containsText" text="Azul Petróleo">
      <formula>NOT(ISERROR(SEARCH("Azul Petróleo",M79)))</formula>
    </cfRule>
    <cfRule type="containsText" dxfId="7083" priority="2521" operator="containsText" text="Preto">
      <formula>NOT(ISERROR(SEARCH("Preto",M79)))</formula>
    </cfRule>
    <cfRule type="containsText" priority="2522" operator="containsText" text="Branco">
      <formula>NOT(ISERROR(SEARCH("Branco",M79)))</formula>
    </cfRule>
    <cfRule type="containsText" dxfId="7082" priority="2523" operator="containsText" text="Bege">
      <formula>NOT(ISERROR(SEARCH("Bege",M79)))</formula>
    </cfRule>
  </conditionalFormatting>
  <conditionalFormatting sqref="M79">
    <cfRule type="containsText" dxfId="7081" priority="2506" operator="containsText" text="Cinza">
      <formula>NOT(ISERROR(SEARCH("Cinza",M79)))</formula>
    </cfRule>
    <cfRule type="containsText" dxfId="7080" priority="2507" operator="containsText" text="Púrpura">
      <formula>NOT(ISERROR(SEARCH("Púrpura",M79)))</formula>
    </cfRule>
    <cfRule type="containsText" dxfId="7079" priority="2508" operator="containsText" text="Rosa">
      <formula>NOT(ISERROR(SEARCH("Rosa",M79)))</formula>
    </cfRule>
    <cfRule type="containsText" dxfId="7078" priority="2509" operator="containsText" text="Castanho">
      <formula>NOT(ISERROR(SEARCH("Castanho",M79)))</formula>
    </cfRule>
    <cfRule type="containsText" dxfId="7077" priority="2510" operator="containsText" text="Verde Água">
      <formula>NOT(ISERROR(SEARCH("Verde Água",M79)))</formula>
    </cfRule>
    <cfRule type="containsText" dxfId="7076" priority="2511" operator="containsText" text="Azul Petróleo">
      <formula>NOT(ISERROR(SEARCH("Azul Petróleo",M79)))</formula>
    </cfRule>
    <cfRule type="containsText" dxfId="7075" priority="2512" operator="containsText" text="Preto">
      <formula>NOT(ISERROR(SEARCH("Preto",M79)))</formula>
    </cfRule>
    <cfRule type="containsText" priority="2513" operator="containsText" text="Branco">
      <formula>NOT(ISERROR(SEARCH("Branco",M79)))</formula>
    </cfRule>
    <cfRule type="containsText" dxfId="7074" priority="2514" operator="containsText" text="Bege">
      <formula>NOT(ISERROR(SEARCH("Bege",M79)))</formula>
    </cfRule>
  </conditionalFormatting>
  <conditionalFormatting sqref="M79">
    <cfRule type="containsText" dxfId="7073" priority="2497" operator="containsText" text="Cinza">
      <formula>NOT(ISERROR(SEARCH("Cinza",M79)))</formula>
    </cfRule>
    <cfRule type="containsText" dxfId="7072" priority="2498" operator="containsText" text="Púrpura">
      <formula>NOT(ISERROR(SEARCH("Púrpura",M79)))</formula>
    </cfRule>
    <cfRule type="containsText" dxfId="7071" priority="2499" operator="containsText" text="Rosa">
      <formula>NOT(ISERROR(SEARCH("Rosa",M79)))</formula>
    </cfRule>
    <cfRule type="containsText" dxfId="7070" priority="2500" operator="containsText" text="Castanho">
      <formula>NOT(ISERROR(SEARCH("Castanho",M79)))</formula>
    </cfRule>
    <cfRule type="containsText" dxfId="7069" priority="2501" operator="containsText" text="Verde Água">
      <formula>NOT(ISERROR(SEARCH("Verde Água",M79)))</formula>
    </cfRule>
    <cfRule type="containsText" dxfId="7068" priority="2502" operator="containsText" text="Azul Petróleo">
      <formula>NOT(ISERROR(SEARCH("Azul Petróleo",M79)))</formula>
    </cfRule>
    <cfRule type="containsText" dxfId="7067" priority="2503" operator="containsText" text="Preto">
      <formula>NOT(ISERROR(SEARCH("Preto",M79)))</formula>
    </cfRule>
    <cfRule type="containsText" priority="2504" operator="containsText" text="Branco">
      <formula>NOT(ISERROR(SEARCH("Branco",M79)))</formula>
    </cfRule>
    <cfRule type="containsText" dxfId="7066" priority="2505" operator="containsText" text="Bege">
      <formula>NOT(ISERROR(SEARCH("Bege",M79)))</formula>
    </cfRule>
  </conditionalFormatting>
  <conditionalFormatting sqref="M79">
    <cfRule type="containsText" dxfId="7065" priority="2488" operator="containsText" text="Cinza">
      <formula>NOT(ISERROR(SEARCH("Cinza",M79)))</formula>
    </cfRule>
    <cfRule type="containsText" dxfId="7064" priority="2489" operator="containsText" text="Púrpura">
      <formula>NOT(ISERROR(SEARCH("Púrpura",M79)))</formula>
    </cfRule>
    <cfRule type="containsText" dxfId="7063" priority="2490" operator="containsText" text="Rosa">
      <formula>NOT(ISERROR(SEARCH("Rosa",M79)))</formula>
    </cfRule>
    <cfRule type="containsText" dxfId="7062" priority="2491" operator="containsText" text="Castanho">
      <formula>NOT(ISERROR(SEARCH("Castanho",M79)))</formula>
    </cfRule>
    <cfRule type="containsText" dxfId="7061" priority="2492" operator="containsText" text="Verde Água">
      <formula>NOT(ISERROR(SEARCH("Verde Água",M79)))</formula>
    </cfRule>
    <cfRule type="containsText" dxfId="7060" priority="2493" operator="containsText" text="Azul Petróleo">
      <formula>NOT(ISERROR(SEARCH("Azul Petróleo",M79)))</formula>
    </cfRule>
    <cfRule type="containsText" dxfId="7059" priority="2494" operator="containsText" text="Preto">
      <formula>NOT(ISERROR(SEARCH("Preto",M79)))</formula>
    </cfRule>
    <cfRule type="containsText" priority="2495" operator="containsText" text="Branco">
      <formula>NOT(ISERROR(SEARCH("Branco",M79)))</formula>
    </cfRule>
    <cfRule type="containsText" dxfId="7058" priority="2496" operator="containsText" text="Bege">
      <formula>NOT(ISERROR(SEARCH("Bege",M79)))</formula>
    </cfRule>
  </conditionalFormatting>
  <conditionalFormatting sqref="M79">
    <cfRule type="containsText" dxfId="7057" priority="2479" operator="containsText" text="Cinza">
      <formula>NOT(ISERROR(SEARCH("Cinza",M79)))</formula>
    </cfRule>
    <cfRule type="containsText" dxfId="7056" priority="2480" operator="containsText" text="Púrpura">
      <formula>NOT(ISERROR(SEARCH("Púrpura",M79)))</formula>
    </cfRule>
    <cfRule type="containsText" dxfId="7055" priority="2481" operator="containsText" text="Rosa">
      <formula>NOT(ISERROR(SEARCH("Rosa",M79)))</formula>
    </cfRule>
    <cfRule type="containsText" dxfId="7054" priority="2482" operator="containsText" text="Castanho">
      <formula>NOT(ISERROR(SEARCH("Castanho",M79)))</formula>
    </cfRule>
    <cfRule type="containsText" dxfId="7053" priority="2483" operator="containsText" text="Verde Água">
      <formula>NOT(ISERROR(SEARCH("Verde Água",M79)))</formula>
    </cfRule>
    <cfRule type="containsText" dxfId="7052" priority="2484" operator="containsText" text="Azul Petróleo">
      <formula>NOT(ISERROR(SEARCH("Azul Petróleo",M79)))</formula>
    </cfRule>
    <cfRule type="containsText" dxfId="7051" priority="2485" operator="containsText" text="Preto">
      <formula>NOT(ISERROR(SEARCH("Preto",M79)))</formula>
    </cfRule>
    <cfRule type="containsText" priority="2486" operator="containsText" text="Branco">
      <formula>NOT(ISERROR(SEARCH("Branco",M79)))</formula>
    </cfRule>
    <cfRule type="containsText" dxfId="7050" priority="2487" operator="containsText" text="Bege">
      <formula>NOT(ISERROR(SEARCH("Bege",M79)))</formula>
    </cfRule>
  </conditionalFormatting>
  <conditionalFormatting sqref="M79">
    <cfRule type="containsText" dxfId="7049" priority="2470" operator="containsText" text="Cinza">
      <formula>NOT(ISERROR(SEARCH("Cinza",M79)))</formula>
    </cfRule>
    <cfRule type="containsText" dxfId="7048" priority="2471" operator="containsText" text="Púrpura">
      <formula>NOT(ISERROR(SEARCH("Púrpura",M79)))</formula>
    </cfRule>
    <cfRule type="containsText" dxfId="7047" priority="2472" operator="containsText" text="Rosa">
      <formula>NOT(ISERROR(SEARCH("Rosa",M79)))</formula>
    </cfRule>
    <cfRule type="containsText" dxfId="7046" priority="2473" operator="containsText" text="Castanho">
      <formula>NOT(ISERROR(SEARCH("Castanho",M79)))</formula>
    </cfRule>
    <cfRule type="containsText" dxfId="7045" priority="2474" operator="containsText" text="Verde Água">
      <formula>NOT(ISERROR(SEARCH("Verde Água",M79)))</formula>
    </cfRule>
    <cfRule type="containsText" dxfId="7044" priority="2475" operator="containsText" text="Azul Petróleo">
      <formula>NOT(ISERROR(SEARCH("Azul Petróleo",M79)))</formula>
    </cfRule>
    <cfRule type="containsText" dxfId="7043" priority="2476" operator="containsText" text="Preto">
      <formula>NOT(ISERROR(SEARCH("Preto",M79)))</formula>
    </cfRule>
    <cfRule type="containsText" priority="2477" operator="containsText" text="Branco">
      <formula>NOT(ISERROR(SEARCH("Branco",M79)))</formula>
    </cfRule>
    <cfRule type="containsText" dxfId="7042" priority="2478" operator="containsText" text="Bege">
      <formula>NOT(ISERROR(SEARCH("Bege",M79)))</formula>
    </cfRule>
  </conditionalFormatting>
  <conditionalFormatting sqref="M79">
    <cfRule type="containsText" dxfId="7041" priority="2461" operator="containsText" text="Cinza">
      <formula>NOT(ISERROR(SEARCH("Cinza",M79)))</formula>
    </cfRule>
    <cfRule type="containsText" dxfId="7040" priority="2462" operator="containsText" text="Púrpura">
      <formula>NOT(ISERROR(SEARCH("Púrpura",M79)))</formula>
    </cfRule>
    <cfRule type="containsText" dxfId="7039" priority="2463" operator="containsText" text="Rosa">
      <formula>NOT(ISERROR(SEARCH("Rosa",M79)))</formula>
    </cfRule>
    <cfRule type="containsText" dxfId="7038" priority="2464" operator="containsText" text="Castanho">
      <formula>NOT(ISERROR(SEARCH("Castanho",M79)))</formula>
    </cfRule>
    <cfRule type="containsText" dxfId="7037" priority="2465" operator="containsText" text="Verde Água">
      <formula>NOT(ISERROR(SEARCH("Verde Água",M79)))</formula>
    </cfRule>
    <cfRule type="containsText" dxfId="7036" priority="2466" operator="containsText" text="Azul Petróleo">
      <formula>NOT(ISERROR(SEARCH("Azul Petróleo",M79)))</formula>
    </cfRule>
    <cfRule type="containsText" dxfId="7035" priority="2467" operator="containsText" text="Preto">
      <formula>NOT(ISERROR(SEARCH("Preto",M79)))</formula>
    </cfRule>
    <cfRule type="containsText" priority="2468" operator="containsText" text="Branco">
      <formula>NOT(ISERROR(SEARCH("Branco",M79)))</formula>
    </cfRule>
    <cfRule type="containsText" dxfId="7034" priority="2469" operator="containsText" text="Bege">
      <formula>NOT(ISERROR(SEARCH("Bege",M79)))</formula>
    </cfRule>
  </conditionalFormatting>
  <conditionalFormatting sqref="M79">
    <cfRule type="containsText" dxfId="7033" priority="2452" operator="containsText" text="Cinza">
      <formula>NOT(ISERROR(SEARCH("Cinza",M79)))</formula>
    </cfRule>
    <cfRule type="containsText" dxfId="7032" priority="2453" operator="containsText" text="Púrpura">
      <formula>NOT(ISERROR(SEARCH("Púrpura",M79)))</formula>
    </cfRule>
    <cfRule type="containsText" dxfId="7031" priority="2454" operator="containsText" text="Rosa">
      <formula>NOT(ISERROR(SEARCH("Rosa",M79)))</formula>
    </cfRule>
    <cfRule type="containsText" dxfId="7030" priority="2455" operator="containsText" text="Castanho">
      <formula>NOT(ISERROR(SEARCH("Castanho",M79)))</formula>
    </cfRule>
    <cfRule type="containsText" dxfId="7029" priority="2456" operator="containsText" text="Verde Água">
      <formula>NOT(ISERROR(SEARCH("Verde Água",M79)))</formula>
    </cfRule>
    <cfRule type="containsText" dxfId="7028" priority="2457" operator="containsText" text="Azul Petróleo">
      <formula>NOT(ISERROR(SEARCH("Azul Petróleo",M79)))</formula>
    </cfRule>
    <cfRule type="containsText" dxfId="7027" priority="2458" operator="containsText" text="Preto">
      <formula>NOT(ISERROR(SEARCH("Preto",M79)))</formula>
    </cfRule>
    <cfRule type="containsText" priority="2459" operator="containsText" text="Branco">
      <formula>NOT(ISERROR(SEARCH("Branco",M79)))</formula>
    </cfRule>
    <cfRule type="containsText" dxfId="7026" priority="2460" operator="containsText" text="Bege">
      <formula>NOT(ISERROR(SEARCH("Bege",M79)))</formula>
    </cfRule>
  </conditionalFormatting>
  <conditionalFormatting sqref="M79">
    <cfRule type="containsText" dxfId="7025" priority="2443" operator="containsText" text="Cinza">
      <formula>NOT(ISERROR(SEARCH("Cinza",M79)))</formula>
    </cfRule>
    <cfRule type="containsText" dxfId="7024" priority="2444" operator="containsText" text="Púrpura">
      <formula>NOT(ISERROR(SEARCH("Púrpura",M79)))</formula>
    </cfRule>
    <cfRule type="containsText" dxfId="7023" priority="2445" operator="containsText" text="Rosa">
      <formula>NOT(ISERROR(SEARCH("Rosa",M79)))</formula>
    </cfRule>
    <cfRule type="containsText" dxfId="7022" priority="2446" operator="containsText" text="Castanho">
      <formula>NOT(ISERROR(SEARCH("Castanho",M79)))</formula>
    </cfRule>
    <cfRule type="containsText" dxfId="7021" priority="2447" operator="containsText" text="Verde Água">
      <formula>NOT(ISERROR(SEARCH("Verde Água",M79)))</formula>
    </cfRule>
    <cfRule type="containsText" dxfId="7020" priority="2448" operator="containsText" text="Azul Petróleo">
      <formula>NOT(ISERROR(SEARCH("Azul Petróleo",M79)))</formula>
    </cfRule>
    <cfRule type="containsText" dxfId="7019" priority="2449" operator="containsText" text="Preto">
      <formula>NOT(ISERROR(SEARCH("Preto",M79)))</formula>
    </cfRule>
    <cfRule type="containsText" priority="2450" operator="containsText" text="Branco">
      <formula>NOT(ISERROR(SEARCH("Branco",M79)))</formula>
    </cfRule>
    <cfRule type="containsText" dxfId="7018" priority="2451" operator="containsText" text="Bege">
      <formula>NOT(ISERROR(SEARCH("Bege",M79)))</formula>
    </cfRule>
  </conditionalFormatting>
  <conditionalFormatting sqref="M79">
    <cfRule type="containsText" dxfId="7017" priority="2434" operator="containsText" text="Cinza">
      <formula>NOT(ISERROR(SEARCH("Cinza",M79)))</formula>
    </cfRule>
    <cfRule type="containsText" dxfId="7016" priority="2435" operator="containsText" text="Púrpura">
      <formula>NOT(ISERROR(SEARCH("Púrpura",M79)))</formula>
    </cfRule>
    <cfRule type="containsText" dxfId="7015" priority="2436" operator="containsText" text="Rosa">
      <formula>NOT(ISERROR(SEARCH("Rosa",M79)))</formula>
    </cfRule>
    <cfRule type="containsText" dxfId="7014" priority="2437" operator="containsText" text="Castanho">
      <formula>NOT(ISERROR(SEARCH("Castanho",M79)))</formula>
    </cfRule>
    <cfRule type="containsText" dxfId="7013" priority="2438" operator="containsText" text="Verde Água">
      <formula>NOT(ISERROR(SEARCH("Verde Água",M79)))</formula>
    </cfRule>
    <cfRule type="containsText" dxfId="7012" priority="2439" operator="containsText" text="Azul Petróleo">
      <formula>NOT(ISERROR(SEARCH("Azul Petróleo",M79)))</formula>
    </cfRule>
    <cfRule type="containsText" dxfId="7011" priority="2440" operator="containsText" text="Preto">
      <formula>NOT(ISERROR(SEARCH("Preto",M79)))</formula>
    </cfRule>
    <cfRule type="containsText" priority="2441" operator="containsText" text="Branco">
      <formula>NOT(ISERROR(SEARCH("Branco",M79)))</formula>
    </cfRule>
    <cfRule type="containsText" dxfId="7010" priority="2442" operator="containsText" text="Bege">
      <formula>NOT(ISERROR(SEARCH("Bege",M79)))</formula>
    </cfRule>
  </conditionalFormatting>
  <conditionalFormatting sqref="M79">
    <cfRule type="containsText" dxfId="7009" priority="2425" operator="containsText" text="Cinza">
      <formula>NOT(ISERROR(SEARCH("Cinza",M79)))</formula>
    </cfRule>
    <cfRule type="containsText" dxfId="7008" priority="2426" operator="containsText" text="Púrpura">
      <formula>NOT(ISERROR(SEARCH("Púrpura",M79)))</formula>
    </cfRule>
    <cfRule type="containsText" dxfId="7007" priority="2427" operator="containsText" text="Rosa">
      <formula>NOT(ISERROR(SEARCH("Rosa",M79)))</formula>
    </cfRule>
    <cfRule type="containsText" dxfId="7006" priority="2428" operator="containsText" text="Castanho">
      <formula>NOT(ISERROR(SEARCH("Castanho",M79)))</formula>
    </cfRule>
    <cfRule type="containsText" dxfId="7005" priority="2429" operator="containsText" text="Verde Água">
      <formula>NOT(ISERROR(SEARCH("Verde Água",M79)))</formula>
    </cfRule>
    <cfRule type="containsText" dxfId="7004" priority="2430" operator="containsText" text="Azul Petróleo">
      <formula>NOT(ISERROR(SEARCH("Azul Petróleo",M79)))</formula>
    </cfRule>
    <cfRule type="containsText" dxfId="7003" priority="2431" operator="containsText" text="Preto">
      <formula>NOT(ISERROR(SEARCH("Preto",M79)))</formula>
    </cfRule>
    <cfRule type="containsText" priority="2432" operator="containsText" text="Branco">
      <formula>NOT(ISERROR(SEARCH("Branco",M79)))</formula>
    </cfRule>
    <cfRule type="containsText" dxfId="7002" priority="2433" operator="containsText" text="Bege">
      <formula>NOT(ISERROR(SEARCH("Bege",M79)))</formula>
    </cfRule>
  </conditionalFormatting>
  <conditionalFormatting sqref="M79">
    <cfRule type="containsText" dxfId="7001" priority="2416" operator="containsText" text="Cinza">
      <formula>NOT(ISERROR(SEARCH("Cinza",M79)))</formula>
    </cfRule>
    <cfRule type="containsText" dxfId="7000" priority="2417" operator="containsText" text="Púrpura">
      <formula>NOT(ISERROR(SEARCH("Púrpura",M79)))</formula>
    </cfRule>
    <cfRule type="containsText" dxfId="6999" priority="2418" operator="containsText" text="Rosa">
      <formula>NOT(ISERROR(SEARCH("Rosa",M79)))</formula>
    </cfRule>
    <cfRule type="containsText" dxfId="6998" priority="2419" operator="containsText" text="Castanho">
      <formula>NOT(ISERROR(SEARCH("Castanho",M79)))</formula>
    </cfRule>
    <cfRule type="containsText" dxfId="6997" priority="2420" operator="containsText" text="Verde Água">
      <formula>NOT(ISERROR(SEARCH("Verde Água",M79)))</formula>
    </cfRule>
    <cfRule type="containsText" dxfId="6996" priority="2421" operator="containsText" text="Azul Petróleo">
      <formula>NOT(ISERROR(SEARCH("Azul Petróleo",M79)))</formula>
    </cfRule>
    <cfRule type="containsText" dxfId="6995" priority="2422" operator="containsText" text="Preto">
      <formula>NOT(ISERROR(SEARCH("Preto",M79)))</formula>
    </cfRule>
    <cfRule type="containsText" priority="2423" operator="containsText" text="Branco">
      <formula>NOT(ISERROR(SEARCH("Branco",M79)))</formula>
    </cfRule>
    <cfRule type="containsText" dxfId="6994" priority="2424" operator="containsText" text="Bege">
      <formula>NOT(ISERROR(SEARCH("Bege",M79)))</formula>
    </cfRule>
  </conditionalFormatting>
  <conditionalFormatting sqref="M79">
    <cfRule type="containsText" dxfId="6993" priority="2407" operator="containsText" text="Cinza">
      <formula>NOT(ISERROR(SEARCH("Cinza",M79)))</formula>
    </cfRule>
    <cfRule type="containsText" dxfId="6992" priority="2408" operator="containsText" text="Púrpura">
      <formula>NOT(ISERROR(SEARCH("Púrpura",M79)))</formula>
    </cfRule>
    <cfRule type="containsText" dxfId="6991" priority="2409" operator="containsText" text="Rosa">
      <formula>NOT(ISERROR(SEARCH("Rosa",M79)))</formula>
    </cfRule>
    <cfRule type="containsText" dxfId="6990" priority="2410" operator="containsText" text="Castanho">
      <formula>NOT(ISERROR(SEARCH("Castanho",M79)))</formula>
    </cfRule>
    <cfRule type="containsText" dxfId="6989" priority="2411" operator="containsText" text="Verde Água">
      <formula>NOT(ISERROR(SEARCH("Verde Água",M79)))</formula>
    </cfRule>
    <cfRule type="containsText" dxfId="6988" priority="2412" operator="containsText" text="Azul Petróleo">
      <formula>NOT(ISERROR(SEARCH("Azul Petróleo",M79)))</formula>
    </cfRule>
    <cfRule type="containsText" dxfId="6987" priority="2413" operator="containsText" text="Preto">
      <formula>NOT(ISERROR(SEARCH("Preto",M79)))</formula>
    </cfRule>
    <cfRule type="containsText" priority="2414" operator="containsText" text="Branco">
      <formula>NOT(ISERROR(SEARCH("Branco",M79)))</formula>
    </cfRule>
    <cfRule type="containsText" dxfId="6986" priority="2415" operator="containsText" text="Bege">
      <formula>NOT(ISERROR(SEARCH("Bege",M79)))</formula>
    </cfRule>
  </conditionalFormatting>
  <conditionalFormatting sqref="M79">
    <cfRule type="containsText" dxfId="6985" priority="2398" operator="containsText" text="Cinza">
      <formula>NOT(ISERROR(SEARCH("Cinza",M79)))</formula>
    </cfRule>
    <cfRule type="containsText" dxfId="6984" priority="2399" operator="containsText" text="Púrpura">
      <formula>NOT(ISERROR(SEARCH("Púrpura",M79)))</formula>
    </cfRule>
    <cfRule type="containsText" dxfId="6983" priority="2400" operator="containsText" text="Rosa">
      <formula>NOT(ISERROR(SEARCH("Rosa",M79)))</formula>
    </cfRule>
    <cfRule type="containsText" dxfId="6982" priority="2401" operator="containsText" text="Castanho">
      <formula>NOT(ISERROR(SEARCH("Castanho",M79)))</formula>
    </cfRule>
    <cfRule type="containsText" dxfId="6981" priority="2402" operator="containsText" text="Verde Água">
      <formula>NOT(ISERROR(SEARCH("Verde Água",M79)))</formula>
    </cfRule>
    <cfRule type="containsText" dxfId="6980" priority="2403" operator="containsText" text="Azul Petróleo">
      <formula>NOT(ISERROR(SEARCH("Azul Petróleo",M79)))</formula>
    </cfRule>
    <cfRule type="containsText" dxfId="6979" priority="2404" operator="containsText" text="Preto">
      <formula>NOT(ISERROR(SEARCH("Preto",M79)))</formula>
    </cfRule>
    <cfRule type="containsText" priority="2405" operator="containsText" text="Branco">
      <formula>NOT(ISERROR(SEARCH("Branco",M79)))</formula>
    </cfRule>
    <cfRule type="containsText" dxfId="6978" priority="2406" operator="containsText" text="Bege">
      <formula>NOT(ISERROR(SEARCH("Bege",M79)))</formula>
    </cfRule>
  </conditionalFormatting>
  <conditionalFormatting sqref="M79">
    <cfRule type="containsText" dxfId="6977" priority="2389" operator="containsText" text="Escuro">
      <formula>NOT(ISERROR(SEARCH("Escuro",M79)))</formula>
    </cfRule>
    <cfRule type="containsText" dxfId="6976" priority="2390" operator="containsText" text="Cinza">
      <formula>NOT(ISERROR(SEARCH("Cinza",M79)))</formula>
    </cfRule>
    <cfRule type="containsText" dxfId="6975" priority="2391" operator="containsText" text="Púrpura">
      <formula>NOT(ISERROR(SEARCH("Púrpura",M79)))</formula>
    </cfRule>
    <cfRule type="containsText" dxfId="6974" priority="2392" operator="containsText" text="Rosa">
      <formula>NOT(ISERROR(SEARCH("Rosa",M79)))</formula>
    </cfRule>
    <cfRule type="containsText" dxfId="6973" priority="2393" operator="containsText" text="Castanho">
      <formula>NOT(ISERROR(SEARCH("Castanho",M79)))</formula>
    </cfRule>
    <cfRule type="containsText" dxfId="6972" priority="2394" operator="containsText" text="Verde Água">
      <formula>NOT(ISERROR(SEARCH("Verde Água",M79)))</formula>
    </cfRule>
    <cfRule type="containsText" dxfId="6971" priority="2395" operator="containsText" text="Azul Petróleo">
      <formula>NOT(ISERROR(SEARCH("Azul Petróleo",M79)))</formula>
    </cfRule>
    <cfRule type="containsText" dxfId="6970" priority="2396" operator="containsText" text="Preto">
      <formula>NOT(ISERROR(SEARCH("Preto",M79)))</formula>
    </cfRule>
    <cfRule type="containsText" priority="2397" operator="containsText" text="Branco">
      <formula>NOT(ISERROR(SEARCH("Branco",M79)))</formula>
    </cfRule>
  </conditionalFormatting>
  <conditionalFormatting sqref="M79">
    <cfRule type="containsText" dxfId="6969" priority="2379" operator="containsText" text="Escuro">
      <formula>NOT(ISERROR(SEARCH("Escuro",M79)))</formula>
    </cfRule>
    <cfRule type="containsText" dxfId="6968" priority="2380" operator="containsText" text="Cinza">
      <formula>NOT(ISERROR(SEARCH("Cinza",M79)))</formula>
    </cfRule>
    <cfRule type="containsText" dxfId="6967" priority="2381" operator="containsText" text="Púrpura">
      <formula>NOT(ISERROR(SEARCH("Púrpura",M79)))</formula>
    </cfRule>
    <cfRule type="containsText" dxfId="6966" priority="2382" operator="containsText" text="Rosa">
      <formula>NOT(ISERROR(SEARCH("Rosa",M79)))</formula>
    </cfRule>
    <cfRule type="containsText" dxfId="6965" priority="2383" operator="containsText" text="Castanho">
      <formula>NOT(ISERROR(SEARCH("Castanho",M79)))</formula>
    </cfRule>
    <cfRule type="containsText" dxfId="6964" priority="2384" operator="containsText" text="Verde Água">
      <formula>NOT(ISERROR(SEARCH("Verde Água",M79)))</formula>
    </cfRule>
    <cfRule type="containsText" dxfId="6963" priority="2385" operator="containsText" text="Azul Petróleo">
      <formula>NOT(ISERROR(SEARCH("Azul Petróleo",M79)))</formula>
    </cfRule>
    <cfRule type="containsText" dxfId="6962" priority="2386" operator="containsText" text="Preto">
      <formula>NOT(ISERROR(SEARCH("Preto",M79)))</formula>
    </cfRule>
    <cfRule type="containsText" priority="2387" operator="containsText" text="Branco">
      <formula>NOT(ISERROR(SEARCH("Branco",M79)))</formula>
    </cfRule>
    <cfRule type="containsText" dxfId="6961" priority="2388" operator="containsText" text="Bege">
      <formula>NOT(ISERROR(SEARCH("Bege",M79)))</formula>
    </cfRule>
  </conditionalFormatting>
  <conditionalFormatting sqref="M79">
    <cfRule type="containsText" dxfId="6960" priority="2370" operator="containsText" text="Cinza">
      <formula>NOT(ISERROR(SEARCH("Cinza",M79)))</formula>
    </cfRule>
    <cfRule type="containsText" dxfId="6959" priority="2371" operator="containsText" text="Púrpura">
      <formula>NOT(ISERROR(SEARCH("Púrpura",M79)))</formula>
    </cfRule>
    <cfRule type="containsText" dxfId="6958" priority="2372" operator="containsText" text="Rosa">
      <formula>NOT(ISERROR(SEARCH("Rosa",M79)))</formula>
    </cfRule>
    <cfRule type="containsText" dxfId="6957" priority="2373" operator="containsText" text="Castanho">
      <formula>NOT(ISERROR(SEARCH("Castanho",M79)))</formula>
    </cfRule>
    <cfRule type="containsText" dxfId="6956" priority="2374" operator="containsText" text="Verde Água">
      <formula>NOT(ISERROR(SEARCH("Verde Água",M79)))</formula>
    </cfRule>
    <cfRule type="containsText" dxfId="6955" priority="2375" operator="containsText" text="Azul Petróleo">
      <formula>NOT(ISERROR(SEARCH("Azul Petróleo",M79)))</formula>
    </cfRule>
    <cfRule type="containsText" dxfId="6954" priority="2376" operator="containsText" text="Preto">
      <formula>NOT(ISERROR(SEARCH("Preto",M79)))</formula>
    </cfRule>
    <cfRule type="containsText" priority="2377" operator="containsText" text="Branco">
      <formula>NOT(ISERROR(SEARCH("Branco",M79)))</formula>
    </cfRule>
    <cfRule type="containsText" dxfId="6953" priority="2378" operator="containsText" text="Bege">
      <formula>NOT(ISERROR(SEARCH("Bege",M79)))</formula>
    </cfRule>
  </conditionalFormatting>
  <conditionalFormatting sqref="M79">
    <cfRule type="containsText" dxfId="6952" priority="2361" operator="containsText" text="Cinza">
      <formula>NOT(ISERROR(SEARCH("Cinza",M79)))</formula>
    </cfRule>
    <cfRule type="containsText" dxfId="6951" priority="2362" operator="containsText" text="Púrpura">
      <formula>NOT(ISERROR(SEARCH("Púrpura",M79)))</formula>
    </cfRule>
    <cfRule type="containsText" dxfId="6950" priority="2363" operator="containsText" text="Rosa">
      <formula>NOT(ISERROR(SEARCH("Rosa",M79)))</formula>
    </cfRule>
    <cfRule type="containsText" dxfId="6949" priority="2364" operator="containsText" text="Castanho">
      <formula>NOT(ISERROR(SEARCH("Castanho",M79)))</formula>
    </cfRule>
    <cfRule type="containsText" dxfId="6948" priority="2365" operator="containsText" text="Verde Água">
      <formula>NOT(ISERROR(SEARCH("Verde Água",M79)))</formula>
    </cfRule>
    <cfRule type="containsText" dxfId="6947" priority="2366" operator="containsText" text="Azul Petróleo">
      <formula>NOT(ISERROR(SEARCH("Azul Petróleo",M79)))</formula>
    </cfRule>
    <cfRule type="containsText" dxfId="6946" priority="2367" operator="containsText" text="Preto">
      <formula>NOT(ISERROR(SEARCH("Preto",M79)))</formula>
    </cfRule>
    <cfRule type="containsText" priority="2368" operator="containsText" text="Branco">
      <formula>NOT(ISERROR(SEARCH("Branco",M79)))</formula>
    </cfRule>
    <cfRule type="containsText" dxfId="6945" priority="2369" operator="containsText" text="Bege">
      <formula>NOT(ISERROR(SEARCH("Bege",M79)))</formula>
    </cfRule>
  </conditionalFormatting>
  <conditionalFormatting sqref="M79">
    <cfRule type="containsText" dxfId="6944" priority="2352" operator="containsText" text="Cinza">
      <formula>NOT(ISERROR(SEARCH("Cinza",M79)))</formula>
    </cfRule>
    <cfRule type="containsText" dxfId="6943" priority="2353" operator="containsText" text="Púrpura">
      <formula>NOT(ISERROR(SEARCH("Púrpura",M79)))</formula>
    </cfRule>
    <cfRule type="containsText" dxfId="6942" priority="2354" operator="containsText" text="Rosa">
      <formula>NOT(ISERROR(SEARCH("Rosa",M79)))</formula>
    </cfRule>
    <cfRule type="containsText" dxfId="6941" priority="2355" operator="containsText" text="Castanho">
      <formula>NOT(ISERROR(SEARCH("Castanho",M79)))</formula>
    </cfRule>
    <cfRule type="containsText" dxfId="6940" priority="2356" operator="containsText" text="Verde Água">
      <formula>NOT(ISERROR(SEARCH("Verde Água",M79)))</formula>
    </cfRule>
    <cfRule type="containsText" dxfId="6939" priority="2357" operator="containsText" text="Azul Petróleo">
      <formula>NOT(ISERROR(SEARCH("Azul Petróleo",M79)))</formula>
    </cfRule>
    <cfRule type="containsText" dxfId="6938" priority="2358" operator="containsText" text="Preto">
      <formula>NOT(ISERROR(SEARCH("Preto",M79)))</formula>
    </cfRule>
    <cfRule type="containsText" priority="2359" operator="containsText" text="Branco">
      <formula>NOT(ISERROR(SEARCH("Branco",M79)))</formula>
    </cfRule>
    <cfRule type="containsText" dxfId="6937" priority="2360" operator="containsText" text="Bege">
      <formula>NOT(ISERROR(SEARCH("Bege",M79)))</formula>
    </cfRule>
  </conditionalFormatting>
  <conditionalFormatting sqref="M79">
    <cfRule type="containsText" dxfId="6936" priority="2343" operator="containsText" text="Cinza">
      <formula>NOT(ISERROR(SEARCH("Cinza",M79)))</formula>
    </cfRule>
    <cfRule type="containsText" dxfId="6935" priority="2344" operator="containsText" text="Púrpura">
      <formula>NOT(ISERROR(SEARCH("Púrpura",M79)))</formula>
    </cfRule>
    <cfRule type="containsText" dxfId="6934" priority="2345" operator="containsText" text="Rosa">
      <formula>NOT(ISERROR(SEARCH("Rosa",M79)))</formula>
    </cfRule>
    <cfRule type="containsText" dxfId="6933" priority="2346" operator="containsText" text="Castanho">
      <formula>NOT(ISERROR(SEARCH("Castanho",M79)))</formula>
    </cfRule>
    <cfRule type="containsText" dxfId="6932" priority="2347" operator="containsText" text="Verde Água">
      <formula>NOT(ISERROR(SEARCH("Verde Água",M79)))</formula>
    </cfRule>
    <cfRule type="containsText" dxfId="6931" priority="2348" operator="containsText" text="Azul Petróleo">
      <formula>NOT(ISERROR(SEARCH("Azul Petróleo",M79)))</formula>
    </cfRule>
    <cfRule type="containsText" dxfId="6930" priority="2349" operator="containsText" text="Preto">
      <formula>NOT(ISERROR(SEARCH("Preto",M79)))</formula>
    </cfRule>
    <cfRule type="containsText" priority="2350" operator="containsText" text="Branco">
      <formula>NOT(ISERROR(SEARCH("Branco",M79)))</formula>
    </cfRule>
    <cfRule type="containsText" dxfId="6929" priority="2351" operator="containsText" text="Bege">
      <formula>NOT(ISERROR(SEARCH("Bege",M79)))</formula>
    </cfRule>
  </conditionalFormatting>
  <conditionalFormatting sqref="M79">
    <cfRule type="containsText" dxfId="6928" priority="2334" operator="containsText" text="Cinza">
      <formula>NOT(ISERROR(SEARCH("Cinza",M79)))</formula>
    </cfRule>
    <cfRule type="containsText" dxfId="6927" priority="2335" operator="containsText" text="Púrpura">
      <formula>NOT(ISERROR(SEARCH("Púrpura",M79)))</formula>
    </cfRule>
    <cfRule type="containsText" dxfId="6926" priority="2336" operator="containsText" text="Rosa">
      <formula>NOT(ISERROR(SEARCH("Rosa",M79)))</formula>
    </cfRule>
    <cfRule type="containsText" dxfId="6925" priority="2337" operator="containsText" text="Castanho">
      <formula>NOT(ISERROR(SEARCH("Castanho",M79)))</formula>
    </cfRule>
    <cfRule type="containsText" dxfId="6924" priority="2338" operator="containsText" text="Verde Água">
      <formula>NOT(ISERROR(SEARCH("Verde Água",M79)))</formula>
    </cfRule>
    <cfRule type="containsText" dxfId="6923" priority="2339" operator="containsText" text="Azul Petróleo">
      <formula>NOT(ISERROR(SEARCH("Azul Petróleo",M79)))</formula>
    </cfRule>
    <cfRule type="containsText" dxfId="6922" priority="2340" operator="containsText" text="Preto">
      <formula>NOT(ISERROR(SEARCH("Preto",M79)))</formula>
    </cfRule>
    <cfRule type="containsText" priority="2341" operator="containsText" text="Branco">
      <formula>NOT(ISERROR(SEARCH("Branco",M79)))</formula>
    </cfRule>
    <cfRule type="containsText" dxfId="6921" priority="2342" operator="containsText" text="Bege">
      <formula>NOT(ISERROR(SEARCH("Bege",M79)))</formula>
    </cfRule>
  </conditionalFormatting>
  <conditionalFormatting sqref="M79">
    <cfRule type="containsText" dxfId="6920" priority="2325" operator="containsText" text="Cinza">
      <formula>NOT(ISERROR(SEARCH("Cinza",M79)))</formula>
    </cfRule>
    <cfRule type="containsText" dxfId="6919" priority="2326" operator="containsText" text="Púrpura">
      <formula>NOT(ISERROR(SEARCH("Púrpura",M79)))</formula>
    </cfRule>
    <cfRule type="containsText" dxfId="6918" priority="2327" operator="containsText" text="Rosa">
      <formula>NOT(ISERROR(SEARCH("Rosa",M79)))</formula>
    </cfRule>
    <cfRule type="containsText" dxfId="6917" priority="2328" operator="containsText" text="Castanho">
      <formula>NOT(ISERROR(SEARCH("Castanho",M79)))</formula>
    </cfRule>
    <cfRule type="containsText" dxfId="6916" priority="2329" operator="containsText" text="Verde Água">
      <formula>NOT(ISERROR(SEARCH("Verde Água",M79)))</formula>
    </cfRule>
    <cfRule type="containsText" dxfId="6915" priority="2330" operator="containsText" text="Azul Petróleo">
      <formula>NOT(ISERROR(SEARCH("Azul Petróleo",M79)))</formula>
    </cfRule>
    <cfRule type="containsText" dxfId="6914" priority="2331" operator="containsText" text="Preto">
      <formula>NOT(ISERROR(SEARCH("Preto",M79)))</formula>
    </cfRule>
    <cfRule type="containsText" priority="2332" operator="containsText" text="Branco">
      <formula>NOT(ISERROR(SEARCH("Branco",M79)))</formula>
    </cfRule>
    <cfRule type="containsText" dxfId="6913" priority="2333" operator="containsText" text="Bege">
      <formula>NOT(ISERROR(SEARCH("Bege",M79)))</formula>
    </cfRule>
  </conditionalFormatting>
  <conditionalFormatting sqref="M79">
    <cfRule type="containsText" dxfId="6912" priority="2316" operator="containsText" text="Cinza">
      <formula>NOT(ISERROR(SEARCH("Cinza",M79)))</formula>
    </cfRule>
    <cfRule type="containsText" dxfId="6911" priority="2317" operator="containsText" text="Púrpura">
      <formula>NOT(ISERROR(SEARCH("Púrpura",M79)))</formula>
    </cfRule>
    <cfRule type="containsText" dxfId="6910" priority="2318" operator="containsText" text="Rosa">
      <formula>NOT(ISERROR(SEARCH("Rosa",M79)))</formula>
    </cfRule>
    <cfRule type="containsText" dxfId="6909" priority="2319" operator="containsText" text="Castanho">
      <formula>NOT(ISERROR(SEARCH("Castanho",M79)))</formula>
    </cfRule>
    <cfRule type="containsText" dxfId="6908" priority="2320" operator="containsText" text="Verde Água">
      <formula>NOT(ISERROR(SEARCH("Verde Água",M79)))</formula>
    </cfRule>
    <cfRule type="containsText" dxfId="6907" priority="2321" operator="containsText" text="Azul Petróleo">
      <formula>NOT(ISERROR(SEARCH("Azul Petróleo",M79)))</formula>
    </cfRule>
    <cfRule type="containsText" dxfId="6906" priority="2322" operator="containsText" text="Preto">
      <formula>NOT(ISERROR(SEARCH("Preto",M79)))</formula>
    </cfRule>
    <cfRule type="containsText" priority="2323" operator="containsText" text="Branco">
      <formula>NOT(ISERROR(SEARCH("Branco",M79)))</formula>
    </cfRule>
    <cfRule type="containsText" dxfId="6905" priority="2324" operator="containsText" text="Bege">
      <formula>NOT(ISERROR(SEARCH("Bege",M79)))</formula>
    </cfRule>
  </conditionalFormatting>
  <conditionalFormatting sqref="M79">
    <cfRule type="containsText" dxfId="6904" priority="2307" operator="containsText" text="Cinza">
      <formula>NOT(ISERROR(SEARCH("Cinza",M79)))</formula>
    </cfRule>
    <cfRule type="containsText" dxfId="6903" priority="2308" operator="containsText" text="Púrpura">
      <formula>NOT(ISERROR(SEARCH("Púrpura",M79)))</formula>
    </cfRule>
    <cfRule type="containsText" dxfId="6902" priority="2309" operator="containsText" text="Rosa">
      <formula>NOT(ISERROR(SEARCH("Rosa",M79)))</formula>
    </cfRule>
    <cfRule type="containsText" dxfId="6901" priority="2310" operator="containsText" text="Castanho">
      <formula>NOT(ISERROR(SEARCH("Castanho",M79)))</formula>
    </cfRule>
    <cfRule type="containsText" dxfId="6900" priority="2311" operator="containsText" text="Verde Água">
      <formula>NOT(ISERROR(SEARCH("Verde Água",M79)))</formula>
    </cfRule>
    <cfRule type="containsText" dxfId="6899" priority="2312" operator="containsText" text="Azul Petróleo">
      <formula>NOT(ISERROR(SEARCH("Azul Petróleo",M79)))</formula>
    </cfRule>
    <cfRule type="containsText" dxfId="6898" priority="2313" operator="containsText" text="Preto">
      <formula>NOT(ISERROR(SEARCH("Preto",M79)))</formula>
    </cfRule>
    <cfRule type="containsText" priority="2314" operator="containsText" text="Branco">
      <formula>NOT(ISERROR(SEARCH("Branco",M79)))</formula>
    </cfRule>
    <cfRule type="containsText" dxfId="6897" priority="2315" operator="containsText" text="Bege">
      <formula>NOT(ISERROR(SEARCH("Bege",M79)))</formula>
    </cfRule>
  </conditionalFormatting>
  <conditionalFormatting sqref="M79">
    <cfRule type="containsText" dxfId="6896" priority="2298" operator="containsText" text="Cinza">
      <formula>NOT(ISERROR(SEARCH("Cinza",M79)))</formula>
    </cfRule>
    <cfRule type="containsText" dxfId="6895" priority="2299" operator="containsText" text="Púrpura">
      <formula>NOT(ISERROR(SEARCH("Púrpura",M79)))</formula>
    </cfRule>
    <cfRule type="containsText" dxfId="6894" priority="2300" operator="containsText" text="Rosa">
      <formula>NOT(ISERROR(SEARCH("Rosa",M79)))</formula>
    </cfRule>
    <cfRule type="containsText" dxfId="6893" priority="2301" operator="containsText" text="Castanho">
      <formula>NOT(ISERROR(SEARCH("Castanho",M79)))</formula>
    </cfRule>
    <cfRule type="containsText" dxfId="6892" priority="2302" operator="containsText" text="Verde Água">
      <formula>NOT(ISERROR(SEARCH("Verde Água",M79)))</formula>
    </cfRule>
    <cfRule type="containsText" dxfId="6891" priority="2303" operator="containsText" text="Azul Petróleo">
      <formula>NOT(ISERROR(SEARCH("Azul Petróleo",M79)))</formula>
    </cfRule>
    <cfRule type="containsText" dxfId="6890" priority="2304" operator="containsText" text="Preto">
      <formula>NOT(ISERROR(SEARCH("Preto",M79)))</formula>
    </cfRule>
    <cfRule type="containsText" priority="2305" operator="containsText" text="Branco">
      <formula>NOT(ISERROR(SEARCH("Branco",M79)))</formula>
    </cfRule>
    <cfRule type="containsText" dxfId="6889" priority="2306" operator="containsText" text="Bege">
      <formula>NOT(ISERROR(SEARCH("Bege",M79)))</formula>
    </cfRule>
  </conditionalFormatting>
  <conditionalFormatting sqref="M79">
    <cfRule type="containsText" dxfId="6888" priority="2289" operator="containsText" text="Cinza">
      <formula>NOT(ISERROR(SEARCH("Cinza",M79)))</formula>
    </cfRule>
    <cfRule type="containsText" dxfId="6887" priority="2290" operator="containsText" text="Púrpura">
      <formula>NOT(ISERROR(SEARCH("Púrpura",M79)))</formula>
    </cfRule>
    <cfRule type="containsText" dxfId="6886" priority="2291" operator="containsText" text="Rosa">
      <formula>NOT(ISERROR(SEARCH("Rosa",M79)))</formula>
    </cfRule>
    <cfRule type="containsText" dxfId="6885" priority="2292" operator="containsText" text="Castanho">
      <formula>NOT(ISERROR(SEARCH("Castanho",M79)))</formula>
    </cfRule>
    <cfRule type="containsText" dxfId="6884" priority="2293" operator="containsText" text="Verde Água">
      <formula>NOT(ISERROR(SEARCH("Verde Água",M79)))</formula>
    </cfRule>
    <cfRule type="containsText" dxfId="6883" priority="2294" operator="containsText" text="Azul Petróleo">
      <formula>NOT(ISERROR(SEARCH("Azul Petróleo",M79)))</formula>
    </cfRule>
    <cfRule type="containsText" dxfId="6882" priority="2295" operator="containsText" text="Preto">
      <formula>NOT(ISERROR(SEARCH("Preto",M79)))</formula>
    </cfRule>
    <cfRule type="containsText" priority="2296" operator="containsText" text="Branco">
      <formula>NOT(ISERROR(SEARCH("Branco",M79)))</formula>
    </cfRule>
    <cfRule type="containsText" dxfId="6881" priority="2297" operator="containsText" text="Bege">
      <formula>NOT(ISERROR(SEARCH("Bege",M79)))</formula>
    </cfRule>
  </conditionalFormatting>
  <conditionalFormatting sqref="M79">
    <cfRule type="containsText" dxfId="6880" priority="2280" operator="containsText" text="Cinza">
      <formula>NOT(ISERROR(SEARCH("Cinza",M79)))</formula>
    </cfRule>
    <cfRule type="containsText" dxfId="6879" priority="2281" operator="containsText" text="Púrpura">
      <formula>NOT(ISERROR(SEARCH("Púrpura",M79)))</formula>
    </cfRule>
    <cfRule type="containsText" dxfId="6878" priority="2282" operator="containsText" text="Rosa">
      <formula>NOT(ISERROR(SEARCH("Rosa",M79)))</formula>
    </cfRule>
    <cfRule type="containsText" dxfId="6877" priority="2283" operator="containsText" text="Castanho">
      <formula>NOT(ISERROR(SEARCH("Castanho",M79)))</formula>
    </cfRule>
    <cfRule type="containsText" dxfId="6876" priority="2284" operator="containsText" text="Verde Água">
      <formula>NOT(ISERROR(SEARCH("Verde Água",M79)))</formula>
    </cfRule>
    <cfRule type="containsText" dxfId="6875" priority="2285" operator="containsText" text="Azul Petróleo">
      <formula>NOT(ISERROR(SEARCH("Azul Petróleo",M79)))</formula>
    </cfRule>
    <cfRule type="containsText" dxfId="6874" priority="2286" operator="containsText" text="Preto">
      <formula>NOT(ISERROR(SEARCH("Preto",M79)))</formula>
    </cfRule>
    <cfRule type="containsText" priority="2287" operator="containsText" text="Branco">
      <formula>NOT(ISERROR(SEARCH("Branco",M79)))</formula>
    </cfRule>
    <cfRule type="containsText" dxfId="6873" priority="2288" operator="containsText" text="Bege">
      <formula>NOT(ISERROR(SEARCH("Bege",M79)))</formula>
    </cfRule>
  </conditionalFormatting>
  <conditionalFormatting sqref="M79">
    <cfRule type="containsText" dxfId="6872" priority="2271" operator="containsText" text="Cinza">
      <formula>NOT(ISERROR(SEARCH("Cinza",M79)))</formula>
    </cfRule>
    <cfRule type="containsText" dxfId="6871" priority="2272" operator="containsText" text="Púrpura">
      <formula>NOT(ISERROR(SEARCH("Púrpura",M79)))</formula>
    </cfRule>
    <cfRule type="containsText" dxfId="6870" priority="2273" operator="containsText" text="Rosa">
      <formula>NOT(ISERROR(SEARCH("Rosa",M79)))</formula>
    </cfRule>
    <cfRule type="containsText" dxfId="6869" priority="2274" operator="containsText" text="Castanho">
      <formula>NOT(ISERROR(SEARCH("Castanho",M79)))</formula>
    </cfRule>
    <cfRule type="containsText" dxfId="6868" priority="2275" operator="containsText" text="Verde Água">
      <formula>NOT(ISERROR(SEARCH("Verde Água",M79)))</formula>
    </cfRule>
    <cfRule type="containsText" dxfId="6867" priority="2276" operator="containsText" text="Azul Petróleo">
      <formula>NOT(ISERROR(SEARCH("Azul Petróleo",M79)))</formula>
    </cfRule>
    <cfRule type="containsText" dxfId="6866" priority="2277" operator="containsText" text="Preto">
      <formula>NOT(ISERROR(SEARCH("Preto",M79)))</formula>
    </cfRule>
    <cfRule type="containsText" priority="2278" operator="containsText" text="Branco">
      <formula>NOT(ISERROR(SEARCH("Branco",M79)))</formula>
    </cfRule>
    <cfRule type="containsText" dxfId="6865" priority="2279" operator="containsText" text="Bege">
      <formula>NOT(ISERROR(SEARCH("Bege",M79)))</formula>
    </cfRule>
  </conditionalFormatting>
  <conditionalFormatting sqref="M79">
    <cfRule type="containsText" dxfId="6864" priority="2262" operator="containsText" text="Cinza">
      <formula>NOT(ISERROR(SEARCH("Cinza",M79)))</formula>
    </cfRule>
    <cfRule type="containsText" dxfId="6863" priority="2263" operator="containsText" text="Púrpura">
      <formula>NOT(ISERROR(SEARCH("Púrpura",M79)))</formula>
    </cfRule>
    <cfRule type="containsText" dxfId="6862" priority="2264" operator="containsText" text="Rosa">
      <formula>NOT(ISERROR(SEARCH("Rosa",M79)))</formula>
    </cfRule>
    <cfRule type="containsText" dxfId="6861" priority="2265" operator="containsText" text="Castanho">
      <formula>NOT(ISERROR(SEARCH("Castanho",M79)))</formula>
    </cfRule>
    <cfRule type="containsText" dxfId="6860" priority="2266" operator="containsText" text="Verde Água">
      <formula>NOT(ISERROR(SEARCH("Verde Água",M79)))</formula>
    </cfRule>
    <cfRule type="containsText" dxfId="6859" priority="2267" operator="containsText" text="Azul Petróleo">
      <formula>NOT(ISERROR(SEARCH("Azul Petróleo",M79)))</formula>
    </cfRule>
    <cfRule type="containsText" dxfId="6858" priority="2268" operator="containsText" text="Preto">
      <formula>NOT(ISERROR(SEARCH("Preto",M79)))</formula>
    </cfRule>
    <cfRule type="containsText" priority="2269" operator="containsText" text="Branco">
      <formula>NOT(ISERROR(SEARCH("Branco",M79)))</formula>
    </cfRule>
    <cfRule type="containsText" dxfId="6857" priority="2270" operator="containsText" text="Bege">
      <formula>NOT(ISERROR(SEARCH("Bege",M79)))</formula>
    </cfRule>
  </conditionalFormatting>
  <conditionalFormatting sqref="M79">
    <cfRule type="containsText" dxfId="6856" priority="2253" operator="containsText" text="Cinza">
      <formula>NOT(ISERROR(SEARCH("Cinza",M79)))</formula>
    </cfRule>
    <cfRule type="containsText" dxfId="6855" priority="2254" operator="containsText" text="Púrpura">
      <formula>NOT(ISERROR(SEARCH("Púrpura",M79)))</formula>
    </cfRule>
    <cfRule type="containsText" dxfId="6854" priority="2255" operator="containsText" text="Rosa">
      <formula>NOT(ISERROR(SEARCH("Rosa",M79)))</formula>
    </cfRule>
    <cfRule type="containsText" dxfId="6853" priority="2256" operator="containsText" text="Castanho">
      <formula>NOT(ISERROR(SEARCH("Castanho",M79)))</formula>
    </cfRule>
    <cfRule type="containsText" dxfId="6852" priority="2257" operator="containsText" text="Verde Água">
      <formula>NOT(ISERROR(SEARCH("Verde Água",M79)))</formula>
    </cfRule>
    <cfRule type="containsText" dxfId="6851" priority="2258" operator="containsText" text="Azul Petróleo">
      <formula>NOT(ISERROR(SEARCH("Azul Petróleo",M79)))</formula>
    </cfRule>
    <cfRule type="containsText" dxfId="6850" priority="2259" operator="containsText" text="Preto">
      <formula>NOT(ISERROR(SEARCH("Preto",M79)))</formula>
    </cfRule>
    <cfRule type="containsText" priority="2260" operator="containsText" text="Branco">
      <formula>NOT(ISERROR(SEARCH("Branco",M79)))</formula>
    </cfRule>
    <cfRule type="containsText" dxfId="6849" priority="2261" operator="containsText" text="Bege">
      <formula>NOT(ISERROR(SEARCH("Bege",M79)))</formula>
    </cfRule>
  </conditionalFormatting>
  <conditionalFormatting sqref="M79">
    <cfRule type="containsText" dxfId="6848" priority="2244" operator="containsText" text="Cinza">
      <formula>NOT(ISERROR(SEARCH("Cinza",M79)))</formula>
    </cfRule>
    <cfRule type="containsText" dxfId="6847" priority="2245" operator="containsText" text="Púrpura">
      <formula>NOT(ISERROR(SEARCH("Púrpura",M79)))</formula>
    </cfRule>
    <cfRule type="containsText" dxfId="6846" priority="2246" operator="containsText" text="Rosa">
      <formula>NOT(ISERROR(SEARCH("Rosa",M79)))</formula>
    </cfRule>
    <cfRule type="containsText" dxfId="6845" priority="2247" operator="containsText" text="Castanho">
      <formula>NOT(ISERROR(SEARCH("Castanho",M79)))</formula>
    </cfRule>
    <cfRule type="containsText" dxfId="6844" priority="2248" operator="containsText" text="Verde Água">
      <formula>NOT(ISERROR(SEARCH("Verde Água",M79)))</formula>
    </cfRule>
    <cfRule type="containsText" dxfId="6843" priority="2249" operator="containsText" text="Azul Petróleo">
      <formula>NOT(ISERROR(SEARCH("Azul Petróleo",M79)))</formula>
    </cfRule>
    <cfRule type="containsText" dxfId="6842" priority="2250" operator="containsText" text="Preto">
      <formula>NOT(ISERROR(SEARCH("Preto",M79)))</formula>
    </cfRule>
    <cfRule type="containsText" priority="2251" operator="containsText" text="Branco">
      <formula>NOT(ISERROR(SEARCH("Branco",M79)))</formula>
    </cfRule>
    <cfRule type="containsText" dxfId="6841" priority="2252" operator="containsText" text="Bege">
      <formula>NOT(ISERROR(SEARCH("Bege",M79)))</formula>
    </cfRule>
  </conditionalFormatting>
  <conditionalFormatting sqref="M79">
    <cfRule type="containsText" dxfId="6840" priority="2235" operator="containsText" text="Cinza">
      <formula>NOT(ISERROR(SEARCH("Cinza",M79)))</formula>
    </cfRule>
    <cfRule type="containsText" dxfId="6839" priority="2236" operator="containsText" text="Púrpura">
      <formula>NOT(ISERROR(SEARCH("Púrpura",M79)))</formula>
    </cfRule>
    <cfRule type="containsText" dxfId="6838" priority="2237" operator="containsText" text="Rosa">
      <formula>NOT(ISERROR(SEARCH("Rosa",M79)))</formula>
    </cfRule>
    <cfRule type="containsText" dxfId="6837" priority="2238" operator="containsText" text="Castanho">
      <formula>NOT(ISERROR(SEARCH("Castanho",M79)))</formula>
    </cfRule>
    <cfRule type="containsText" dxfId="6836" priority="2239" operator="containsText" text="Verde Água">
      <formula>NOT(ISERROR(SEARCH("Verde Água",M79)))</formula>
    </cfRule>
    <cfRule type="containsText" dxfId="6835" priority="2240" operator="containsText" text="Azul Petróleo">
      <formula>NOT(ISERROR(SEARCH("Azul Petróleo",M79)))</formula>
    </cfRule>
    <cfRule type="containsText" dxfId="6834" priority="2241" operator="containsText" text="Preto">
      <formula>NOT(ISERROR(SEARCH("Preto",M79)))</formula>
    </cfRule>
    <cfRule type="containsText" priority="2242" operator="containsText" text="Branco">
      <formula>NOT(ISERROR(SEARCH("Branco",M79)))</formula>
    </cfRule>
    <cfRule type="containsText" dxfId="6833" priority="2243" operator="containsText" text="Bege">
      <formula>NOT(ISERROR(SEARCH("Bege",M79)))</formula>
    </cfRule>
  </conditionalFormatting>
  <conditionalFormatting sqref="M79">
    <cfRule type="containsText" dxfId="6832" priority="2226" operator="containsText" text="Cinza">
      <formula>NOT(ISERROR(SEARCH("Cinza",M79)))</formula>
    </cfRule>
    <cfRule type="containsText" dxfId="6831" priority="2227" operator="containsText" text="Púrpura">
      <formula>NOT(ISERROR(SEARCH("Púrpura",M79)))</formula>
    </cfRule>
    <cfRule type="containsText" dxfId="6830" priority="2228" operator="containsText" text="Rosa">
      <formula>NOT(ISERROR(SEARCH("Rosa",M79)))</formula>
    </cfRule>
    <cfRule type="containsText" dxfId="6829" priority="2229" operator="containsText" text="Castanho">
      <formula>NOT(ISERROR(SEARCH("Castanho",M79)))</formula>
    </cfRule>
    <cfRule type="containsText" dxfId="6828" priority="2230" operator="containsText" text="Verde Água">
      <formula>NOT(ISERROR(SEARCH("Verde Água",M79)))</formula>
    </cfRule>
    <cfRule type="containsText" dxfId="6827" priority="2231" operator="containsText" text="Azul Petróleo">
      <formula>NOT(ISERROR(SEARCH("Azul Petróleo",M79)))</formula>
    </cfRule>
    <cfRule type="containsText" dxfId="6826" priority="2232" operator="containsText" text="Preto">
      <formula>NOT(ISERROR(SEARCH("Preto",M79)))</formula>
    </cfRule>
    <cfRule type="containsText" priority="2233" operator="containsText" text="Branco">
      <formula>NOT(ISERROR(SEARCH("Branco",M79)))</formula>
    </cfRule>
    <cfRule type="containsText" dxfId="6825" priority="2234" operator="containsText" text="Bege">
      <formula>NOT(ISERROR(SEARCH("Bege",M79)))</formula>
    </cfRule>
  </conditionalFormatting>
  <conditionalFormatting sqref="M79">
    <cfRule type="containsText" dxfId="6824" priority="2217" operator="containsText" text="Cinza">
      <formula>NOT(ISERROR(SEARCH("Cinza",M79)))</formula>
    </cfRule>
    <cfRule type="containsText" dxfId="6823" priority="2218" operator="containsText" text="Púrpura">
      <formula>NOT(ISERROR(SEARCH("Púrpura",M79)))</formula>
    </cfRule>
    <cfRule type="containsText" dxfId="6822" priority="2219" operator="containsText" text="Rosa">
      <formula>NOT(ISERROR(SEARCH("Rosa",M79)))</formula>
    </cfRule>
    <cfRule type="containsText" dxfId="6821" priority="2220" operator="containsText" text="Castanho">
      <formula>NOT(ISERROR(SEARCH("Castanho",M79)))</formula>
    </cfRule>
    <cfRule type="containsText" dxfId="6820" priority="2221" operator="containsText" text="Verde Água">
      <formula>NOT(ISERROR(SEARCH("Verde Água",M79)))</formula>
    </cfRule>
    <cfRule type="containsText" dxfId="6819" priority="2222" operator="containsText" text="Azul Petróleo">
      <formula>NOT(ISERROR(SEARCH("Azul Petróleo",M79)))</formula>
    </cfRule>
    <cfRule type="containsText" dxfId="6818" priority="2223" operator="containsText" text="Preto">
      <formula>NOT(ISERROR(SEARCH("Preto",M79)))</formula>
    </cfRule>
    <cfRule type="containsText" priority="2224" operator="containsText" text="Branco">
      <formula>NOT(ISERROR(SEARCH("Branco",M79)))</formula>
    </cfRule>
    <cfRule type="containsText" dxfId="6817" priority="2225" operator="containsText" text="Bege">
      <formula>NOT(ISERROR(SEARCH("Bege",M79)))</formula>
    </cfRule>
  </conditionalFormatting>
  <conditionalFormatting sqref="M79">
    <cfRule type="containsText" dxfId="6816" priority="2208" operator="containsText" text="Cinza">
      <formula>NOT(ISERROR(SEARCH("Cinza",M79)))</formula>
    </cfRule>
    <cfRule type="containsText" dxfId="6815" priority="2209" operator="containsText" text="Púrpura">
      <formula>NOT(ISERROR(SEARCH("Púrpura",M79)))</formula>
    </cfRule>
    <cfRule type="containsText" dxfId="6814" priority="2210" operator="containsText" text="Rosa">
      <formula>NOT(ISERROR(SEARCH("Rosa",M79)))</formula>
    </cfRule>
    <cfRule type="containsText" dxfId="6813" priority="2211" operator="containsText" text="Castanho">
      <formula>NOT(ISERROR(SEARCH("Castanho",M79)))</formula>
    </cfRule>
    <cfRule type="containsText" dxfId="6812" priority="2212" operator="containsText" text="Verde Água">
      <formula>NOT(ISERROR(SEARCH("Verde Água",M79)))</formula>
    </cfRule>
    <cfRule type="containsText" dxfId="6811" priority="2213" operator="containsText" text="Azul Petróleo">
      <formula>NOT(ISERROR(SEARCH("Azul Petróleo",M79)))</formula>
    </cfRule>
    <cfRule type="containsText" dxfId="6810" priority="2214" operator="containsText" text="Preto">
      <formula>NOT(ISERROR(SEARCH("Preto",M79)))</formula>
    </cfRule>
    <cfRule type="containsText" priority="2215" operator="containsText" text="Branco">
      <formula>NOT(ISERROR(SEARCH("Branco",M79)))</formula>
    </cfRule>
    <cfRule type="containsText" dxfId="6809" priority="2216" operator="containsText" text="Bege">
      <formula>NOT(ISERROR(SEARCH("Bege",M79)))</formula>
    </cfRule>
  </conditionalFormatting>
  <conditionalFormatting sqref="M79">
    <cfRule type="containsText" dxfId="6808" priority="2199" operator="containsText" text="Cinza">
      <formula>NOT(ISERROR(SEARCH("Cinza",M79)))</formula>
    </cfRule>
    <cfRule type="containsText" dxfId="6807" priority="2200" operator="containsText" text="Púrpura">
      <formula>NOT(ISERROR(SEARCH("Púrpura",M79)))</formula>
    </cfRule>
    <cfRule type="containsText" dxfId="6806" priority="2201" operator="containsText" text="Rosa">
      <formula>NOT(ISERROR(SEARCH("Rosa",M79)))</formula>
    </cfRule>
    <cfRule type="containsText" dxfId="6805" priority="2202" operator="containsText" text="Castanho">
      <formula>NOT(ISERROR(SEARCH("Castanho",M79)))</formula>
    </cfRule>
    <cfRule type="containsText" dxfId="6804" priority="2203" operator="containsText" text="Verde Água">
      <formula>NOT(ISERROR(SEARCH("Verde Água",M79)))</formula>
    </cfRule>
    <cfRule type="containsText" dxfId="6803" priority="2204" operator="containsText" text="Azul Petróleo">
      <formula>NOT(ISERROR(SEARCH("Azul Petróleo",M79)))</formula>
    </cfRule>
    <cfRule type="containsText" dxfId="6802" priority="2205" operator="containsText" text="Preto">
      <formula>NOT(ISERROR(SEARCH("Preto",M79)))</formula>
    </cfRule>
    <cfRule type="containsText" priority="2206" operator="containsText" text="Branco">
      <formula>NOT(ISERROR(SEARCH("Branco",M79)))</formula>
    </cfRule>
    <cfRule type="containsText" dxfId="6801" priority="2207" operator="containsText" text="Bege">
      <formula>NOT(ISERROR(SEARCH("Bege",M79)))</formula>
    </cfRule>
  </conditionalFormatting>
  <conditionalFormatting sqref="M79">
    <cfRule type="containsText" dxfId="6800" priority="2190" operator="containsText" text="Cinza">
      <formula>NOT(ISERROR(SEARCH("Cinza",M79)))</formula>
    </cfRule>
    <cfRule type="containsText" dxfId="6799" priority="2191" operator="containsText" text="Púrpura">
      <formula>NOT(ISERROR(SEARCH("Púrpura",M79)))</formula>
    </cfRule>
    <cfRule type="containsText" dxfId="6798" priority="2192" operator="containsText" text="Rosa">
      <formula>NOT(ISERROR(SEARCH("Rosa",M79)))</formula>
    </cfRule>
    <cfRule type="containsText" dxfId="6797" priority="2193" operator="containsText" text="Castanho">
      <formula>NOT(ISERROR(SEARCH("Castanho",M79)))</formula>
    </cfRule>
    <cfRule type="containsText" dxfId="6796" priority="2194" operator="containsText" text="Verde Água">
      <formula>NOT(ISERROR(SEARCH("Verde Água",M79)))</formula>
    </cfRule>
    <cfRule type="containsText" dxfId="6795" priority="2195" operator="containsText" text="Azul Petróleo">
      <formula>NOT(ISERROR(SEARCH("Azul Petróleo",M79)))</formula>
    </cfRule>
    <cfRule type="containsText" dxfId="6794" priority="2196" operator="containsText" text="Preto">
      <formula>NOT(ISERROR(SEARCH("Preto",M79)))</formula>
    </cfRule>
    <cfRule type="containsText" priority="2197" operator="containsText" text="Branco">
      <formula>NOT(ISERROR(SEARCH("Branco",M79)))</formula>
    </cfRule>
    <cfRule type="containsText" dxfId="6793" priority="2198" operator="containsText" text="Bege">
      <formula>NOT(ISERROR(SEARCH("Bege",M79)))</formula>
    </cfRule>
  </conditionalFormatting>
  <conditionalFormatting sqref="M79">
    <cfRule type="containsText" dxfId="6792" priority="2181" operator="containsText" text="Cinza">
      <formula>NOT(ISERROR(SEARCH("Cinza",M79)))</formula>
    </cfRule>
    <cfRule type="containsText" dxfId="6791" priority="2182" operator="containsText" text="Púrpura">
      <formula>NOT(ISERROR(SEARCH("Púrpura",M79)))</formula>
    </cfRule>
    <cfRule type="containsText" dxfId="6790" priority="2183" operator="containsText" text="Rosa">
      <formula>NOT(ISERROR(SEARCH("Rosa",M79)))</formula>
    </cfRule>
    <cfRule type="containsText" dxfId="6789" priority="2184" operator="containsText" text="Castanho">
      <formula>NOT(ISERROR(SEARCH("Castanho",M79)))</formula>
    </cfRule>
    <cfRule type="containsText" dxfId="6788" priority="2185" operator="containsText" text="Verde Água">
      <formula>NOT(ISERROR(SEARCH("Verde Água",M79)))</formula>
    </cfRule>
    <cfRule type="containsText" dxfId="6787" priority="2186" operator="containsText" text="Azul Petróleo">
      <formula>NOT(ISERROR(SEARCH("Azul Petróleo",M79)))</formula>
    </cfRule>
    <cfRule type="containsText" dxfId="6786" priority="2187" operator="containsText" text="Preto">
      <formula>NOT(ISERROR(SEARCH("Preto",M79)))</formula>
    </cfRule>
    <cfRule type="containsText" priority="2188" operator="containsText" text="Branco">
      <formula>NOT(ISERROR(SEARCH("Branco",M79)))</formula>
    </cfRule>
    <cfRule type="containsText" dxfId="6785" priority="2189" operator="containsText" text="Bege">
      <formula>NOT(ISERROR(SEARCH("Bege",M79)))</formula>
    </cfRule>
  </conditionalFormatting>
  <conditionalFormatting sqref="M79">
    <cfRule type="containsText" dxfId="6784" priority="2172" operator="containsText" text="Cinza">
      <formula>NOT(ISERROR(SEARCH("Cinza",M79)))</formula>
    </cfRule>
    <cfRule type="containsText" dxfId="6783" priority="2173" operator="containsText" text="Púrpura">
      <formula>NOT(ISERROR(SEARCH("Púrpura",M79)))</formula>
    </cfRule>
    <cfRule type="containsText" dxfId="6782" priority="2174" operator="containsText" text="Rosa">
      <formula>NOT(ISERROR(SEARCH("Rosa",M79)))</formula>
    </cfRule>
    <cfRule type="containsText" dxfId="6781" priority="2175" operator="containsText" text="Castanho">
      <formula>NOT(ISERROR(SEARCH("Castanho",M79)))</formula>
    </cfRule>
    <cfRule type="containsText" dxfId="6780" priority="2176" operator="containsText" text="Verde Água">
      <formula>NOT(ISERROR(SEARCH("Verde Água",M79)))</formula>
    </cfRule>
    <cfRule type="containsText" dxfId="6779" priority="2177" operator="containsText" text="Azul Petróleo">
      <formula>NOT(ISERROR(SEARCH("Azul Petróleo",M79)))</formula>
    </cfRule>
    <cfRule type="containsText" dxfId="6778" priority="2178" operator="containsText" text="Preto">
      <formula>NOT(ISERROR(SEARCH("Preto",M79)))</formula>
    </cfRule>
    <cfRule type="containsText" priority="2179" operator="containsText" text="Branco">
      <formula>NOT(ISERROR(SEARCH("Branco",M79)))</formula>
    </cfRule>
    <cfRule type="containsText" dxfId="6777" priority="2180" operator="containsText" text="Bege">
      <formula>NOT(ISERROR(SEARCH("Bege",M79)))</formula>
    </cfRule>
  </conditionalFormatting>
  <conditionalFormatting sqref="M79">
    <cfRule type="containsText" dxfId="6776" priority="2163" operator="containsText" text="Cinza">
      <formula>NOT(ISERROR(SEARCH("Cinza",M79)))</formula>
    </cfRule>
    <cfRule type="containsText" dxfId="6775" priority="2164" operator="containsText" text="Púrpura">
      <formula>NOT(ISERROR(SEARCH("Púrpura",M79)))</formula>
    </cfRule>
    <cfRule type="containsText" dxfId="6774" priority="2165" operator="containsText" text="Rosa">
      <formula>NOT(ISERROR(SEARCH("Rosa",M79)))</formula>
    </cfRule>
    <cfRule type="containsText" dxfId="6773" priority="2166" operator="containsText" text="Castanho">
      <formula>NOT(ISERROR(SEARCH("Castanho",M79)))</formula>
    </cfRule>
    <cfRule type="containsText" dxfId="6772" priority="2167" operator="containsText" text="Verde Água">
      <formula>NOT(ISERROR(SEARCH("Verde Água",M79)))</formula>
    </cfRule>
    <cfRule type="containsText" dxfId="6771" priority="2168" operator="containsText" text="Azul Petróleo">
      <formula>NOT(ISERROR(SEARCH("Azul Petróleo",M79)))</formula>
    </cfRule>
    <cfRule type="containsText" dxfId="6770" priority="2169" operator="containsText" text="Preto">
      <formula>NOT(ISERROR(SEARCH("Preto",M79)))</formula>
    </cfRule>
    <cfRule type="containsText" priority="2170" operator="containsText" text="Branco">
      <formula>NOT(ISERROR(SEARCH("Branco",M79)))</formula>
    </cfRule>
    <cfRule type="containsText" dxfId="6769" priority="2171" operator="containsText" text="Bege">
      <formula>NOT(ISERROR(SEARCH("Bege",M79)))</formula>
    </cfRule>
  </conditionalFormatting>
  <conditionalFormatting sqref="M79">
    <cfRule type="containsText" dxfId="6768" priority="2154" operator="containsText" text="Cinza">
      <formula>NOT(ISERROR(SEARCH("Cinza",M79)))</formula>
    </cfRule>
    <cfRule type="containsText" dxfId="6767" priority="2155" operator="containsText" text="Púrpura">
      <formula>NOT(ISERROR(SEARCH("Púrpura",M79)))</formula>
    </cfRule>
    <cfRule type="containsText" dxfId="6766" priority="2156" operator="containsText" text="Rosa">
      <formula>NOT(ISERROR(SEARCH("Rosa",M79)))</formula>
    </cfRule>
    <cfRule type="containsText" dxfId="6765" priority="2157" operator="containsText" text="Castanho">
      <formula>NOT(ISERROR(SEARCH("Castanho",M79)))</formula>
    </cfRule>
    <cfRule type="containsText" dxfId="6764" priority="2158" operator="containsText" text="Verde Água">
      <formula>NOT(ISERROR(SEARCH("Verde Água",M79)))</formula>
    </cfRule>
    <cfRule type="containsText" dxfId="6763" priority="2159" operator="containsText" text="Azul Petróleo">
      <formula>NOT(ISERROR(SEARCH("Azul Petróleo",M79)))</formula>
    </cfRule>
    <cfRule type="containsText" dxfId="6762" priority="2160" operator="containsText" text="Preto">
      <formula>NOT(ISERROR(SEARCH("Preto",M79)))</formula>
    </cfRule>
    <cfRule type="containsText" priority="2161" operator="containsText" text="Branco">
      <formula>NOT(ISERROR(SEARCH("Branco",M79)))</formula>
    </cfRule>
    <cfRule type="containsText" dxfId="6761" priority="2162" operator="containsText" text="Bege">
      <formula>NOT(ISERROR(SEARCH("Bege",M79)))</formula>
    </cfRule>
  </conditionalFormatting>
  <conditionalFormatting sqref="M79">
    <cfRule type="containsText" dxfId="6760" priority="2145" operator="containsText" text="Cinza">
      <formula>NOT(ISERROR(SEARCH("Cinza",M79)))</formula>
    </cfRule>
    <cfRule type="containsText" dxfId="6759" priority="2146" operator="containsText" text="Púrpura">
      <formula>NOT(ISERROR(SEARCH("Púrpura",M79)))</formula>
    </cfRule>
    <cfRule type="containsText" dxfId="6758" priority="2147" operator="containsText" text="Rosa">
      <formula>NOT(ISERROR(SEARCH("Rosa",M79)))</formula>
    </cfRule>
    <cfRule type="containsText" dxfId="6757" priority="2148" operator="containsText" text="Castanho">
      <formula>NOT(ISERROR(SEARCH("Castanho",M79)))</formula>
    </cfRule>
    <cfRule type="containsText" dxfId="6756" priority="2149" operator="containsText" text="Verde Água">
      <formula>NOT(ISERROR(SEARCH("Verde Água",M79)))</formula>
    </cfRule>
    <cfRule type="containsText" dxfId="6755" priority="2150" operator="containsText" text="Azul Petróleo">
      <formula>NOT(ISERROR(SEARCH("Azul Petróleo",M79)))</formula>
    </cfRule>
    <cfRule type="containsText" dxfId="6754" priority="2151" operator="containsText" text="Preto">
      <formula>NOT(ISERROR(SEARCH("Preto",M79)))</formula>
    </cfRule>
    <cfRule type="containsText" priority="2152" operator="containsText" text="Branco">
      <formula>NOT(ISERROR(SEARCH("Branco",M79)))</formula>
    </cfRule>
    <cfRule type="containsText" dxfId="6753" priority="2153" operator="containsText" text="Bege">
      <formula>NOT(ISERROR(SEARCH("Bege",M79)))</formula>
    </cfRule>
  </conditionalFormatting>
  <conditionalFormatting sqref="M79">
    <cfRule type="containsText" dxfId="6752" priority="2136" operator="containsText" text="Cinza">
      <formula>NOT(ISERROR(SEARCH("Cinza",M79)))</formula>
    </cfRule>
    <cfRule type="containsText" dxfId="6751" priority="2137" operator="containsText" text="Púrpura">
      <formula>NOT(ISERROR(SEARCH("Púrpura",M79)))</formula>
    </cfRule>
    <cfRule type="containsText" dxfId="6750" priority="2138" operator="containsText" text="Rosa">
      <formula>NOT(ISERROR(SEARCH("Rosa",M79)))</formula>
    </cfRule>
    <cfRule type="containsText" dxfId="6749" priority="2139" operator="containsText" text="Castanho">
      <formula>NOT(ISERROR(SEARCH("Castanho",M79)))</formula>
    </cfRule>
    <cfRule type="containsText" dxfId="6748" priority="2140" operator="containsText" text="Verde Água">
      <formula>NOT(ISERROR(SEARCH("Verde Água",M79)))</formula>
    </cfRule>
    <cfRule type="containsText" dxfId="6747" priority="2141" operator="containsText" text="Azul Petróleo">
      <formula>NOT(ISERROR(SEARCH("Azul Petróleo",M79)))</formula>
    </cfRule>
    <cfRule type="containsText" dxfId="6746" priority="2142" operator="containsText" text="Preto">
      <formula>NOT(ISERROR(SEARCH("Preto",M79)))</formula>
    </cfRule>
    <cfRule type="containsText" priority="2143" operator="containsText" text="Branco">
      <formula>NOT(ISERROR(SEARCH("Branco",M79)))</formula>
    </cfRule>
    <cfRule type="containsText" dxfId="6745" priority="2144" operator="containsText" text="Bege">
      <formula>NOT(ISERROR(SEARCH("Bege",M79)))</formula>
    </cfRule>
  </conditionalFormatting>
  <conditionalFormatting sqref="M79">
    <cfRule type="containsText" dxfId="6744" priority="2127" operator="containsText" text="Cinza">
      <formula>NOT(ISERROR(SEARCH("Cinza",M79)))</formula>
    </cfRule>
    <cfRule type="containsText" dxfId="6743" priority="2128" operator="containsText" text="Púrpura">
      <formula>NOT(ISERROR(SEARCH("Púrpura",M79)))</formula>
    </cfRule>
    <cfRule type="containsText" dxfId="6742" priority="2129" operator="containsText" text="Rosa">
      <formula>NOT(ISERROR(SEARCH("Rosa",M79)))</formula>
    </cfRule>
    <cfRule type="containsText" dxfId="6741" priority="2130" operator="containsText" text="Castanho">
      <formula>NOT(ISERROR(SEARCH("Castanho",M79)))</formula>
    </cfRule>
    <cfRule type="containsText" dxfId="6740" priority="2131" operator="containsText" text="Verde Água">
      <formula>NOT(ISERROR(SEARCH("Verde Água",M79)))</formula>
    </cfRule>
    <cfRule type="containsText" dxfId="6739" priority="2132" operator="containsText" text="Azul Petróleo">
      <formula>NOT(ISERROR(SEARCH("Azul Petróleo",M79)))</formula>
    </cfRule>
    <cfRule type="containsText" dxfId="6738" priority="2133" operator="containsText" text="Preto">
      <formula>NOT(ISERROR(SEARCH("Preto",M79)))</formula>
    </cfRule>
    <cfRule type="containsText" priority="2134" operator="containsText" text="Branco">
      <formula>NOT(ISERROR(SEARCH("Branco",M79)))</formula>
    </cfRule>
    <cfRule type="containsText" dxfId="6737" priority="2135" operator="containsText" text="Bege">
      <formula>NOT(ISERROR(SEARCH("Bege",M79)))</formula>
    </cfRule>
  </conditionalFormatting>
  <conditionalFormatting sqref="M79">
    <cfRule type="containsText" dxfId="6736" priority="2118" operator="containsText" text="Cinza">
      <formula>NOT(ISERROR(SEARCH("Cinza",M79)))</formula>
    </cfRule>
    <cfRule type="containsText" dxfId="6735" priority="2119" operator="containsText" text="Púrpura">
      <formula>NOT(ISERROR(SEARCH("Púrpura",M79)))</formula>
    </cfRule>
    <cfRule type="containsText" dxfId="6734" priority="2120" operator="containsText" text="Rosa">
      <formula>NOT(ISERROR(SEARCH("Rosa",M79)))</formula>
    </cfRule>
    <cfRule type="containsText" dxfId="6733" priority="2121" operator="containsText" text="Castanho">
      <formula>NOT(ISERROR(SEARCH("Castanho",M79)))</formula>
    </cfRule>
    <cfRule type="containsText" dxfId="6732" priority="2122" operator="containsText" text="Verde Água">
      <formula>NOT(ISERROR(SEARCH("Verde Água",M79)))</formula>
    </cfRule>
    <cfRule type="containsText" dxfId="6731" priority="2123" operator="containsText" text="Azul Petróleo">
      <formula>NOT(ISERROR(SEARCH("Azul Petróleo",M79)))</formula>
    </cfRule>
    <cfRule type="containsText" dxfId="6730" priority="2124" operator="containsText" text="Preto">
      <formula>NOT(ISERROR(SEARCH("Preto",M79)))</formula>
    </cfRule>
    <cfRule type="containsText" priority="2125" operator="containsText" text="Branco">
      <formula>NOT(ISERROR(SEARCH("Branco",M79)))</formula>
    </cfRule>
    <cfRule type="containsText" dxfId="6729" priority="2126" operator="containsText" text="Bege">
      <formula>NOT(ISERROR(SEARCH("Bege",M79)))</formula>
    </cfRule>
  </conditionalFormatting>
  <conditionalFormatting sqref="M79">
    <cfRule type="containsText" dxfId="6728" priority="2109" operator="containsText" text="Cinza">
      <formula>NOT(ISERROR(SEARCH("Cinza",M79)))</formula>
    </cfRule>
    <cfRule type="containsText" dxfId="6727" priority="2110" operator="containsText" text="Púrpura">
      <formula>NOT(ISERROR(SEARCH("Púrpura",M79)))</formula>
    </cfRule>
    <cfRule type="containsText" dxfId="6726" priority="2111" operator="containsText" text="Rosa">
      <formula>NOT(ISERROR(SEARCH("Rosa",M79)))</formula>
    </cfRule>
    <cfRule type="containsText" dxfId="6725" priority="2112" operator="containsText" text="Castanho">
      <formula>NOT(ISERROR(SEARCH("Castanho",M79)))</formula>
    </cfRule>
    <cfRule type="containsText" dxfId="6724" priority="2113" operator="containsText" text="Verde Água">
      <formula>NOT(ISERROR(SEARCH("Verde Água",M79)))</formula>
    </cfRule>
    <cfRule type="containsText" dxfId="6723" priority="2114" operator="containsText" text="Azul Petróleo">
      <formula>NOT(ISERROR(SEARCH("Azul Petróleo",M79)))</formula>
    </cfRule>
    <cfRule type="containsText" dxfId="6722" priority="2115" operator="containsText" text="Preto">
      <formula>NOT(ISERROR(SEARCH("Preto",M79)))</formula>
    </cfRule>
    <cfRule type="containsText" priority="2116" operator="containsText" text="Branco">
      <formula>NOT(ISERROR(SEARCH("Branco",M79)))</formula>
    </cfRule>
    <cfRule type="containsText" dxfId="6721" priority="2117" operator="containsText" text="Bege">
      <formula>NOT(ISERROR(SEARCH("Bege",M79)))</formula>
    </cfRule>
  </conditionalFormatting>
  <conditionalFormatting sqref="M79">
    <cfRule type="containsText" dxfId="6720" priority="2100" operator="containsText" text="Cinza">
      <formula>NOT(ISERROR(SEARCH("Cinza",M79)))</formula>
    </cfRule>
    <cfRule type="containsText" dxfId="6719" priority="2101" operator="containsText" text="Púrpura">
      <formula>NOT(ISERROR(SEARCH("Púrpura",M79)))</formula>
    </cfRule>
    <cfRule type="containsText" dxfId="6718" priority="2102" operator="containsText" text="Rosa">
      <formula>NOT(ISERROR(SEARCH("Rosa",M79)))</formula>
    </cfRule>
    <cfRule type="containsText" dxfId="6717" priority="2103" operator="containsText" text="Castanho">
      <formula>NOT(ISERROR(SEARCH("Castanho",M79)))</formula>
    </cfRule>
    <cfRule type="containsText" dxfId="6716" priority="2104" operator="containsText" text="Verde Água">
      <formula>NOT(ISERROR(SEARCH("Verde Água",M79)))</formula>
    </cfRule>
    <cfRule type="containsText" dxfId="6715" priority="2105" operator="containsText" text="Azul Petróleo">
      <formula>NOT(ISERROR(SEARCH("Azul Petróleo",M79)))</formula>
    </cfRule>
    <cfRule type="containsText" dxfId="6714" priority="2106" operator="containsText" text="Preto">
      <formula>NOT(ISERROR(SEARCH("Preto",M79)))</formula>
    </cfRule>
    <cfRule type="containsText" priority="2107" operator="containsText" text="Branco">
      <formula>NOT(ISERROR(SEARCH("Branco",M79)))</formula>
    </cfRule>
    <cfRule type="containsText" dxfId="6713" priority="2108" operator="containsText" text="Bege">
      <formula>NOT(ISERROR(SEARCH("Bege",M79)))</formula>
    </cfRule>
  </conditionalFormatting>
  <conditionalFormatting sqref="M79">
    <cfRule type="containsText" dxfId="6712" priority="2091" operator="containsText" text="Escuro">
      <formula>NOT(ISERROR(SEARCH("Escuro",M79)))</formula>
    </cfRule>
    <cfRule type="containsText" dxfId="6711" priority="2092" operator="containsText" text="Cinza">
      <formula>NOT(ISERROR(SEARCH("Cinza",M79)))</formula>
    </cfRule>
    <cfRule type="containsText" dxfId="6710" priority="2093" operator="containsText" text="Púrpura">
      <formula>NOT(ISERROR(SEARCH("Púrpura",M79)))</formula>
    </cfRule>
    <cfRule type="containsText" dxfId="6709" priority="2094" operator="containsText" text="Rosa">
      <formula>NOT(ISERROR(SEARCH("Rosa",M79)))</formula>
    </cfRule>
    <cfRule type="containsText" dxfId="6708" priority="2095" operator="containsText" text="Castanho">
      <formula>NOT(ISERROR(SEARCH("Castanho",M79)))</formula>
    </cfRule>
    <cfRule type="containsText" dxfId="6707" priority="2096" operator="containsText" text="Verde Água">
      <formula>NOT(ISERROR(SEARCH("Verde Água",M79)))</formula>
    </cfRule>
    <cfRule type="containsText" dxfId="6706" priority="2097" operator="containsText" text="Azul Petróleo">
      <formula>NOT(ISERROR(SEARCH("Azul Petróleo",M79)))</formula>
    </cfRule>
    <cfRule type="containsText" dxfId="6705" priority="2098" operator="containsText" text="Preto">
      <formula>NOT(ISERROR(SEARCH("Preto",M79)))</formula>
    </cfRule>
    <cfRule type="containsText" priority="2099" operator="containsText" text="Branco">
      <formula>NOT(ISERROR(SEARCH("Branco",M79)))</formula>
    </cfRule>
  </conditionalFormatting>
  <conditionalFormatting sqref="W13">
    <cfRule type="containsText" dxfId="6704" priority="2082" operator="containsText" text="Cinza">
      <formula>NOT(ISERROR(SEARCH("Cinza",W13)))</formula>
    </cfRule>
    <cfRule type="containsText" dxfId="6703" priority="2083" operator="containsText" text="Púrpura">
      <formula>NOT(ISERROR(SEARCH("Púrpura",W13)))</formula>
    </cfRule>
    <cfRule type="containsText" dxfId="6702" priority="2084" operator="containsText" text="Rosa">
      <formula>NOT(ISERROR(SEARCH("Rosa",W13)))</formula>
    </cfRule>
    <cfRule type="containsText" dxfId="6701" priority="2085" operator="containsText" text="Castanho">
      <formula>NOT(ISERROR(SEARCH("Castanho",W13)))</formula>
    </cfRule>
    <cfRule type="containsText" dxfId="6700" priority="2086" operator="containsText" text="Verde Água">
      <formula>NOT(ISERROR(SEARCH("Verde Água",W13)))</formula>
    </cfRule>
    <cfRule type="containsText" dxfId="6699" priority="2087" operator="containsText" text="Azul Petróleo">
      <formula>NOT(ISERROR(SEARCH("Azul Petróleo",W13)))</formula>
    </cfRule>
    <cfRule type="containsText" dxfId="6698" priority="2088" operator="containsText" text="Preto">
      <formula>NOT(ISERROR(SEARCH("Preto",W13)))</formula>
    </cfRule>
    <cfRule type="containsText" priority="2089" operator="containsText" text="Branco">
      <formula>NOT(ISERROR(SEARCH("Branco",W13)))</formula>
    </cfRule>
    <cfRule type="containsText" dxfId="6697" priority="2090" operator="containsText" text="Bege">
      <formula>NOT(ISERROR(SEARCH("Bege",W13)))</formula>
    </cfRule>
  </conditionalFormatting>
  <conditionalFormatting sqref="W13">
    <cfRule type="containsText" dxfId="6696" priority="2073" operator="containsText" text="Escuro">
      <formula>NOT(ISERROR(SEARCH("Escuro",W13)))</formula>
    </cfRule>
    <cfRule type="containsText" dxfId="6695" priority="2074" operator="containsText" text="Cinza">
      <formula>NOT(ISERROR(SEARCH("Cinza",W13)))</formula>
    </cfRule>
    <cfRule type="containsText" dxfId="6694" priority="2075" operator="containsText" text="Púrpura">
      <formula>NOT(ISERROR(SEARCH("Púrpura",W13)))</formula>
    </cfRule>
    <cfRule type="containsText" dxfId="6693" priority="2076" operator="containsText" text="Rosa">
      <formula>NOT(ISERROR(SEARCH("Rosa",W13)))</formula>
    </cfRule>
    <cfRule type="containsText" dxfId="6692" priority="2077" operator="containsText" text="Castanho">
      <formula>NOT(ISERROR(SEARCH("Castanho",W13)))</formula>
    </cfRule>
    <cfRule type="containsText" dxfId="6691" priority="2078" operator="containsText" text="Verde Água">
      <formula>NOT(ISERROR(SEARCH("Verde Água",W13)))</formula>
    </cfRule>
    <cfRule type="containsText" dxfId="6690" priority="2079" operator="containsText" text="Azul Petróleo">
      <formula>NOT(ISERROR(SEARCH("Azul Petróleo",W13)))</formula>
    </cfRule>
    <cfRule type="containsText" dxfId="6689" priority="2080" operator="containsText" text="Preto">
      <formula>NOT(ISERROR(SEARCH("Preto",W13)))</formula>
    </cfRule>
    <cfRule type="containsText" priority="2081" operator="containsText" text="Branco">
      <formula>NOT(ISERROR(SEARCH("Branco",W13)))</formula>
    </cfRule>
  </conditionalFormatting>
  <conditionalFormatting sqref="W34">
    <cfRule type="containsText" dxfId="6688" priority="2064" operator="containsText" text="Cinza">
      <formula>NOT(ISERROR(SEARCH("Cinza",W34)))</formula>
    </cfRule>
    <cfRule type="containsText" dxfId="6687" priority="2065" operator="containsText" text="Púrpura">
      <formula>NOT(ISERROR(SEARCH("Púrpura",W34)))</formula>
    </cfRule>
    <cfRule type="containsText" dxfId="6686" priority="2066" operator="containsText" text="Rosa">
      <formula>NOT(ISERROR(SEARCH("Rosa",W34)))</formula>
    </cfRule>
    <cfRule type="containsText" dxfId="6685" priority="2067" operator="containsText" text="Castanho">
      <formula>NOT(ISERROR(SEARCH("Castanho",W34)))</formula>
    </cfRule>
    <cfRule type="containsText" dxfId="6684" priority="2068" operator="containsText" text="Verde Água">
      <formula>NOT(ISERROR(SEARCH("Verde Água",W34)))</formula>
    </cfRule>
    <cfRule type="containsText" dxfId="6683" priority="2069" operator="containsText" text="Azul Petróleo">
      <formula>NOT(ISERROR(SEARCH("Azul Petróleo",W34)))</formula>
    </cfRule>
    <cfRule type="containsText" dxfId="6682" priority="2070" operator="containsText" text="Preto">
      <formula>NOT(ISERROR(SEARCH("Preto",W34)))</formula>
    </cfRule>
    <cfRule type="containsText" priority="2071" operator="containsText" text="Branco">
      <formula>NOT(ISERROR(SEARCH("Branco",W34)))</formula>
    </cfRule>
    <cfRule type="containsText" dxfId="6681" priority="2072" operator="containsText" text="Bege">
      <formula>NOT(ISERROR(SEARCH("Bege",W34)))</formula>
    </cfRule>
  </conditionalFormatting>
  <conditionalFormatting sqref="W34">
    <cfRule type="containsText" dxfId="6680" priority="2055" operator="containsText" text="Cinza">
      <formula>NOT(ISERROR(SEARCH("Cinza",W34)))</formula>
    </cfRule>
    <cfRule type="containsText" dxfId="6679" priority="2056" operator="containsText" text="Púrpura">
      <formula>NOT(ISERROR(SEARCH("Púrpura",W34)))</formula>
    </cfRule>
    <cfRule type="containsText" dxfId="6678" priority="2057" operator="containsText" text="Rosa">
      <formula>NOT(ISERROR(SEARCH("Rosa",W34)))</formula>
    </cfRule>
    <cfRule type="containsText" dxfId="6677" priority="2058" operator="containsText" text="Castanho">
      <formula>NOT(ISERROR(SEARCH("Castanho",W34)))</formula>
    </cfRule>
    <cfRule type="containsText" dxfId="6676" priority="2059" operator="containsText" text="Verde Água">
      <formula>NOT(ISERROR(SEARCH("Verde Água",W34)))</formula>
    </cfRule>
    <cfRule type="containsText" dxfId="6675" priority="2060" operator="containsText" text="Azul Petróleo">
      <formula>NOT(ISERROR(SEARCH("Azul Petróleo",W34)))</formula>
    </cfRule>
    <cfRule type="containsText" dxfId="6674" priority="2061" operator="containsText" text="Preto">
      <formula>NOT(ISERROR(SEARCH("Preto",W34)))</formula>
    </cfRule>
    <cfRule type="containsText" priority="2062" operator="containsText" text="Branco">
      <formula>NOT(ISERROR(SEARCH("Branco",W34)))</formula>
    </cfRule>
    <cfRule type="containsText" dxfId="6673" priority="2063" operator="containsText" text="Bege">
      <formula>NOT(ISERROR(SEARCH("Bege",W34)))</formula>
    </cfRule>
  </conditionalFormatting>
  <conditionalFormatting sqref="W34">
    <cfRule type="containsText" dxfId="6672" priority="2046" operator="containsText" text="Cinza">
      <formula>NOT(ISERROR(SEARCH("Cinza",W34)))</formula>
    </cfRule>
    <cfRule type="containsText" dxfId="6671" priority="2047" operator="containsText" text="Púrpura">
      <formula>NOT(ISERROR(SEARCH("Púrpura",W34)))</formula>
    </cfRule>
    <cfRule type="containsText" dxfId="6670" priority="2048" operator="containsText" text="Rosa">
      <formula>NOT(ISERROR(SEARCH("Rosa",W34)))</formula>
    </cfRule>
    <cfRule type="containsText" dxfId="6669" priority="2049" operator="containsText" text="Castanho">
      <formula>NOT(ISERROR(SEARCH("Castanho",W34)))</formula>
    </cfRule>
    <cfRule type="containsText" dxfId="6668" priority="2050" operator="containsText" text="Verde Água">
      <formula>NOT(ISERROR(SEARCH("Verde Água",W34)))</formula>
    </cfRule>
    <cfRule type="containsText" dxfId="6667" priority="2051" operator="containsText" text="Azul Petróleo">
      <formula>NOT(ISERROR(SEARCH("Azul Petróleo",W34)))</formula>
    </cfRule>
    <cfRule type="containsText" dxfId="6666" priority="2052" operator="containsText" text="Preto">
      <formula>NOT(ISERROR(SEARCH("Preto",W34)))</formula>
    </cfRule>
    <cfRule type="containsText" priority="2053" operator="containsText" text="Branco">
      <formula>NOT(ISERROR(SEARCH("Branco",W34)))</formula>
    </cfRule>
    <cfRule type="containsText" dxfId="6665" priority="2054" operator="containsText" text="Bege">
      <formula>NOT(ISERROR(SEARCH("Bege",W34)))</formula>
    </cfRule>
  </conditionalFormatting>
  <conditionalFormatting sqref="W34">
    <cfRule type="containsText" dxfId="6664" priority="2037" operator="containsText" text="Cinza">
      <formula>NOT(ISERROR(SEARCH("Cinza",W34)))</formula>
    </cfRule>
    <cfRule type="containsText" dxfId="6663" priority="2038" operator="containsText" text="Púrpura">
      <formula>NOT(ISERROR(SEARCH("Púrpura",W34)))</formula>
    </cfRule>
    <cfRule type="containsText" dxfId="6662" priority="2039" operator="containsText" text="Rosa">
      <formula>NOT(ISERROR(SEARCH("Rosa",W34)))</formula>
    </cfRule>
    <cfRule type="containsText" dxfId="6661" priority="2040" operator="containsText" text="Castanho">
      <formula>NOT(ISERROR(SEARCH("Castanho",W34)))</formula>
    </cfRule>
    <cfRule type="containsText" dxfId="6660" priority="2041" operator="containsText" text="Verde Água">
      <formula>NOT(ISERROR(SEARCH("Verde Água",W34)))</formula>
    </cfRule>
    <cfRule type="containsText" dxfId="6659" priority="2042" operator="containsText" text="Azul Petróleo">
      <formula>NOT(ISERROR(SEARCH("Azul Petróleo",W34)))</formula>
    </cfRule>
    <cfRule type="containsText" dxfId="6658" priority="2043" operator="containsText" text="Preto">
      <formula>NOT(ISERROR(SEARCH("Preto",W34)))</formula>
    </cfRule>
    <cfRule type="containsText" priority="2044" operator="containsText" text="Branco">
      <formula>NOT(ISERROR(SEARCH("Branco",W34)))</formula>
    </cfRule>
    <cfRule type="containsText" dxfId="6657" priority="2045" operator="containsText" text="Bege">
      <formula>NOT(ISERROR(SEARCH("Bege",W34)))</formula>
    </cfRule>
  </conditionalFormatting>
  <conditionalFormatting sqref="W34">
    <cfRule type="containsText" dxfId="6656" priority="2028" operator="containsText" text="Cinza">
      <formula>NOT(ISERROR(SEARCH("Cinza",W34)))</formula>
    </cfRule>
    <cfRule type="containsText" dxfId="6655" priority="2029" operator="containsText" text="Púrpura">
      <formula>NOT(ISERROR(SEARCH("Púrpura",W34)))</formula>
    </cfRule>
    <cfRule type="containsText" dxfId="6654" priority="2030" operator="containsText" text="Rosa">
      <formula>NOT(ISERROR(SEARCH("Rosa",W34)))</formula>
    </cfRule>
    <cfRule type="containsText" dxfId="6653" priority="2031" operator="containsText" text="Castanho">
      <formula>NOT(ISERROR(SEARCH("Castanho",W34)))</formula>
    </cfRule>
    <cfRule type="containsText" dxfId="6652" priority="2032" operator="containsText" text="Verde Água">
      <formula>NOT(ISERROR(SEARCH("Verde Água",W34)))</formula>
    </cfRule>
    <cfRule type="containsText" dxfId="6651" priority="2033" operator="containsText" text="Azul Petróleo">
      <formula>NOT(ISERROR(SEARCH("Azul Petróleo",W34)))</formula>
    </cfRule>
    <cfRule type="containsText" dxfId="6650" priority="2034" operator="containsText" text="Preto">
      <formula>NOT(ISERROR(SEARCH("Preto",W34)))</formula>
    </cfRule>
    <cfRule type="containsText" priority="2035" operator="containsText" text="Branco">
      <formula>NOT(ISERROR(SEARCH("Branco",W34)))</formula>
    </cfRule>
    <cfRule type="containsText" dxfId="6649" priority="2036" operator="containsText" text="Bege">
      <formula>NOT(ISERROR(SEARCH("Bege",W34)))</formula>
    </cfRule>
  </conditionalFormatting>
  <conditionalFormatting sqref="W34">
    <cfRule type="containsText" dxfId="6648" priority="2019" operator="containsText" text="Cinza">
      <formula>NOT(ISERROR(SEARCH("Cinza",W34)))</formula>
    </cfRule>
    <cfRule type="containsText" dxfId="6647" priority="2020" operator="containsText" text="Púrpura">
      <formula>NOT(ISERROR(SEARCH("Púrpura",W34)))</formula>
    </cfRule>
    <cfRule type="containsText" dxfId="6646" priority="2021" operator="containsText" text="Rosa">
      <formula>NOT(ISERROR(SEARCH("Rosa",W34)))</formula>
    </cfRule>
    <cfRule type="containsText" dxfId="6645" priority="2022" operator="containsText" text="Castanho">
      <formula>NOT(ISERROR(SEARCH("Castanho",W34)))</formula>
    </cfRule>
    <cfRule type="containsText" dxfId="6644" priority="2023" operator="containsText" text="Verde Água">
      <formula>NOT(ISERROR(SEARCH("Verde Água",W34)))</formula>
    </cfRule>
    <cfRule type="containsText" dxfId="6643" priority="2024" operator="containsText" text="Azul Petróleo">
      <formula>NOT(ISERROR(SEARCH("Azul Petróleo",W34)))</formula>
    </cfRule>
    <cfRule type="containsText" dxfId="6642" priority="2025" operator="containsText" text="Preto">
      <formula>NOT(ISERROR(SEARCH("Preto",W34)))</formula>
    </cfRule>
    <cfRule type="containsText" priority="2026" operator="containsText" text="Branco">
      <formula>NOT(ISERROR(SEARCH("Branco",W34)))</formula>
    </cfRule>
    <cfRule type="containsText" dxfId="6641" priority="2027" operator="containsText" text="Bege">
      <formula>NOT(ISERROR(SEARCH("Bege",W34)))</formula>
    </cfRule>
  </conditionalFormatting>
  <conditionalFormatting sqref="W34">
    <cfRule type="containsText" dxfId="6640" priority="2010" operator="containsText" text="Cinza">
      <formula>NOT(ISERROR(SEARCH("Cinza",W34)))</formula>
    </cfRule>
    <cfRule type="containsText" dxfId="6639" priority="2011" operator="containsText" text="Púrpura">
      <formula>NOT(ISERROR(SEARCH("Púrpura",W34)))</formula>
    </cfRule>
    <cfRule type="containsText" dxfId="6638" priority="2012" operator="containsText" text="Rosa">
      <formula>NOT(ISERROR(SEARCH("Rosa",W34)))</formula>
    </cfRule>
    <cfRule type="containsText" dxfId="6637" priority="2013" operator="containsText" text="Castanho">
      <formula>NOT(ISERROR(SEARCH("Castanho",W34)))</formula>
    </cfRule>
    <cfRule type="containsText" dxfId="6636" priority="2014" operator="containsText" text="Verde Água">
      <formula>NOT(ISERROR(SEARCH("Verde Água",W34)))</formula>
    </cfRule>
    <cfRule type="containsText" dxfId="6635" priority="2015" operator="containsText" text="Azul Petróleo">
      <formula>NOT(ISERROR(SEARCH("Azul Petróleo",W34)))</formula>
    </cfRule>
    <cfRule type="containsText" dxfId="6634" priority="2016" operator="containsText" text="Preto">
      <formula>NOT(ISERROR(SEARCH("Preto",W34)))</formula>
    </cfRule>
    <cfRule type="containsText" priority="2017" operator="containsText" text="Branco">
      <formula>NOT(ISERROR(SEARCH("Branco",W34)))</formula>
    </cfRule>
    <cfRule type="containsText" dxfId="6633" priority="2018" operator="containsText" text="Bege">
      <formula>NOT(ISERROR(SEARCH("Bege",W34)))</formula>
    </cfRule>
  </conditionalFormatting>
  <conditionalFormatting sqref="W34">
    <cfRule type="containsText" dxfId="6632" priority="2001" operator="containsText" text="Cinza">
      <formula>NOT(ISERROR(SEARCH("Cinza",W34)))</formula>
    </cfRule>
    <cfRule type="containsText" dxfId="6631" priority="2002" operator="containsText" text="Púrpura">
      <formula>NOT(ISERROR(SEARCH("Púrpura",W34)))</formula>
    </cfRule>
    <cfRule type="containsText" dxfId="6630" priority="2003" operator="containsText" text="Rosa">
      <formula>NOT(ISERROR(SEARCH("Rosa",W34)))</formula>
    </cfRule>
    <cfRule type="containsText" dxfId="6629" priority="2004" operator="containsText" text="Castanho">
      <formula>NOT(ISERROR(SEARCH("Castanho",W34)))</formula>
    </cfRule>
    <cfRule type="containsText" dxfId="6628" priority="2005" operator="containsText" text="Verde Água">
      <formula>NOT(ISERROR(SEARCH("Verde Água",W34)))</formula>
    </cfRule>
    <cfRule type="containsText" dxfId="6627" priority="2006" operator="containsText" text="Azul Petróleo">
      <formula>NOT(ISERROR(SEARCH("Azul Petróleo",W34)))</formula>
    </cfRule>
    <cfRule type="containsText" dxfId="6626" priority="2007" operator="containsText" text="Preto">
      <formula>NOT(ISERROR(SEARCH("Preto",W34)))</formula>
    </cfRule>
    <cfRule type="containsText" priority="2008" operator="containsText" text="Branco">
      <formula>NOT(ISERROR(SEARCH("Branco",W34)))</formula>
    </cfRule>
    <cfRule type="containsText" dxfId="6625" priority="2009" operator="containsText" text="Bege">
      <formula>NOT(ISERROR(SEARCH("Bege",W34)))</formula>
    </cfRule>
  </conditionalFormatting>
  <conditionalFormatting sqref="W34">
    <cfRule type="containsText" dxfId="6624" priority="1992" operator="containsText" text="Cinza">
      <formula>NOT(ISERROR(SEARCH("Cinza",W34)))</formula>
    </cfRule>
    <cfRule type="containsText" dxfId="6623" priority="1993" operator="containsText" text="Púrpura">
      <formula>NOT(ISERROR(SEARCH("Púrpura",W34)))</formula>
    </cfRule>
    <cfRule type="containsText" dxfId="6622" priority="1994" operator="containsText" text="Rosa">
      <formula>NOT(ISERROR(SEARCH("Rosa",W34)))</formula>
    </cfRule>
    <cfRule type="containsText" dxfId="6621" priority="1995" operator="containsText" text="Castanho">
      <formula>NOT(ISERROR(SEARCH("Castanho",W34)))</formula>
    </cfRule>
    <cfRule type="containsText" dxfId="6620" priority="1996" operator="containsText" text="Verde Água">
      <formula>NOT(ISERROR(SEARCH("Verde Água",W34)))</formula>
    </cfRule>
    <cfRule type="containsText" dxfId="6619" priority="1997" operator="containsText" text="Azul Petróleo">
      <formula>NOT(ISERROR(SEARCH("Azul Petróleo",W34)))</formula>
    </cfRule>
    <cfRule type="containsText" dxfId="6618" priority="1998" operator="containsText" text="Preto">
      <formula>NOT(ISERROR(SEARCH("Preto",W34)))</formula>
    </cfRule>
    <cfRule type="containsText" priority="1999" operator="containsText" text="Branco">
      <formula>NOT(ISERROR(SEARCH("Branco",W34)))</formula>
    </cfRule>
    <cfRule type="containsText" dxfId="6617" priority="2000" operator="containsText" text="Bege">
      <formula>NOT(ISERROR(SEARCH("Bege",W34)))</formula>
    </cfRule>
  </conditionalFormatting>
  <conditionalFormatting sqref="W34">
    <cfRule type="containsText" dxfId="6616" priority="1983" operator="containsText" text="Cinza">
      <formula>NOT(ISERROR(SEARCH("Cinza",W34)))</formula>
    </cfRule>
    <cfRule type="containsText" dxfId="6615" priority="1984" operator="containsText" text="Púrpura">
      <formula>NOT(ISERROR(SEARCH("Púrpura",W34)))</formula>
    </cfRule>
    <cfRule type="containsText" dxfId="6614" priority="1985" operator="containsText" text="Rosa">
      <formula>NOT(ISERROR(SEARCH("Rosa",W34)))</formula>
    </cfRule>
    <cfRule type="containsText" dxfId="6613" priority="1986" operator="containsText" text="Castanho">
      <formula>NOT(ISERROR(SEARCH("Castanho",W34)))</formula>
    </cfRule>
    <cfRule type="containsText" dxfId="6612" priority="1987" operator="containsText" text="Verde Água">
      <formula>NOT(ISERROR(SEARCH("Verde Água",W34)))</formula>
    </cfRule>
    <cfRule type="containsText" dxfId="6611" priority="1988" operator="containsText" text="Azul Petróleo">
      <formula>NOT(ISERROR(SEARCH("Azul Petróleo",W34)))</formula>
    </cfRule>
    <cfRule type="containsText" dxfId="6610" priority="1989" operator="containsText" text="Preto">
      <formula>NOT(ISERROR(SEARCH("Preto",W34)))</formula>
    </cfRule>
    <cfRule type="containsText" priority="1990" operator="containsText" text="Branco">
      <formula>NOT(ISERROR(SEARCH("Branco",W34)))</formula>
    </cfRule>
    <cfRule type="containsText" dxfId="6609" priority="1991" operator="containsText" text="Bege">
      <formula>NOT(ISERROR(SEARCH("Bege",W34)))</formula>
    </cfRule>
  </conditionalFormatting>
  <conditionalFormatting sqref="W34">
    <cfRule type="containsText" dxfId="6608" priority="1974" operator="containsText" text="Cinza">
      <formula>NOT(ISERROR(SEARCH("Cinza",W34)))</formula>
    </cfRule>
    <cfRule type="containsText" dxfId="6607" priority="1975" operator="containsText" text="Púrpura">
      <formula>NOT(ISERROR(SEARCH("Púrpura",W34)))</formula>
    </cfRule>
    <cfRule type="containsText" dxfId="6606" priority="1976" operator="containsText" text="Rosa">
      <formula>NOT(ISERROR(SEARCH("Rosa",W34)))</formula>
    </cfRule>
    <cfRule type="containsText" dxfId="6605" priority="1977" operator="containsText" text="Castanho">
      <formula>NOT(ISERROR(SEARCH("Castanho",W34)))</formula>
    </cfRule>
    <cfRule type="containsText" dxfId="6604" priority="1978" operator="containsText" text="Verde Água">
      <formula>NOT(ISERROR(SEARCH("Verde Água",W34)))</formula>
    </cfRule>
    <cfRule type="containsText" dxfId="6603" priority="1979" operator="containsText" text="Azul Petróleo">
      <formula>NOT(ISERROR(SEARCH("Azul Petróleo",W34)))</formula>
    </cfRule>
    <cfRule type="containsText" dxfId="6602" priority="1980" operator="containsText" text="Preto">
      <formula>NOT(ISERROR(SEARCH("Preto",W34)))</formula>
    </cfRule>
    <cfRule type="containsText" priority="1981" operator="containsText" text="Branco">
      <formula>NOT(ISERROR(SEARCH("Branco",W34)))</formula>
    </cfRule>
    <cfRule type="containsText" dxfId="6601" priority="1982" operator="containsText" text="Bege">
      <formula>NOT(ISERROR(SEARCH("Bege",W34)))</formula>
    </cfRule>
  </conditionalFormatting>
  <conditionalFormatting sqref="W34">
    <cfRule type="containsText" dxfId="6600" priority="1965" operator="containsText" text="Cinza">
      <formula>NOT(ISERROR(SEARCH("Cinza",W34)))</formula>
    </cfRule>
    <cfRule type="containsText" dxfId="6599" priority="1966" operator="containsText" text="Púrpura">
      <formula>NOT(ISERROR(SEARCH("Púrpura",W34)))</formula>
    </cfRule>
    <cfRule type="containsText" dxfId="6598" priority="1967" operator="containsText" text="Rosa">
      <formula>NOT(ISERROR(SEARCH("Rosa",W34)))</formula>
    </cfRule>
    <cfRule type="containsText" dxfId="6597" priority="1968" operator="containsText" text="Castanho">
      <formula>NOT(ISERROR(SEARCH("Castanho",W34)))</formula>
    </cfRule>
    <cfRule type="containsText" dxfId="6596" priority="1969" operator="containsText" text="Verde Água">
      <formula>NOT(ISERROR(SEARCH("Verde Água",W34)))</formula>
    </cfRule>
    <cfRule type="containsText" dxfId="6595" priority="1970" operator="containsText" text="Azul Petróleo">
      <formula>NOT(ISERROR(SEARCH("Azul Petróleo",W34)))</formula>
    </cfRule>
    <cfRule type="containsText" dxfId="6594" priority="1971" operator="containsText" text="Preto">
      <formula>NOT(ISERROR(SEARCH("Preto",W34)))</formula>
    </cfRule>
    <cfRule type="containsText" priority="1972" operator="containsText" text="Branco">
      <formula>NOT(ISERROR(SEARCH("Branco",W34)))</formula>
    </cfRule>
    <cfRule type="containsText" dxfId="6593" priority="1973" operator="containsText" text="Bege">
      <formula>NOT(ISERROR(SEARCH("Bege",W34)))</formula>
    </cfRule>
  </conditionalFormatting>
  <conditionalFormatting sqref="W34">
    <cfRule type="containsText" dxfId="6592" priority="1956" operator="containsText" text="Cinza">
      <formula>NOT(ISERROR(SEARCH("Cinza",W34)))</formula>
    </cfRule>
    <cfRule type="containsText" dxfId="6591" priority="1957" operator="containsText" text="Púrpura">
      <formula>NOT(ISERROR(SEARCH("Púrpura",W34)))</formula>
    </cfRule>
    <cfRule type="containsText" dxfId="6590" priority="1958" operator="containsText" text="Rosa">
      <formula>NOT(ISERROR(SEARCH("Rosa",W34)))</formula>
    </cfRule>
    <cfRule type="containsText" dxfId="6589" priority="1959" operator="containsText" text="Castanho">
      <formula>NOT(ISERROR(SEARCH("Castanho",W34)))</formula>
    </cfRule>
    <cfRule type="containsText" dxfId="6588" priority="1960" operator="containsText" text="Verde Água">
      <formula>NOT(ISERROR(SEARCH("Verde Água",W34)))</formula>
    </cfRule>
    <cfRule type="containsText" dxfId="6587" priority="1961" operator="containsText" text="Azul Petróleo">
      <formula>NOT(ISERROR(SEARCH("Azul Petróleo",W34)))</formula>
    </cfRule>
    <cfRule type="containsText" dxfId="6586" priority="1962" operator="containsText" text="Preto">
      <formula>NOT(ISERROR(SEARCH("Preto",W34)))</formula>
    </cfRule>
    <cfRule type="containsText" priority="1963" operator="containsText" text="Branco">
      <formula>NOT(ISERROR(SEARCH("Branco",W34)))</formula>
    </cfRule>
    <cfRule type="containsText" dxfId="6585" priority="1964" operator="containsText" text="Bege">
      <formula>NOT(ISERROR(SEARCH("Bege",W34)))</formula>
    </cfRule>
  </conditionalFormatting>
  <conditionalFormatting sqref="W34">
    <cfRule type="containsText" dxfId="6584" priority="1947" operator="containsText" text="Cinza">
      <formula>NOT(ISERROR(SEARCH("Cinza",W34)))</formula>
    </cfRule>
    <cfRule type="containsText" dxfId="6583" priority="1948" operator="containsText" text="Púrpura">
      <formula>NOT(ISERROR(SEARCH("Púrpura",W34)))</formula>
    </cfRule>
    <cfRule type="containsText" dxfId="6582" priority="1949" operator="containsText" text="Rosa">
      <formula>NOT(ISERROR(SEARCH("Rosa",W34)))</formula>
    </cfRule>
    <cfRule type="containsText" dxfId="6581" priority="1950" operator="containsText" text="Castanho">
      <formula>NOT(ISERROR(SEARCH("Castanho",W34)))</formula>
    </cfRule>
    <cfRule type="containsText" dxfId="6580" priority="1951" operator="containsText" text="Verde Água">
      <formula>NOT(ISERROR(SEARCH("Verde Água",W34)))</formula>
    </cfRule>
    <cfRule type="containsText" dxfId="6579" priority="1952" operator="containsText" text="Azul Petróleo">
      <formula>NOT(ISERROR(SEARCH("Azul Petróleo",W34)))</formula>
    </cfRule>
    <cfRule type="containsText" dxfId="6578" priority="1953" operator="containsText" text="Preto">
      <formula>NOT(ISERROR(SEARCH("Preto",W34)))</formula>
    </cfRule>
    <cfRule type="containsText" priority="1954" operator="containsText" text="Branco">
      <formula>NOT(ISERROR(SEARCH("Branco",W34)))</formula>
    </cfRule>
    <cfRule type="containsText" dxfId="6577" priority="1955" operator="containsText" text="Bege">
      <formula>NOT(ISERROR(SEARCH("Bege",W34)))</formula>
    </cfRule>
  </conditionalFormatting>
  <conditionalFormatting sqref="W34">
    <cfRule type="containsText" dxfId="6576" priority="1938" operator="containsText" text="Cinza">
      <formula>NOT(ISERROR(SEARCH("Cinza",W34)))</formula>
    </cfRule>
    <cfRule type="containsText" dxfId="6575" priority="1939" operator="containsText" text="Púrpura">
      <formula>NOT(ISERROR(SEARCH("Púrpura",W34)))</formula>
    </cfRule>
    <cfRule type="containsText" dxfId="6574" priority="1940" operator="containsText" text="Rosa">
      <formula>NOT(ISERROR(SEARCH("Rosa",W34)))</formula>
    </cfRule>
    <cfRule type="containsText" dxfId="6573" priority="1941" operator="containsText" text="Castanho">
      <formula>NOT(ISERROR(SEARCH("Castanho",W34)))</formula>
    </cfRule>
    <cfRule type="containsText" dxfId="6572" priority="1942" operator="containsText" text="Verde Água">
      <formula>NOT(ISERROR(SEARCH("Verde Água",W34)))</formula>
    </cfRule>
    <cfRule type="containsText" dxfId="6571" priority="1943" operator="containsText" text="Azul Petróleo">
      <formula>NOT(ISERROR(SEARCH("Azul Petróleo",W34)))</formula>
    </cfRule>
    <cfRule type="containsText" dxfId="6570" priority="1944" operator="containsText" text="Preto">
      <formula>NOT(ISERROR(SEARCH("Preto",W34)))</formula>
    </cfRule>
    <cfRule type="containsText" priority="1945" operator="containsText" text="Branco">
      <formula>NOT(ISERROR(SEARCH("Branco",W34)))</formula>
    </cfRule>
    <cfRule type="containsText" dxfId="6569" priority="1946" operator="containsText" text="Bege">
      <formula>NOT(ISERROR(SEARCH("Bege",W34)))</formula>
    </cfRule>
  </conditionalFormatting>
  <conditionalFormatting sqref="W34">
    <cfRule type="containsText" dxfId="6568" priority="1929" operator="containsText" text="Cinza">
      <formula>NOT(ISERROR(SEARCH("Cinza",W34)))</formula>
    </cfRule>
    <cfRule type="containsText" dxfId="6567" priority="1930" operator="containsText" text="Púrpura">
      <formula>NOT(ISERROR(SEARCH("Púrpura",W34)))</formula>
    </cfRule>
    <cfRule type="containsText" dxfId="6566" priority="1931" operator="containsText" text="Rosa">
      <formula>NOT(ISERROR(SEARCH("Rosa",W34)))</formula>
    </cfRule>
    <cfRule type="containsText" dxfId="6565" priority="1932" operator="containsText" text="Castanho">
      <formula>NOT(ISERROR(SEARCH("Castanho",W34)))</formula>
    </cfRule>
    <cfRule type="containsText" dxfId="6564" priority="1933" operator="containsText" text="Verde Água">
      <formula>NOT(ISERROR(SEARCH("Verde Água",W34)))</formula>
    </cfRule>
    <cfRule type="containsText" dxfId="6563" priority="1934" operator="containsText" text="Azul Petróleo">
      <formula>NOT(ISERROR(SEARCH("Azul Petróleo",W34)))</formula>
    </cfRule>
    <cfRule type="containsText" dxfId="6562" priority="1935" operator="containsText" text="Preto">
      <formula>NOT(ISERROR(SEARCH("Preto",W34)))</formula>
    </cfRule>
    <cfRule type="containsText" priority="1936" operator="containsText" text="Branco">
      <formula>NOT(ISERROR(SEARCH("Branco",W34)))</formula>
    </cfRule>
    <cfRule type="containsText" dxfId="6561" priority="1937" operator="containsText" text="Bege">
      <formula>NOT(ISERROR(SEARCH("Bege",W34)))</formula>
    </cfRule>
  </conditionalFormatting>
  <conditionalFormatting sqref="W34">
    <cfRule type="containsText" dxfId="6560" priority="1920" operator="containsText" text="Escuro">
      <formula>NOT(ISERROR(SEARCH("Escuro",W34)))</formula>
    </cfRule>
    <cfRule type="containsText" dxfId="6559" priority="1921" operator="containsText" text="Cinza">
      <formula>NOT(ISERROR(SEARCH("Cinza",W34)))</formula>
    </cfRule>
    <cfRule type="containsText" dxfId="6558" priority="1922" operator="containsText" text="Púrpura">
      <formula>NOT(ISERROR(SEARCH("Púrpura",W34)))</formula>
    </cfRule>
    <cfRule type="containsText" dxfId="6557" priority="1923" operator="containsText" text="Rosa">
      <formula>NOT(ISERROR(SEARCH("Rosa",W34)))</formula>
    </cfRule>
    <cfRule type="containsText" dxfId="6556" priority="1924" operator="containsText" text="Castanho">
      <formula>NOT(ISERROR(SEARCH("Castanho",W34)))</formula>
    </cfRule>
    <cfRule type="containsText" dxfId="6555" priority="1925" operator="containsText" text="Verde Água">
      <formula>NOT(ISERROR(SEARCH("Verde Água",W34)))</formula>
    </cfRule>
    <cfRule type="containsText" dxfId="6554" priority="1926" operator="containsText" text="Azul Petróleo">
      <formula>NOT(ISERROR(SEARCH("Azul Petróleo",W34)))</formula>
    </cfRule>
    <cfRule type="containsText" dxfId="6553" priority="1927" operator="containsText" text="Preto">
      <formula>NOT(ISERROR(SEARCH("Preto",W34)))</formula>
    </cfRule>
    <cfRule type="containsText" priority="1928" operator="containsText" text="Branco">
      <formula>NOT(ISERROR(SEARCH("Branco",W34)))</formula>
    </cfRule>
  </conditionalFormatting>
  <conditionalFormatting sqref="W46">
    <cfRule type="containsText" dxfId="6552" priority="1911" operator="containsText" text="Cinza">
      <formula>NOT(ISERROR(SEARCH("Cinza",W46)))</formula>
    </cfRule>
    <cfRule type="containsText" dxfId="6551" priority="1912" operator="containsText" text="Púrpura">
      <formula>NOT(ISERROR(SEARCH("Púrpura",W46)))</formula>
    </cfRule>
    <cfRule type="containsText" dxfId="6550" priority="1913" operator="containsText" text="Rosa">
      <formula>NOT(ISERROR(SEARCH("Rosa",W46)))</formula>
    </cfRule>
    <cfRule type="containsText" dxfId="6549" priority="1914" operator="containsText" text="Castanho">
      <formula>NOT(ISERROR(SEARCH("Castanho",W46)))</formula>
    </cfRule>
    <cfRule type="containsText" dxfId="6548" priority="1915" operator="containsText" text="Verde Água">
      <formula>NOT(ISERROR(SEARCH("Verde Água",W46)))</formula>
    </cfRule>
    <cfRule type="containsText" dxfId="6547" priority="1916" operator="containsText" text="Azul Petróleo">
      <formula>NOT(ISERROR(SEARCH("Azul Petróleo",W46)))</formula>
    </cfRule>
    <cfRule type="containsText" dxfId="6546" priority="1917" operator="containsText" text="Preto">
      <formula>NOT(ISERROR(SEARCH("Preto",W46)))</formula>
    </cfRule>
    <cfRule type="containsText" priority="1918" operator="containsText" text="Branco">
      <formula>NOT(ISERROR(SEARCH("Branco",W46)))</formula>
    </cfRule>
    <cfRule type="containsText" dxfId="6545" priority="1919" operator="containsText" text="Bege">
      <formula>NOT(ISERROR(SEARCH("Bege",W46)))</formula>
    </cfRule>
  </conditionalFormatting>
  <conditionalFormatting sqref="W46">
    <cfRule type="containsText" dxfId="6544" priority="1902" operator="containsText" text="Cinza">
      <formula>NOT(ISERROR(SEARCH("Cinza",W46)))</formula>
    </cfRule>
    <cfRule type="containsText" dxfId="6543" priority="1903" operator="containsText" text="Púrpura">
      <formula>NOT(ISERROR(SEARCH("Púrpura",W46)))</formula>
    </cfRule>
    <cfRule type="containsText" dxfId="6542" priority="1904" operator="containsText" text="Rosa">
      <formula>NOT(ISERROR(SEARCH("Rosa",W46)))</formula>
    </cfRule>
    <cfRule type="containsText" dxfId="6541" priority="1905" operator="containsText" text="Castanho">
      <formula>NOT(ISERROR(SEARCH("Castanho",W46)))</formula>
    </cfRule>
    <cfRule type="containsText" dxfId="6540" priority="1906" operator="containsText" text="Verde Água">
      <formula>NOT(ISERROR(SEARCH("Verde Água",W46)))</formula>
    </cfRule>
    <cfRule type="containsText" dxfId="6539" priority="1907" operator="containsText" text="Azul Petróleo">
      <formula>NOT(ISERROR(SEARCH("Azul Petróleo",W46)))</formula>
    </cfRule>
    <cfRule type="containsText" dxfId="6538" priority="1908" operator="containsText" text="Preto">
      <formula>NOT(ISERROR(SEARCH("Preto",W46)))</formula>
    </cfRule>
    <cfRule type="containsText" priority="1909" operator="containsText" text="Branco">
      <formula>NOT(ISERROR(SEARCH("Branco",W46)))</formula>
    </cfRule>
    <cfRule type="containsText" dxfId="6537" priority="1910" operator="containsText" text="Bege">
      <formula>NOT(ISERROR(SEARCH("Bege",W46)))</formula>
    </cfRule>
  </conditionalFormatting>
  <conditionalFormatting sqref="W46">
    <cfRule type="containsText" dxfId="6536" priority="1893" operator="containsText" text="Cinza">
      <formula>NOT(ISERROR(SEARCH("Cinza",W46)))</formula>
    </cfRule>
    <cfRule type="containsText" dxfId="6535" priority="1894" operator="containsText" text="Púrpura">
      <formula>NOT(ISERROR(SEARCH("Púrpura",W46)))</formula>
    </cfRule>
    <cfRule type="containsText" dxfId="6534" priority="1895" operator="containsText" text="Rosa">
      <formula>NOT(ISERROR(SEARCH("Rosa",W46)))</formula>
    </cfRule>
    <cfRule type="containsText" dxfId="6533" priority="1896" operator="containsText" text="Castanho">
      <formula>NOT(ISERROR(SEARCH("Castanho",W46)))</formula>
    </cfRule>
    <cfRule type="containsText" dxfId="6532" priority="1897" operator="containsText" text="Verde Água">
      <formula>NOT(ISERROR(SEARCH("Verde Água",W46)))</formula>
    </cfRule>
    <cfRule type="containsText" dxfId="6531" priority="1898" operator="containsText" text="Azul Petróleo">
      <formula>NOT(ISERROR(SEARCH("Azul Petróleo",W46)))</formula>
    </cfRule>
    <cfRule type="containsText" dxfId="6530" priority="1899" operator="containsText" text="Preto">
      <formula>NOT(ISERROR(SEARCH("Preto",W46)))</formula>
    </cfRule>
    <cfRule type="containsText" priority="1900" operator="containsText" text="Branco">
      <formula>NOT(ISERROR(SEARCH("Branco",W46)))</formula>
    </cfRule>
    <cfRule type="containsText" dxfId="6529" priority="1901" operator="containsText" text="Bege">
      <formula>NOT(ISERROR(SEARCH("Bege",W46)))</formula>
    </cfRule>
  </conditionalFormatting>
  <conditionalFormatting sqref="W46">
    <cfRule type="containsText" dxfId="6528" priority="1884" operator="containsText" text="Cinza">
      <formula>NOT(ISERROR(SEARCH("Cinza",W46)))</formula>
    </cfRule>
    <cfRule type="containsText" dxfId="6527" priority="1885" operator="containsText" text="Púrpura">
      <formula>NOT(ISERROR(SEARCH("Púrpura",W46)))</formula>
    </cfRule>
    <cfRule type="containsText" dxfId="6526" priority="1886" operator="containsText" text="Rosa">
      <formula>NOT(ISERROR(SEARCH("Rosa",W46)))</formula>
    </cfRule>
    <cfRule type="containsText" dxfId="6525" priority="1887" operator="containsText" text="Castanho">
      <formula>NOT(ISERROR(SEARCH("Castanho",W46)))</formula>
    </cfRule>
    <cfRule type="containsText" dxfId="6524" priority="1888" operator="containsText" text="Verde Água">
      <formula>NOT(ISERROR(SEARCH("Verde Água",W46)))</formula>
    </cfRule>
    <cfRule type="containsText" dxfId="6523" priority="1889" operator="containsText" text="Azul Petróleo">
      <formula>NOT(ISERROR(SEARCH("Azul Petróleo",W46)))</formula>
    </cfRule>
    <cfRule type="containsText" dxfId="6522" priority="1890" operator="containsText" text="Preto">
      <formula>NOT(ISERROR(SEARCH("Preto",W46)))</formula>
    </cfRule>
    <cfRule type="containsText" priority="1891" operator="containsText" text="Branco">
      <formula>NOT(ISERROR(SEARCH("Branco",W46)))</formula>
    </cfRule>
    <cfRule type="containsText" dxfId="6521" priority="1892" operator="containsText" text="Bege">
      <formula>NOT(ISERROR(SEARCH("Bege",W46)))</formula>
    </cfRule>
  </conditionalFormatting>
  <conditionalFormatting sqref="W46">
    <cfRule type="containsText" dxfId="6520" priority="1875" operator="containsText" text="Cinza">
      <formula>NOT(ISERROR(SEARCH("Cinza",W46)))</formula>
    </cfRule>
    <cfRule type="containsText" dxfId="6519" priority="1876" operator="containsText" text="Púrpura">
      <formula>NOT(ISERROR(SEARCH("Púrpura",W46)))</formula>
    </cfRule>
    <cfRule type="containsText" dxfId="6518" priority="1877" operator="containsText" text="Rosa">
      <formula>NOT(ISERROR(SEARCH("Rosa",W46)))</formula>
    </cfRule>
    <cfRule type="containsText" dxfId="6517" priority="1878" operator="containsText" text="Castanho">
      <formula>NOT(ISERROR(SEARCH("Castanho",W46)))</formula>
    </cfRule>
    <cfRule type="containsText" dxfId="6516" priority="1879" operator="containsText" text="Verde Água">
      <formula>NOT(ISERROR(SEARCH("Verde Água",W46)))</formula>
    </cfRule>
    <cfRule type="containsText" dxfId="6515" priority="1880" operator="containsText" text="Azul Petróleo">
      <formula>NOT(ISERROR(SEARCH("Azul Petróleo",W46)))</formula>
    </cfRule>
    <cfRule type="containsText" dxfId="6514" priority="1881" operator="containsText" text="Preto">
      <formula>NOT(ISERROR(SEARCH("Preto",W46)))</formula>
    </cfRule>
    <cfRule type="containsText" priority="1882" operator="containsText" text="Branco">
      <formula>NOT(ISERROR(SEARCH("Branco",W46)))</formula>
    </cfRule>
    <cfRule type="containsText" dxfId="6513" priority="1883" operator="containsText" text="Bege">
      <formula>NOT(ISERROR(SEARCH("Bege",W46)))</formula>
    </cfRule>
  </conditionalFormatting>
  <conditionalFormatting sqref="W46">
    <cfRule type="containsText" dxfId="6512" priority="1866" operator="containsText" text="Cinza">
      <formula>NOT(ISERROR(SEARCH("Cinza",W46)))</formula>
    </cfRule>
    <cfRule type="containsText" dxfId="6511" priority="1867" operator="containsText" text="Púrpura">
      <formula>NOT(ISERROR(SEARCH("Púrpura",W46)))</formula>
    </cfRule>
    <cfRule type="containsText" dxfId="6510" priority="1868" operator="containsText" text="Rosa">
      <formula>NOT(ISERROR(SEARCH("Rosa",W46)))</formula>
    </cfRule>
    <cfRule type="containsText" dxfId="6509" priority="1869" operator="containsText" text="Castanho">
      <formula>NOT(ISERROR(SEARCH("Castanho",W46)))</formula>
    </cfRule>
    <cfRule type="containsText" dxfId="6508" priority="1870" operator="containsText" text="Verde Água">
      <formula>NOT(ISERROR(SEARCH("Verde Água",W46)))</formula>
    </cfRule>
    <cfRule type="containsText" dxfId="6507" priority="1871" operator="containsText" text="Azul Petróleo">
      <formula>NOT(ISERROR(SEARCH("Azul Petróleo",W46)))</formula>
    </cfRule>
    <cfRule type="containsText" dxfId="6506" priority="1872" operator="containsText" text="Preto">
      <formula>NOT(ISERROR(SEARCH("Preto",W46)))</formula>
    </cfRule>
    <cfRule type="containsText" priority="1873" operator="containsText" text="Branco">
      <formula>NOT(ISERROR(SEARCH("Branco",W46)))</formula>
    </cfRule>
    <cfRule type="containsText" dxfId="6505" priority="1874" operator="containsText" text="Bege">
      <formula>NOT(ISERROR(SEARCH("Bege",W46)))</formula>
    </cfRule>
  </conditionalFormatting>
  <conditionalFormatting sqref="W46">
    <cfRule type="containsText" dxfId="6504" priority="1857" operator="containsText" text="Cinza">
      <formula>NOT(ISERROR(SEARCH("Cinza",W46)))</formula>
    </cfRule>
    <cfRule type="containsText" dxfId="6503" priority="1858" operator="containsText" text="Púrpura">
      <formula>NOT(ISERROR(SEARCH("Púrpura",W46)))</formula>
    </cfRule>
    <cfRule type="containsText" dxfId="6502" priority="1859" operator="containsText" text="Rosa">
      <formula>NOT(ISERROR(SEARCH("Rosa",W46)))</formula>
    </cfRule>
    <cfRule type="containsText" dxfId="6501" priority="1860" operator="containsText" text="Castanho">
      <formula>NOT(ISERROR(SEARCH("Castanho",W46)))</formula>
    </cfRule>
    <cfRule type="containsText" dxfId="6500" priority="1861" operator="containsText" text="Verde Água">
      <formula>NOT(ISERROR(SEARCH("Verde Água",W46)))</formula>
    </cfRule>
    <cfRule type="containsText" dxfId="6499" priority="1862" operator="containsText" text="Azul Petróleo">
      <formula>NOT(ISERROR(SEARCH("Azul Petróleo",W46)))</formula>
    </cfRule>
    <cfRule type="containsText" dxfId="6498" priority="1863" operator="containsText" text="Preto">
      <formula>NOT(ISERROR(SEARCH("Preto",W46)))</formula>
    </cfRule>
    <cfRule type="containsText" priority="1864" operator="containsText" text="Branco">
      <formula>NOT(ISERROR(SEARCH("Branco",W46)))</formula>
    </cfRule>
    <cfRule type="containsText" dxfId="6497" priority="1865" operator="containsText" text="Bege">
      <formula>NOT(ISERROR(SEARCH("Bege",W46)))</formula>
    </cfRule>
  </conditionalFormatting>
  <conditionalFormatting sqref="W46">
    <cfRule type="containsText" dxfId="6496" priority="1848" operator="containsText" text="Cinza">
      <formula>NOT(ISERROR(SEARCH("Cinza",W46)))</formula>
    </cfRule>
    <cfRule type="containsText" dxfId="6495" priority="1849" operator="containsText" text="Púrpura">
      <formula>NOT(ISERROR(SEARCH("Púrpura",W46)))</formula>
    </cfRule>
    <cfRule type="containsText" dxfId="6494" priority="1850" operator="containsText" text="Rosa">
      <formula>NOT(ISERROR(SEARCH("Rosa",W46)))</formula>
    </cfRule>
    <cfRule type="containsText" dxfId="6493" priority="1851" operator="containsText" text="Castanho">
      <formula>NOT(ISERROR(SEARCH("Castanho",W46)))</formula>
    </cfRule>
    <cfRule type="containsText" dxfId="6492" priority="1852" operator="containsText" text="Verde Água">
      <formula>NOT(ISERROR(SEARCH("Verde Água",W46)))</formula>
    </cfRule>
    <cfRule type="containsText" dxfId="6491" priority="1853" operator="containsText" text="Azul Petróleo">
      <formula>NOT(ISERROR(SEARCH("Azul Petróleo",W46)))</formula>
    </cfRule>
    <cfRule type="containsText" dxfId="6490" priority="1854" operator="containsText" text="Preto">
      <formula>NOT(ISERROR(SEARCH("Preto",W46)))</formula>
    </cfRule>
    <cfRule type="containsText" priority="1855" operator="containsText" text="Branco">
      <formula>NOT(ISERROR(SEARCH("Branco",W46)))</formula>
    </cfRule>
    <cfRule type="containsText" dxfId="6489" priority="1856" operator="containsText" text="Bege">
      <formula>NOT(ISERROR(SEARCH("Bege",W46)))</formula>
    </cfRule>
  </conditionalFormatting>
  <conditionalFormatting sqref="W46">
    <cfRule type="containsText" dxfId="6488" priority="1839" operator="containsText" text="Cinza">
      <formula>NOT(ISERROR(SEARCH("Cinza",W46)))</formula>
    </cfRule>
    <cfRule type="containsText" dxfId="6487" priority="1840" operator="containsText" text="Púrpura">
      <formula>NOT(ISERROR(SEARCH("Púrpura",W46)))</formula>
    </cfRule>
    <cfRule type="containsText" dxfId="6486" priority="1841" operator="containsText" text="Rosa">
      <formula>NOT(ISERROR(SEARCH("Rosa",W46)))</formula>
    </cfRule>
    <cfRule type="containsText" dxfId="6485" priority="1842" operator="containsText" text="Castanho">
      <formula>NOT(ISERROR(SEARCH("Castanho",W46)))</formula>
    </cfRule>
    <cfRule type="containsText" dxfId="6484" priority="1843" operator="containsText" text="Verde Água">
      <formula>NOT(ISERROR(SEARCH("Verde Água",W46)))</formula>
    </cfRule>
    <cfRule type="containsText" dxfId="6483" priority="1844" operator="containsText" text="Azul Petróleo">
      <formula>NOT(ISERROR(SEARCH("Azul Petróleo",W46)))</formula>
    </cfRule>
    <cfRule type="containsText" dxfId="6482" priority="1845" operator="containsText" text="Preto">
      <formula>NOT(ISERROR(SEARCH("Preto",W46)))</formula>
    </cfRule>
    <cfRule type="containsText" priority="1846" operator="containsText" text="Branco">
      <formula>NOT(ISERROR(SEARCH("Branco",W46)))</formula>
    </cfRule>
    <cfRule type="containsText" dxfId="6481" priority="1847" operator="containsText" text="Bege">
      <formula>NOT(ISERROR(SEARCH("Bege",W46)))</formula>
    </cfRule>
  </conditionalFormatting>
  <conditionalFormatting sqref="W46">
    <cfRule type="containsText" dxfId="6480" priority="1830" operator="containsText" text="Cinza">
      <formula>NOT(ISERROR(SEARCH("Cinza",W46)))</formula>
    </cfRule>
    <cfRule type="containsText" dxfId="6479" priority="1831" operator="containsText" text="Púrpura">
      <formula>NOT(ISERROR(SEARCH("Púrpura",W46)))</formula>
    </cfRule>
    <cfRule type="containsText" dxfId="6478" priority="1832" operator="containsText" text="Rosa">
      <formula>NOT(ISERROR(SEARCH("Rosa",W46)))</formula>
    </cfRule>
    <cfRule type="containsText" dxfId="6477" priority="1833" operator="containsText" text="Castanho">
      <formula>NOT(ISERROR(SEARCH("Castanho",W46)))</formula>
    </cfRule>
    <cfRule type="containsText" dxfId="6476" priority="1834" operator="containsText" text="Verde Água">
      <formula>NOT(ISERROR(SEARCH("Verde Água",W46)))</formula>
    </cfRule>
    <cfRule type="containsText" dxfId="6475" priority="1835" operator="containsText" text="Azul Petróleo">
      <formula>NOT(ISERROR(SEARCH("Azul Petróleo",W46)))</formula>
    </cfRule>
    <cfRule type="containsText" dxfId="6474" priority="1836" operator="containsText" text="Preto">
      <formula>NOT(ISERROR(SEARCH("Preto",W46)))</formula>
    </cfRule>
    <cfRule type="containsText" priority="1837" operator="containsText" text="Branco">
      <formula>NOT(ISERROR(SEARCH("Branco",W46)))</formula>
    </cfRule>
    <cfRule type="containsText" dxfId="6473" priority="1838" operator="containsText" text="Bege">
      <formula>NOT(ISERROR(SEARCH("Bege",W46)))</formula>
    </cfRule>
  </conditionalFormatting>
  <conditionalFormatting sqref="W46">
    <cfRule type="containsText" dxfId="6472" priority="1821" operator="containsText" text="Cinza">
      <formula>NOT(ISERROR(SEARCH("Cinza",W46)))</formula>
    </cfRule>
    <cfRule type="containsText" dxfId="6471" priority="1822" operator="containsText" text="Púrpura">
      <formula>NOT(ISERROR(SEARCH("Púrpura",W46)))</formula>
    </cfRule>
    <cfRule type="containsText" dxfId="6470" priority="1823" operator="containsText" text="Rosa">
      <formula>NOT(ISERROR(SEARCH("Rosa",W46)))</formula>
    </cfRule>
    <cfRule type="containsText" dxfId="6469" priority="1824" operator="containsText" text="Castanho">
      <formula>NOT(ISERROR(SEARCH("Castanho",W46)))</formula>
    </cfRule>
    <cfRule type="containsText" dxfId="6468" priority="1825" operator="containsText" text="Verde Água">
      <formula>NOT(ISERROR(SEARCH("Verde Água",W46)))</formula>
    </cfRule>
    <cfRule type="containsText" dxfId="6467" priority="1826" operator="containsText" text="Azul Petróleo">
      <formula>NOT(ISERROR(SEARCH("Azul Petróleo",W46)))</formula>
    </cfRule>
    <cfRule type="containsText" dxfId="6466" priority="1827" operator="containsText" text="Preto">
      <formula>NOT(ISERROR(SEARCH("Preto",W46)))</formula>
    </cfRule>
    <cfRule type="containsText" priority="1828" operator="containsText" text="Branco">
      <formula>NOT(ISERROR(SEARCH("Branco",W46)))</formula>
    </cfRule>
    <cfRule type="containsText" dxfId="6465" priority="1829" operator="containsText" text="Bege">
      <formula>NOT(ISERROR(SEARCH("Bege",W46)))</formula>
    </cfRule>
  </conditionalFormatting>
  <conditionalFormatting sqref="W46">
    <cfRule type="containsText" dxfId="6464" priority="1812" operator="containsText" text="Cinza">
      <formula>NOT(ISERROR(SEARCH("Cinza",W46)))</formula>
    </cfRule>
    <cfRule type="containsText" dxfId="6463" priority="1813" operator="containsText" text="Púrpura">
      <formula>NOT(ISERROR(SEARCH("Púrpura",W46)))</formula>
    </cfRule>
    <cfRule type="containsText" dxfId="6462" priority="1814" operator="containsText" text="Rosa">
      <formula>NOT(ISERROR(SEARCH("Rosa",W46)))</formula>
    </cfRule>
    <cfRule type="containsText" dxfId="6461" priority="1815" operator="containsText" text="Castanho">
      <formula>NOT(ISERROR(SEARCH("Castanho",W46)))</formula>
    </cfRule>
    <cfRule type="containsText" dxfId="6460" priority="1816" operator="containsText" text="Verde Água">
      <formula>NOT(ISERROR(SEARCH("Verde Água",W46)))</formula>
    </cfRule>
    <cfRule type="containsText" dxfId="6459" priority="1817" operator="containsText" text="Azul Petróleo">
      <formula>NOT(ISERROR(SEARCH("Azul Petróleo",W46)))</formula>
    </cfRule>
    <cfRule type="containsText" dxfId="6458" priority="1818" operator="containsText" text="Preto">
      <formula>NOT(ISERROR(SEARCH("Preto",W46)))</formula>
    </cfRule>
    <cfRule type="containsText" priority="1819" operator="containsText" text="Branco">
      <formula>NOT(ISERROR(SEARCH("Branco",W46)))</formula>
    </cfRule>
    <cfRule type="containsText" dxfId="6457" priority="1820" operator="containsText" text="Bege">
      <formula>NOT(ISERROR(SEARCH("Bege",W46)))</formula>
    </cfRule>
  </conditionalFormatting>
  <conditionalFormatting sqref="W46">
    <cfRule type="containsText" dxfId="6456" priority="1803" operator="containsText" text="Cinza">
      <formula>NOT(ISERROR(SEARCH("Cinza",W46)))</formula>
    </cfRule>
    <cfRule type="containsText" dxfId="6455" priority="1804" operator="containsText" text="Púrpura">
      <formula>NOT(ISERROR(SEARCH("Púrpura",W46)))</formula>
    </cfRule>
    <cfRule type="containsText" dxfId="6454" priority="1805" operator="containsText" text="Rosa">
      <formula>NOT(ISERROR(SEARCH("Rosa",W46)))</formula>
    </cfRule>
    <cfRule type="containsText" dxfId="6453" priority="1806" operator="containsText" text="Castanho">
      <formula>NOT(ISERROR(SEARCH("Castanho",W46)))</formula>
    </cfRule>
    <cfRule type="containsText" dxfId="6452" priority="1807" operator="containsText" text="Verde Água">
      <formula>NOT(ISERROR(SEARCH("Verde Água",W46)))</formula>
    </cfRule>
    <cfRule type="containsText" dxfId="6451" priority="1808" operator="containsText" text="Azul Petróleo">
      <formula>NOT(ISERROR(SEARCH("Azul Petróleo",W46)))</formula>
    </cfRule>
    <cfRule type="containsText" dxfId="6450" priority="1809" operator="containsText" text="Preto">
      <formula>NOT(ISERROR(SEARCH("Preto",W46)))</formula>
    </cfRule>
    <cfRule type="containsText" priority="1810" operator="containsText" text="Branco">
      <formula>NOT(ISERROR(SEARCH("Branco",W46)))</formula>
    </cfRule>
    <cfRule type="containsText" dxfId="6449" priority="1811" operator="containsText" text="Bege">
      <formula>NOT(ISERROR(SEARCH("Bege",W46)))</formula>
    </cfRule>
  </conditionalFormatting>
  <conditionalFormatting sqref="W46">
    <cfRule type="containsText" dxfId="6448" priority="1794" operator="containsText" text="Cinza">
      <formula>NOT(ISERROR(SEARCH("Cinza",W46)))</formula>
    </cfRule>
    <cfRule type="containsText" dxfId="6447" priority="1795" operator="containsText" text="Púrpura">
      <formula>NOT(ISERROR(SEARCH("Púrpura",W46)))</formula>
    </cfRule>
    <cfRule type="containsText" dxfId="6446" priority="1796" operator="containsText" text="Rosa">
      <formula>NOT(ISERROR(SEARCH("Rosa",W46)))</formula>
    </cfRule>
    <cfRule type="containsText" dxfId="6445" priority="1797" operator="containsText" text="Castanho">
      <formula>NOT(ISERROR(SEARCH("Castanho",W46)))</formula>
    </cfRule>
    <cfRule type="containsText" dxfId="6444" priority="1798" operator="containsText" text="Verde Água">
      <formula>NOT(ISERROR(SEARCH("Verde Água",W46)))</formula>
    </cfRule>
    <cfRule type="containsText" dxfId="6443" priority="1799" operator="containsText" text="Azul Petróleo">
      <formula>NOT(ISERROR(SEARCH("Azul Petróleo",W46)))</formula>
    </cfRule>
    <cfRule type="containsText" dxfId="6442" priority="1800" operator="containsText" text="Preto">
      <formula>NOT(ISERROR(SEARCH("Preto",W46)))</formula>
    </cfRule>
    <cfRule type="containsText" priority="1801" operator="containsText" text="Branco">
      <formula>NOT(ISERROR(SEARCH("Branco",W46)))</formula>
    </cfRule>
    <cfRule type="containsText" dxfId="6441" priority="1802" operator="containsText" text="Bege">
      <formula>NOT(ISERROR(SEARCH("Bege",W46)))</formula>
    </cfRule>
  </conditionalFormatting>
  <conditionalFormatting sqref="W46">
    <cfRule type="containsText" dxfId="6440" priority="1785" operator="containsText" text="Cinza">
      <formula>NOT(ISERROR(SEARCH("Cinza",W46)))</formula>
    </cfRule>
    <cfRule type="containsText" dxfId="6439" priority="1786" operator="containsText" text="Púrpura">
      <formula>NOT(ISERROR(SEARCH("Púrpura",W46)))</formula>
    </cfRule>
    <cfRule type="containsText" dxfId="6438" priority="1787" operator="containsText" text="Rosa">
      <formula>NOT(ISERROR(SEARCH("Rosa",W46)))</formula>
    </cfRule>
    <cfRule type="containsText" dxfId="6437" priority="1788" operator="containsText" text="Castanho">
      <formula>NOT(ISERROR(SEARCH("Castanho",W46)))</formula>
    </cfRule>
    <cfRule type="containsText" dxfId="6436" priority="1789" operator="containsText" text="Verde Água">
      <formula>NOT(ISERROR(SEARCH("Verde Água",W46)))</formula>
    </cfRule>
    <cfRule type="containsText" dxfId="6435" priority="1790" operator="containsText" text="Azul Petróleo">
      <formula>NOT(ISERROR(SEARCH("Azul Petróleo",W46)))</formula>
    </cfRule>
    <cfRule type="containsText" dxfId="6434" priority="1791" operator="containsText" text="Preto">
      <formula>NOT(ISERROR(SEARCH("Preto",W46)))</formula>
    </cfRule>
    <cfRule type="containsText" priority="1792" operator="containsText" text="Branco">
      <formula>NOT(ISERROR(SEARCH("Branco",W46)))</formula>
    </cfRule>
    <cfRule type="containsText" dxfId="6433" priority="1793" operator="containsText" text="Bege">
      <formula>NOT(ISERROR(SEARCH("Bege",W46)))</formula>
    </cfRule>
  </conditionalFormatting>
  <conditionalFormatting sqref="W46">
    <cfRule type="containsText" dxfId="6432" priority="1776" operator="containsText" text="Cinza">
      <formula>NOT(ISERROR(SEARCH("Cinza",W46)))</formula>
    </cfRule>
    <cfRule type="containsText" dxfId="6431" priority="1777" operator="containsText" text="Púrpura">
      <formula>NOT(ISERROR(SEARCH("Púrpura",W46)))</formula>
    </cfRule>
    <cfRule type="containsText" dxfId="6430" priority="1778" operator="containsText" text="Rosa">
      <formula>NOT(ISERROR(SEARCH("Rosa",W46)))</formula>
    </cfRule>
    <cfRule type="containsText" dxfId="6429" priority="1779" operator="containsText" text="Castanho">
      <formula>NOT(ISERROR(SEARCH("Castanho",W46)))</formula>
    </cfRule>
    <cfRule type="containsText" dxfId="6428" priority="1780" operator="containsText" text="Verde Água">
      <formula>NOT(ISERROR(SEARCH("Verde Água",W46)))</formula>
    </cfRule>
    <cfRule type="containsText" dxfId="6427" priority="1781" operator="containsText" text="Azul Petróleo">
      <formula>NOT(ISERROR(SEARCH("Azul Petróleo",W46)))</formula>
    </cfRule>
    <cfRule type="containsText" dxfId="6426" priority="1782" operator="containsText" text="Preto">
      <formula>NOT(ISERROR(SEARCH("Preto",W46)))</formula>
    </cfRule>
    <cfRule type="containsText" priority="1783" operator="containsText" text="Branco">
      <formula>NOT(ISERROR(SEARCH("Branco",W46)))</formula>
    </cfRule>
    <cfRule type="containsText" dxfId="6425" priority="1784" operator="containsText" text="Bege">
      <formula>NOT(ISERROR(SEARCH("Bege",W46)))</formula>
    </cfRule>
  </conditionalFormatting>
  <conditionalFormatting sqref="W46">
    <cfRule type="containsText" dxfId="6424" priority="1767" operator="containsText" text="Escuro">
      <formula>NOT(ISERROR(SEARCH("Escuro",W46)))</formula>
    </cfRule>
    <cfRule type="containsText" dxfId="6423" priority="1768" operator="containsText" text="Cinza">
      <formula>NOT(ISERROR(SEARCH("Cinza",W46)))</formula>
    </cfRule>
    <cfRule type="containsText" dxfId="6422" priority="1769" operator="containsText" text="Púrpura">
      <formula>NOT(ISERROR(SEARCH("Púrpura",W46)))</formula>
    </cfRule>
    <cfRule type="containsText" dxfId="6421" priority="1770" operator="containsText" text="Rosa">
      <formula>NOT(ISERROR(SEARCH("Rosa",W46)))</formula>
    </cfRule>
    <cfRule type="containsText" dxfId="6420" priority="1771" operator="containsText" text="Castanho">
      <formula>NOT(ISERROR(SEARCH("Castanho",W46)))</formula>
    </cfRule>
    <cfRule type="containsText" dxfId="6419" priority="1772" operator="containsText" text="Verde Água">
      <formula>NOT(ISERROR(SEARCH("Verde Água",W46)))</formula>
    </cfRule>
    <cfRule type="containsText" dxfId="6418" priority="1773" operator="containsText" text="Azul Petróleo">
      <formula>NOT(ISERROR(SEARCH("Azul Petróleo",W46)))</formula>
    </cfRule>
    <cfRule type="containsText" dxfId="6417" priority="1774" operator="containsText" text="Preto">
      <formula>NOT(ISERROR(SEARCH("Preto",W46)))</formula>
    </cfRule>
    <cfRule type="containsText" priority="1775" operator="containsText" text="Branco">
      <formula>NOT(ISERROR(SEARCH("Branco",W46)))</formula>
    </cfRule>
  </conditionalFormatting>
  <conditionalFormatting sqref="W44">
    <cfRule type="containsText" dxfId="6416" priority="1758" operator="containsText" text="Cinza">
      <formula>NOT(ISERROR(SEARCH("Cinza",W44)))</formula>
    </cfRule>
    <cfRule type="containsText" dxfId="6415" priority="1759" operator="containsText" text="Púrpura">
      <formula>NOT(ISERROR(SEARCH("Púrpura",W44)))</formula>
    </cfRule>
    <cfRule type="containsText" dxfId="6414" priority="1760" operator="containsText" text="Rosa">
      <formula>NOT(ISERROR(SEARCH("Rosa",W44)))</formula>
    </cfRule>
    <cfRule type="containsText" dxfId="6413" priority="1761" operator="containsText" text="Castanho">
      <formula>NOT(ISERROR(SEARCH("Castanho",W44)))</formula>
    </cfRule>
    <cfRule type="containsText" dxfId="6412" priority="1762" operator="containsText" text="Verde Água">
      <formula>NOT(ISERROR(SEARCH("Verde Água",W44)))</formula>
    </cfRule>
    <cfRule type="containsText" dxfId="6411" priority="1763" operator="containsText" text="Azul Petróleo">
      <formula>NOT(ISERROR(SEARCH("Azul Petróleo",W44)))</formula>
    </cfRule>
    <cfRule type="containsText" dxfId="6410" priority="1764" operator="containsText" text="Preto">
      <formula>NOT(ISERROR(SEARCH("Preto",W44)))</formula>
    </cfRule>
    <cfRule type="containsText" priority="1765" operator="containsText" text="Branco">
      <formula>NOT(ISERROR(SEARCH("Branco",W44)))</formula>
    </cfRule>
    <cfRule type="containsText" dxfId="6409" priority="1766" operator="containsText" text="Bege">
      <formula>NOT(ISERROR(SEARCH("Bege",W44)))</formula>
    </cfRule>
  </conditionalFormatting>
  <conditionalFormatting sqref="W44">
    <cfRule type="containsText" dxfId="6408" priority="1749" operator="containsText" text="Cinza">
      <formula>NOT(ISERROR(SEARCH("Cinza",W44)))</formula>
    </cfRule>
    <cfRule type="containsText" dxfId="6407" priority="1750" operator="containsText" text="Púrpura">
      <formula>NOT(ISERROR(SEARCH("Púrpura",W44)))</formula>
    </cfRule>
    <cfRule type="containsText" dxfId="6406" priority="1751" operator="containsText" text="Rosa">
      <formula>NOT(ISERROR(SEARCH("Rosa",W44)))</formula>
    </cfRule>
    <cfRule type="containsText" dxfId="6405" priority="1752" operator="containsText" text="Castanho">
      <formula>NOT(ISERROR(SEARCH("Castanho",W44)))</formula>
    </cfRule>
    <cfRule type="containsText" dxfId="6404" priority="1753" operator="containsText" text="Verde Água">
      <formula>NOT(ISERROR(SEARCH("Verde Água",W44)))</formula>
    </cfRule>
    <cfRule type="containsText" dxfId="6403" priority="1754" operator="containsText" text="Azul Petróleo">
      <formula>NOT(ISERROR(SEARCH("Azul Petróleo",W44)))</formula>
    </cfRule>
    <cfRule type="containsText" dxfId="6402" priority="1755" operator="containsText" text="Preto">
      <formula>NOT(ISERROR(SEARCH("Preto",W44)))</formula>
    </cfRule>
    <cfRule type="containsText" priority="1756" operator="containsText" text="Branco">
      <formula>NOT(ISERROR(SEARCH("Branco",W44)))</formula>
    </cfRule>
    <cfRule type="containsText" dxfId="6401" priority="1757" operator="containsText" text="Bege">
      <formula>NOT(ISERROR(SEARCH("Bege",W44)))</formula>
    </cfRule>
  </conditionalFormatting>
  <conditionalFormatting sqref="W44">
    <cfRule type="containsText" dxfId="6400" priority="1740" operator="containsText" text="Cinza">
      <formula>NOT(ISERROR(SEARCH("Cinza",W44)))</formula>
    </cfRule>
    <cfRule type="containsText" dxfId="6399" priority="1741" operator="containsText" text="Púrpura">
      <formula>NOT(ISERROR(SEARCH("Púrpura",W44)))</formula>
    </cfRule>
    <cfRule type="containsText" dxfId="6398" priority="1742" operator="containsText" text="Rosa">
      <formula>NOT(ISERROR(SEARCH("Rosa",W44)))</formula>
    </cfRule>
    <cfRule type="containsText" dxfId="6397" priority="1743" operator="containsText" text="Castanho">
      <formula>NOT(ISERROR(SEARCH("Castanho",W44)))</formula>
    </cfRule>
    <cfRule type="containsText" dxfId="6396" priority="1744" operator="containsText" text="Verde Água">
      <formula>NOT(ISERROR(SEARCH("Verde Água",W44)))</formula>
    </cfRule>
    <cfRule type="containsText" dxfId="6395" priority="1745" operator="containsText" text="Azul Petróleo">
      <formula>NOT(ISERROR(SEARCH("Azul Petróleo",W44)))</formula>
    </cfRule>
    <cfRule type="containsText" dxfId="6394" priority="1746" operator="containsText" text="Preto">
      <formula>NOT(ISERROR(SEARCH("Preto",W44)))</formula>
    </cfRule>
    <cfRule type="containsText" priority="1747" operator="containsText" text="Branco">
      <formula>NOT(ISERROR(SEARCH("Branco",W44)))</formula>
    </cfRule>
    <cfRule type="containsText" dxfId="6393" priority="1748" operator="containsText" text="Bege">
      <formula>NOT(ISERROR(SEARCH("Bege",W44)))</formula>
    </cfRule>
  </conditionalFormatting>
  <conditionalFormatting sqref="W44">
    <cfRule type="containsText" dxfId="6392" priority="1731" operator="containsText" text="Cinza">
      <formula>NOT(ISERROR(SEARCH("Cinza",W44)))</formula>
    </cfRule>
    <cfRule type="containsText" dxfId="6391" priority="1732" operator="containsText" text="Púrpura">
      <formula>NOT(ISERROR(SEARCH("Púrpura",W44)))</formula>
    </cfRule>
    <cfRule type="containsText" dxfId="6390" priority="1733" operator="containsText" text="Rosa">
      <formula>NOT(ISERROR(SEARCH("Rosa",W44)))</formula>
    </cfRule>
    <cfRule type="containsText" dxfId="6389" priority="1734" operator="containsText" text="Castanho">
      <formula>NOT(ISERROR(SEARCH("Castanho",W44)))</formula>
    </cfRule>
    <cfRule type="containsText" dxfId="6388" priority="1735" operator="containsText" text="Verde Água">
      <formula>NOT(ISERROR(SEARCH("Verde Água",W44)))</formula>
    </cfRule>
    <cfRule type="containsText" dxfId="6387" priority="1736" operator="containsText" text="Azul Petróleo">
      <formula>NOT(ISERROR(SEARCH("Azul Petróleo",W44)))</formula>
    </cfRule>
    <cfRule type="containsText" dxfId="6386" priority="1737" operator="containsText" text="Preto">
      <formula>NOT(ISERROR(SEARCH("Preto",W44)))</formula>
    </cfRule>
    <cfRule type="containsText" priority="1738" operator="containsText" text="Branco">
      <formula>NOT(ISERROR(SEARCH("Branco",W44)))</formula>
    </cfRule>
    <cfRule type="containsText" dxfId="6385" priority="1739" operator="containsText" text="Bege">
      <formula>NOT(ISERROR(SEARCH("Bege",W44)))</formula>
    </cfRule>
  </conditionalFormatting>
  <conditionalFormatting sqref="W44">
    <cfRule type="containsText" dxfId="6384" priority="1722" operator="containsText" text="Cinza">
      <formula>NOT(ISERROR(SEARCH("Cinza",W44)))</formula>
    </cfRule>
    <cfRule type="containsText" dxfId="6383" priority="1723" operator="containsText" text="Púrpura">
      <formula>NOT(ISERROR(SEARCH("Púrpura",W44)))</formula>
    </cfRule>
    <cfRule type="containsText" dxfId="6382" priority="1724" operator="containsText" text="Rosa">
      <formula>NOT(ISERROR(SEARCH("Rosa",W44)))</formula>
    </cfRule>
    <cfRule type="containsText" dxfId="6381" priority="1725" operator="containsText" text="Castanho">
      <formula>NOT(ISERROR(SEARCH("Castanho",W44)))</formula>
    </cfRule>
    <cfRule type="containsText" dxfId="6380" priority="1726" operator="containsText" text="Verde Água">
      <formula>NOT(ISERROR(SEARCH("Verde Água",W44)))</formula>
    </cfRule>
    <cfRule type="containsText" dxfId="6379" priority="1727" operator="containsText" text="Azul Petróleo">
      <formula>NOT(ISERROR(SEARCH("Azul Petróleo",W44)))</formula>
    </cfRule>
    <cfRule type="containsText" dxfId="6378" priority="1728" operator="containsText" text="Preto">
      <formula>NOT(ISERROR(SEARCH("Preto",W44)))</formula>
    </cfRule>
    <cfRule type="containsText" priority="1729" operator="containsText" text="Branco">
      <formula>NOT(ISERROR(SEARCH("Branco",W44)))</formula>
    </cfRule>
    <cfRule type="containsText" dxfId="6377" priority="1730" operator="containsText" text="Bege">
      <formula>NOT(ISERROR(SEARCH("Bege",W44)))</formula>
    </cfRule>
  </conditionalFormatting>
  <conditionalFormatting sqref="W44">
    <cfRule type="containsText" dxfId="6376" priority="1713" operator="containsText" text="Cinza">
      <formula>NOT(ISERROR(SEARCH("Cinza",W44)))</formula>
    </cfRule>
    <cfRule type="containsText" dxfId="6375" priority="1714" operator="containsText" text="Púrpura">
      <formula>NOT(ISERROR(SEARCH("Púrpura",W44)))</formula>
    </cfRule>
    <cfRule type="containsText" dxfId="6374" priority="1715" operator="containsText" text="Rosa">
      <formula>NOT(ISERROR(SEARCH("Rosa",W44)))</formula>
    </cfRule>
    <cfRule type="containsText" dxfId="6373" priority="1716" operator="containsText" text="Castanho">
      <formula>NOT(ISERROR(SEARCH("Castanho",W44)))</formula>
    </cfRule>
    <cfRule type="containsText" dxfId="6372" priority="1717" operator="containsText" text="Verde Água">
      <formula>NOT(ISERROR(SEARCH("Verde Água",W44)))</formula>
    </cfRule>
    <cfRule type="containsText" dxfId="6371" priority="1718" operator="containsText" text="Azul Petróleo">
      <formula>NOT(ISERROR(SEARCH("Azul Petróleo",W44)))</formula>
    </cfRule>
    <cfRule type="containsText" dxfId="6370" priority="1719" operator="containsText" text="Preto">
      <formula>NOT(ISERROR(SEARCH("Preto",W44)))</formula>
    </cfRule>
    <cfRule type="containsText" priority="1720" operator="containsText" text="Branco">
      <formula>NOT(ISERROR(SEARCH("Branco",W44)))</formula>
    </cfRule>
    <cfRule type="containsText" dxfId="6369" priority="1721" operator="containsText" text="Bege">
      <formula>NOT(ISERROR(SEARCH("Bege",W44)))</formula>
    </cfRule>
  </conditionalFormatting>
  <conditionalFormatting sqref="W44">
    <cfRule type="containsText" dxfId="6368" priority="1704" operator="containsText" text="Cinza">
      <formula>NOT(ISERROR(SEARCH("Cinza",W44)))</formula>
    </cfRule>
    <cfRule type="containsText" dxfId="6367" priority="1705" operator="containsText" text="Púrpura">
      <formula>NOT(ISERROR(SEARCH("Púrpura",W44)))</formula>
    </cfRule>
    <cfRule type="containsText" dxfId="6366" priority="1706" operator="containsText" text="Rosa">
      <formula>NOT(ISERROR(SEARCH("Rosa",W44)))</formula>
    </cfRule>
    <cfRule type="containsText" dxfId="6365" priority="1707" operator="containsText" text="Castanho">
      <formula>NOT(ISERROR(SEARCH("Castanho",W44)))</formula>
    </cfRule>
    <cfRule type="containsText" dxfId="6364" priority="1708" operator="containsText" text="Verde Água">
      <formula>NOT(ISERROR(SEARCH("Verde Água",W44)))</formula>
    </cfRule>
    <cfRule type="containsText" dxfId="6363" priority="1709" operator="containsText" text="Azul Petróleo">
      <formula>NOT(ISERROR(SEARCH("Azul Petróleo",W44)))</formula>
    </cfRule>
    <cfRule type="containsText" dxfId="6362" priority="1710" operator="containsText" text="Preto">
      <formula>NOT(ISERROR(SEARCH("Preto",W44)))</formula>
    </cfRule>
    <cfRule type="containsText" priority="1711" operator="containsText" text="Branco">
      <formula>NOT(ISERROR(SEARCH("Branco",W44)))</formula>
    </cfRule>
    <cfRule type="containsText" dxfId="6361" priority="1712" operator="containsText" text="Bege">
      <formula>NOT(ISERROR(SEARCH("Bege",W44)))</formula>
    </cfRule>
  </conditionalFormatting>
  <conditionalFormatting sqref="W44">
    <cfRule type="containsText" dxfId="6360" priority="1695" operator="containsText" text="Cinza">
      <formula>NOT(ISERROR(SEARCH("Cinza",W44)))</formula>
    </cfRule>
    <cfRule type="containsText" dxfId="6359" priority="1696" operator="containsText" text="Púrpura">
      <formula>NOT(ISERROR(SEARCH("Púrpura",W44)))</formula>
    </cfRule>
    <cfRule type="containsText" dxfId="6358" priority="1697" operator="containsText" text="Rosa">
      <formula>NOT(ISERROR(SEARCH("Rosa",W44)))</formula>
    </cfRule>
    <cfRule type="containsText" dxfId="6357" priority="1698" operator="containsText" text="Castanho">
      <formula>NOT(ISERROR(SEARCH("Castanho",W44)))</formula>
    </cfRule>
    <cfRule type="containsText" dxfId="6356" priority="1699" operator="containsText" text="Verde Água">
      <formula>NOT(ISERROR(SEARCH("Verde Água",W44)))</formula>
    </cfRule>
    <cfRule type="containsText" dxfId="6355" priority="1700" operator="containsText" text="Azul Petróleo">
      <formula>NOT(ISERROR(SEARCH("Azul Petróleo",W44)))</formula>
    </cfRule>
    <cfRule type="containsText" dxfId="6354" priority="1701" operator="containsText" text="Preto">
      <formula>NOT(ISERROR(SEARCH("Preto",W44)))</formula>
    </cfRule>
    <cfRule type="containsText" priority="1702" operator="containsText" text="Branco">
      <formula>NOT(ISERROR(SEARCH("Branco",W44)))</formula>
    </cfRule>
    <cfRule type="containsText" dxfId="6353" priority="1703" operator="containsText" text="Bege">
      <formula>NOT(ISERROR(SEARCH("Bege",W44)))</formula>
    </cfRule>
  </conditionalFormatting>
  <conditionalFormatting sqref="W44">
    <cfRule type="containsText" dxfId="6352" priority="1686" operator="containsText" text="Cinza">
      <formula>NOT(ISERROR(SEARCH("Cinza",W44)))</formula>
    </cfRule>
    <cfRule type="containsText" dxfId="6351" priority="1687" operator="containsText" text="Púrpura">
      <formula>NOT(ISERROR(SEARCH("Púrpura",W44)))</formula>
    </cfRule>
    <cfRule type="containsText" dxfId="6350" priority="1688" operator="containsText" text="Rosa">
      <formula>NOT(ISERROR(SEARCH("Rosa",W44)))</formula>
    </cfRule>
    <cfRule type="containsText" dxfId="6349" priority="1689" operator="containsText" text="Castanho">
      <formula>NOT(ISERROR(SEARCH("Castanho",W44)))</formula>
    </cfRule>
    <cfRule type="containsText" dxfId="6348" priority="1690" operator="containsText" text="Verde Água">
      <formula>NOT(ISERROR(SEARCH("Verde Água",W44)))</formula>
    </cfRule>
    <cfRule type="containsText" dxfId="6347" priority="1691" operator="containsText" text="Azul Petróleo">
      <formula>NOT(ISERROR(SEARCH("Azul Petróleo",W44)))</formula>
    </cfRule>
    <cfRule type="containsText" dxfId="6346" priority="1692" operator="containsText" text="Preto">
      <formula>NOT(ISERROR(SEARCH("Preto",W44)))</formula>
    </cfRule>
    <cfRule type="containsText" priority="1693" operator="containsText" text="Branco">
      <formula>NOT(ISERROR(SEARCH("Branco",W44)))</formula>
    </cfRule>
    <cfRule type="containsText" dxfId="6345" priority="1694" operator="containsText" text="Bege">
      <formula>NOT(ISERROR(SEARCH("Bege",W44)))</formula>
    </cfRule>
  </conditionalFormatting>
  <conditionalFormatting sqref="W44">
    <cfRule type="containsText" dxfId="6344" priority="1677" operator="containsText" text="Cinza">
      <formula>NOT(ISERROR(SEARCH("Cinza",W44)))</formula>
    </cfRule>
    <cfRule type="containsText" dxfId="6343" priority="1678" operator="containsText" text="Púrpura">
      <formula>NOT(ISERROR(SEARCH("Púrpura",W44)))</formula>
    </cfRule>
    <cfRule type="containsText" dxfId="6342" priority="1679" operator="containsText" text="Rosa">
      <formula>NOT(ISERROR(SEARCH("Rosa",W44)))</formula>
    </cfRule>
    <cfRule type="containsText" dxfId="6341" priority="1680" operator="containsText" text="Castanho">
      <formula>NOT(ISERROR(SEARCH("Castanho",W44)))</formula>
    </cfRule>
    <cfRule type="containsText" dxfId="6340" priority="1681" operator="containsText" text="Verde Água">
      <formula>NOT(ISERROR(SEARCH("Verde Água",W44)))</formula>
    </cfRule>
    <cfRule type="containsText" dxfId="6339" priority="1682" operator="containsText" text="Azul Petróleo">
      <formula>NOT(ISERROR(SEARCH("Azul Petróleo",W44)))</formula>
    </cfRule>
    <cfRule type="containsText" dxfId="6338" priority="1683" operator="containsText" text="Preto">
      <formula>NOT(ISERROR(SEARCH("Preto",W44)))</formula>
    </cfRule>
    <cfRule type="containsText" priority="1684" operator="containsText" text="Branco">
      <formula>NOT(ISERROR(SEARCH("Branco",W44)))</formula>
    </cfRule>
    <cfRule type="containsText" dxfId="6337" priority="1685" operator="containsText" text="Bege">
      <formula>NOT(ISERROR(SEARCH("Bege",W44)))</formula>
    </cfRule>
  </conditionalFormatting>
  <conditionalFormatting sqref="W44">
    <cfRule type="containsText" dxfId="6336" priority="1668" operator="containsText" text="Cinza">
      <formula>NOT(ISERROR(SEARCH("Cinza",W44)))</formula>
    </cfRule>
    <cfRule type="containsText" dxfId="6335" priority="1669" operator="containsText" text="Púrpura">
      <formula>NOT(ISERROR(SEARCH("Púrpura",W44)))</formula>
    </cfRule>
    <cfRule type="containsText" dxfId="6334" priority="1670" operator="containsText" text="Rosa">
      <formula>NOT(ISERROR(SEARCH("Rosa",W44)))</formula>
    </cfRule>
    <cfRule type="containsText" dxfId="6333" priority="1671" operator="containsText" text="Castanho">
      <formula>NOT(ISERROR(SEARCH("Castanho",W44)))</formula>
    </cfRule>
    <cfRule type="containsText" dxfId="6332" priority="1672" operator="containsText" text="Verde Água">
      <formula>NOT(ISERROR(SEARCH("Verde Água",W44)))</formula>
    </cfRule>
    <cfRule type="containsText" dxfId="6331" priority="1673" operator="containsText" text="Azul Petróleo">
      <formula>NOT(ISERROR(SEARCH("Azul Petróleo",W44)))</formula>
    </cfRule>
    <cfRule type="containsText" dxfId="6330" priority="1674" operator="containsText" text="Preto">
      <formula>NOT(ISERROR(SEARCH("Preto",W44)))</formula>
    </cfRule>
    <cfRule type="containsText" priority="1675" operator="containsText" text="Branco">
      <formula>NOT(ISERROR(SEARCH("Branco",W44)))</formula>
    </cfRule>
    <cfRule type="containsText" dxfId="6329" priority="1676" operator="containsText" text="Bege">
      <formula>NOT(ISERROR(SEARCH("Bege",W44)))</formula>
    </cfRule>
  </conditionalFormatting>
  <conditionalFormatting sqref="W44">
    <cfRule type="containsText" dxfId="6328" priority="1659" operator="containsText" text="Cinza">
      <formula>NOT(ISERROR(SEARCH("Cinza",W44)))</formula>
    </cfRule>
    <cfRule type="containsText" dxfId="6327" priority="1660" operator="containsText" text="Púrpura">
      <formula>NOT(ISERROR(SEARCH("Púrpura",W44)))</formula>
    </cfRule>
    <cfRule type="containsText" dxfId="6326" priority="1661" operator="containsText" text="Rosa">
      <formula>NOT(ISERROR(SEARCH("Rosa",W44)))</formula>
    </cfRule>
    <cfRule type="containsText" dxfId="6325" priority="1662" operator="containsText" text="Castanho">
      <formula>NOT(ISERROR(SEARCH("Castanho",W44)))</formula>
    </cfRule>
    <cfRule type="containsText" dxfId="6324" priority="1663" operator="containsText" text="Verde Água">
      <formula>NOT(ISERROR(SEARCH("Verde Água",W44)))</formula>
    </cfRule>
    <cfRule type="containsText" dxfId="6323" priority="1664" operator="containsText" text="Azul Petróleo">
      <formula>NOT(ISERROR(SEARCH("Azul Petróleo",W44)))</formula>
    </cfRule>
    <cfRule type="containsText" dxfId="6322" priority="1665" operator="containsText" text="Preto">
      <formula>NOT(ISERROR(SEARCH("Preto",W44)))</formula>
    </cfRule>
    <cfRule type="containsText" priority="1666" operator="containsText" text="Branco">
      <formula>NOT(ISERROR(SEARCH("Branco",W44)))</formula>
    </cfRule>
    <cfRule type="containsText" dxfId="6321" priority="1667" operator="containsText" text="Bege">
      <formula>NOT(ISERROR(SEARCH("Bege",W44)))</formula>
    </cfRule>
  </conditionalFormatting>
  <conditionalFormatting sqref="W44">
    <cfRule type="containsText" dxfId="6320" priority="1650" operator="containsText" text="Cinza">
      <formula>NOT(ISERROR(SEARCH("Cinza",W44)))</formula>
    </cfRule>
    <cfRule type="containsText" dxfId="6319" priority="1651" operator="containsText" text="Púrpura">
      <formula>NOT(ISERROR(SEARCH("Púrpura",W44)))</formula>
    </cfRule>
    <cfRule type="containsText" dxfId="6318" priority="1652" operator="containsText" text="Rosa">
      <formula>NOT(ISERROR(SEARCH("Rosa",W44)))</formula>
    </cfRule>
    <cfRule type="containsText" dxfId="6317" priority="1653" operator="containsText" text="Castanho">
      <formula>NOT(ISERROR(SEARCH("Castanho",W44)))</formula>
    </cfRule>
    <cfRule type="containsText" dxfId="6316" priority="1654" operator="containsText" text="Verde Água">
      <formula>NOT(ISERROR(SEARCH("Verde Água",W44)))</formula>
    </cfRule>
    <cfRule type="containsText" dxfId="6315" priority="1655" operator="containsText" text="Azul Petróleo">
      <formula>NOT(ISERROR(SEARCH("Azul Petróleo",W44)))</formula>
    </cfRule>
    <cfRule type="containsText" dxfId="6314" priority="1656" operator="containsText" text="Preto">
      <formula>NOT(ISERROR(SEARCH("Preto",W44)))</formula>
    </cfRule>
    <cfRule type="containsText" priority="1657" operator="containsText" text="Branco">
      <formula>NOT(ISERROR(SEARCH("Branco",W44)))</formula>
    </cfRule>
    <cfRule type="containsText" dxfId="6313" priority="1658" operator="containsText" text="Bege">
      <formula>NOT(ISERROR(SEARCH("Bege",W44)))</formula>
    </cfRule>
  </conditionalFormatting>
  <conditionalFormatting sqref="W44">
    <cfRule type="containsText" dxfId="6312" priority="1641" operator="containsText" text="Cinza">
      <formula>NOT(ISERROR(SEARCH("Cinza",W44)))</formula>
    </cfRule>
    <cfRule type="containsText" dxfId="6311" priority="1642" operator="containsText" text="Púrpura">
      <formula>NOT(ISERROR(SEARCH("Púrpura",W44)))</formula>
    </cfRule>
    <cfRule type="containsText" dxfId="6310" priority="1643" operator="containsText" text="Rosa">
      <formula>NOT(ISERROR(SEARCH("Rosa",W44)))</formula>
    </cfRule>
    <cfRule type="containsText" dxfId="6309" priority="1644" operator="containsText" text="Castanho">
      <formula>NOT(ISERROR(SEARCH("Castanho",W44)))</formula>
    </cfRule>
    <cfRule type="containsText" dxfId="6308" priority="1645" operator="containsText" text="Verde Água">
      <formula>NOT(ISERROR(SEARCH("Verde Água",W44)))</formula>
    </cfRule>
    <cfRule type="containsText" dxfId="6307" priority="1646" operator="containsText" text="Azul Petróleo">
      <formula>NOT(ISERROR(SEARCH("Azul Petróleo",W44)))</formula>
    </cfRule>
    <cfRule type="containsText" dxfId="6306" priority="1647" operator="containsText" text="Preto">
      <formula>NOT(ISERROR(SEARCH("Preto",W44)))</formula>
    </cfRule>
    <cfRule type="containsText" priority="1648" operator="containsText" text="Branco">
      <formula>NOT(ISERROR(SEARCH("Branco",W44)))</formula>
    </cfRule>
    <cfRule type="containsText" dxfId="6305" priority="1649" operator="containsText" text="Bege">
      <formula>NOT(ISERROR(SEARCH("Bege",W44)))</formula>
    </cfRule>
  </conditionalFormatting>
  <conditionalFormatting sqref="W44">
    <cfRule type="containsText" dxfId="6304" priority="1632" operator="containsText" text="Cinza">
      <formula>NOT(ISERROR(SEARCH("Cinza",W44)))</formula>
    </cfRule>
    <cfRule type="containsText" dxfId="6303" priority="1633" operator="containsText" text="Púrpura">
      <formula>NOT(ISERROR(SEARCH("Púrpura",W44)))</formula>
    </cfRule>
    <cfRule type="containsText" dxfId="6302" priority="1634" operator="containsText" text="Rosa">
      <formula>NOT(ISERROR(SEARCH("Rosa",W44)))</formula>
    </cfRule>
    <cfRule type="containsText" dxfId="6301" priority="1635" operator="containsText" text="Castanho">
      <formula>NOT(ISERROR(SEARCH("Castanho",W44)))</formula>
    </cfRule>
    <cfRule type="containsText" dxfId="6300" priority="1636" operator="containsText" text="Verde Água">
      <formula>NOT(ISERROR(SEARCH("Verde Água",W44)))</formula>
    </cfRule>
    <cfRule type="containsText" dxfId="6299" priority="1637" operator="containsText" text="Azul Petróleo">
      <formula>NOT(ISERROR(SEARCH("Azul Petróleo",W44)))</formula>
    </cfRule>
    <cfRule type="containsText" dxfId="6298" priority="1638" operator="containsText" text="Preto">
      <formula>NOT(ISERROR(SEARCH("Preto",W44)))</formula>
    </cfRule>
    <cfRule type="containsText" priority="1639" operator="containsText" text="Branco">
      <formula>NOT(ISERROR(SEARCH("Branco",W44)))</formula>
    </cfRule>
    <cfRule type="containsText" dxfId="6297" priority="1640" operator="containsText" text="Bege">
      <formula>NOT(ISERROR(SEARCH("Bege",W44)))</formula>
    </cfRule>
  </conditionalFormatting>
  <conditionalFormatting sqref="W44">
    <cfRule type="containsText" dxfId="6296" priority="1623" operator="containsText" text="Cinza">
      <formula>NOT(ISERROR(SEARCH("Cinza",W44)))</formula>
    </cfRule>
    <cfRule type="containsText" dxfId="6295" priority="1624" operator="containsText" text="Púrpura">
      <formula>NOT(ISERROR(SEARCH("Púrpura",W44)))</formula>
    </cfRule>
    <cfRule type="containsText" dxfId="6294" priority="1625" operator="containsText" text="Rosa">
      <formula>NOT(ISERROR(SEARCH("Rosa",W44)))</formula>
    </cfRule>
    <cfRule type="containsText" dxfId="6293" priority="1626" operator="containsText" text="Castanho">
      <formula>NOT(ISERROR(SEARCH("Castanho",W44)))</formula>
    </cfRule>
    <cfRule type="containsText" dxfId="6292" priority="1627" operator="containsText" text="Verde Água">
      <formula>NOT(ISERROR(SEARCH("Verde Água",W44)))</formula>
    </cfRule>
    <cfRule type="containsText" dxfId="6291" priority="1628" operator="containsText" text="Azul Petróleo">
      <formula>NOT(ISERROR(SEARCH("Azul Petróleo",W44)))</formula>
    </cfRule>
    <cfRule type="containsText" dxfId="6290" priority="1629" operator="containsText" text="Preto">
      <formula>NOT(ISERROR(SEARCH("Preto",W44)))</formula>
    </cfRule>
    <cfRule type="containsText" priority="1630" operator="containsText" text="Branco">
      <formula>NOT(ISERROR(SEARCH("Branco",W44)))</formula>
    </cfRule>
    <cfRule type="containsText" dxfId="6289" priority="1631" operator="containsText" text="Bege">
      <formula>NOT(ISERROR(SEARCH("Bege",W44)))</formula>
    </cfRule>
  </conditionalFormatting>
  <conditionalFormatting sqref="W44">
    <cfRule type="containsText" dxfId="6288" priority="1614" operator="containsText" text="Escuro">
      <formula>NOT(ISERROR(SEARCH("Escuro",W44)))</formula>
    </cfRule>
    <cfRule type="containsText" dxfId="6287" priority="1615" operator="containsText" text="Cinza">
      <formula>NOT(ISERROR(SEARCH("Cinza",W44)))</formula>
    </cfRule>
    <cfRule type="containsText" dxfId="6286" priority="1616" operator="containsText" text="Púrpura">
      <formula>NOT(ISERROR(SEARCH("Púrpura",W44)))</formula>
    </cfRule>
    <cfRule type="containsText" dxfId="6285" priority="1617" operator="containsText" text="Rosa">
      <formula>NOT(ISERROR(SEARCH("Rosa",W44)))</formula>
    </cfRule>
    <cfRule type="containsText" dxfId="6284" priority="1618" operator="containsText" text="Castanho">
      <formula>NOT(ISERROR(SEARCH("Castanho",W44)))</formula>
    </cfRule>
    <cfRule type="containsText" dxfId="6283" priority="1619" operator="containsText" text="Verde Água">
      <formula>NOT(ISERROR(SEARCH("Verde Água",W44)))</formula>
    </cfRule>
    <cfRule type="containsText" dxfId="6282" priority="1620" operator="containsText" text="Azul Petróleo">
      <formula>NOT(ISERROR(SEARCH("Azul Petróleo",W44)))</formula>
    </cfRule>
    <cfRule type="containsText" dxfId="6281" priority="1621" operator="containsText" text="Preto">
      <formula>NOT(ISERROR(SEARCH("Preto",W44)))</formula>
    </cfRule>
    <cfRule type="containsText" priority="1622" operator="containsText" text="Branco">
      <formula>NOT(ISERROR(SEARCH("Branco",W44)))</formula>
    </cfRule>
  </conditionalFormatting>
  <conditionalFormatting sqref="W36">
    <cfRule type="containsText" dxfId="6280" priority="1605" operator="containsText" text="Cinza">
      <formula>NOT(ISERROR(SEARCH("Cinza",W36)))</formula>
    </cfRule>
    <cfRule type="containsText" dxfId="6279" priority="1606" operator="containsText" text="Púrpura">
      <formula>NOT(ISERROR(SEARCH("Púrpura",W36)))</formula>
    </cfRule>
    <cfRule type="containsText" dxfId="6278" priority="1607" operator="containsText" text="Rosa">
      <formula>NOT(ISERROR(SEARCH("Rosa",W36)))</formula>
    </cfRule>
    <cfRule type="containsText" dxfId="6277" priority="1608" operator="containsText" text="Castanho">
      <formula>NOT(ISERROR(SEARCH("Castanho",W36)))</formula>
    </cfRule>
    <cfRule type="containsText" dxfId="6276" priority="1609" operator="containsText" text="Verde Água">
      <formula>NOT(ISERROR(SEARCH("Verde Água",W36)))</formula>
    </cfRule>
    <cfRule type="containsText" dxfId="6275" priority="1610" operator="containsText" text="Azul Petróleo">
      <formula>NOT(ISERROR(SEARCH("Azul Petróleo",W36)))</formula>
    </cfRule>
    <cfRule type="containsText" dxfId="6274" priority="1611" operator="containsText" text="Preto">
      <formula>NOT(ISERROR(SEARCH("Preto",W36)))</formula>
    </cfRule>
    <cfRule type="containsText" priority="1612" operator="containsText" text="Branco">
      <formula>NOT(ISERROR(SEARCH("Branco",W36)))</formula>
    </cfRule>
    <cfRule type="containsText" dxfId="6273" priority="1613" operator="containsText" text="Bege">
      <formula>NOT(ISERROR(SEARCH("Bege",W36)))</formula>
    </cfRule>
  </conditionalFormatting>
  <conditionalFormatting sqref="W36">
    <cfRule type="containsText" dxfId="6272" priority="1596" operator="containsText" text="Cinza">
      <formula>NOT(ISERROR(SEARCH("Cinza",W36)))</formula>
    </cfRule>
    <cfRule type="containsText" dxfId="6271" priority="1597" operator="containsText" text="Púrpura">
      <formula>NOT(ISERROR(SEARCH("Púrpura",W36)))</formula>
    </cfRule>
    <cfRule type="containsText" dxfId="6270" priority="1598" operator="containsText" text="Rosa">
      <formula>NOT(ISERROR(SEARCH("Rosa",W36)))</formula>
    </cfRule>
    <cfRule type="containsText" dxfId="6269" priority="1599" operator="containsText" text="Castanho">
      <formula>NOT(ISERROR(SEARCH("Castanho",W36)))</formula>
    </cfRule>
    <cfRule type="containsText" dxfId="6268" priority="1600" operator="containsText" text="Verde Água">
      <formula>NOT(ISERROR(SEARCH("Verde Água",W36)))</formula>
    </cfRule>
    <cfRule type="containsText" dxfId="6267" priority="1601" operator="containsText" text="Azul Petróleo">
      <formula>NOT(ISERROR(SEARCH("Azul Petróleo",W36)))</formula>
    </cfRule>
    <cfRule type="containsText" dxfId="6266" priority="1602" operator="containsText" text="Preto">
      <formula>NOT(ISERROR(SEARCH("Preto",W36)))</formula>
    </cfRule>
    <cfRule type="containsText" priority="1603" operator="containsText" text="Branco">
      <formula>NOT(ISERROR(SEARCH("Branco",W36)))</formula>
    </cfRule>
    <cfRule type="containsText" dxfId="6265" priority="1604" operator="containsText" text="Bege">
      <formula>NOT(ISERROR(SEARCH("Bege",W36)))</formula>
    </cfRule>
  </conditionalFormatting>
  <conditionalFormatting sqref="W36">
    <cfRule type="containsText" dxfId="6264" priority="1587" operator="containsText" text="Cinza">
      <formula>NOT(ISERROR(SEARCH("Cinza",W36)))</formula>
    </cfRule>
    <cfRule type="containsText" dxfId="6263" priority="1588" operator="containsText" text="Púrpura">
      <formula>NOT(ISERROR(SEARCH("Púrpura",W36)))</formula>
    </cfRule>
    <cfRule type="containsText" dxfId="6262" priority="1589" operator="containsText" text="Rosa">
      <formula>NOT(ISERROR(SEARCH("Rosa",W36)))</formula>
    </cfRule>
    <cfRule type="containsText" dxfId="6261" priority="1590" operator="containsText" text="Castanho">
      <formula>NOT(ISERROR(SEARCH("Castanho",W36)))</formula>
    </cfRule>
    <cfRule type="containsText" dxfId="6260" priority="1591" operator="containsText" text="Verde Água">
      <formula>NOT(ISERROR(SEARCH("Verde Água",W36)))</formula>
    </cfRule>
    <cfRule type="containsText" dxfId="6259" priority="1592" operator="containsText" text="Azul Petróleo">
      <formula>NOT(ISERROR(SEARCH("Azul Petróleo",W36)))</formula>
    </cfRule>
    <cfRule type="containsText" dxfId="6258" priority="1593" operator="containsText" text="Preto">
      <formula>NOT(ISERROR(SEARCH("Preto",W36)))</formula>
    </cfRule>
    <cfRule type="containsText" priority="1594" operator="containsText" text="Branco">
      <formula>NOT(ISERROR(SEARCH("Branco",W36)))</formula>
    </cfRule>
    <cfRule type="containsText" dxfId="6257" priority="1595" operator="containsText" text="Bege">
      <formula>NOT(ISERROR(SEARCH("Bege",W36)))</formula>
    </cfRule>
  </conditionalFormatting>
  <conditionalFormatting sqref="W36">
    <cfRule type="containsText" dxfId="6256" priority="1578" operator="containsText" text="Cinza">
      <formula>NOT(ISERROR(SEARCH("Cinza",W36)))</formula>
    </cfRule>
    <cfRule type="containsText" dxfId="6255" priority="1579" operator="containsText" text="Púrpura">
      <formula>NOT(ISERROR(SEARCH("Púrpura",W36)))</formula>
    </cfRule>
    <cfRule type="containsText" dxfId="6254" priority="1580" operator="containsText" text="Rosa">
      <formula>NOT(ISERROR(SEARCH("Rosa",W36)))</formula>
    </cfRule>
    <cfRule type="containsText" dxfId="6253" priority="1581" operator="containsText" text="Castanho">
      <formula>NOT(ISERROR(SEARCH("Castanho",W36)))</formula>
    </cfRule>
    <cfRule type="containsText" dxfId="6252" priority="1582" operator="containsText" text="Verde Água">
      <formula>NOT(ISERROR(SEARCH("Verde Água",W36)))</formula>
    </cfRule>
    <cfRule type="containsText" dxfId="6251" priority="1583" operator="containsText" text="Azul Petróleo">
      <formula>NOT(ISERROR(SEARCH("Azul Petróleo",W36)))</formula>
    </cfRule>
    <cfRule type="containsText" dxfId="6250" priority="1584" operator="containsText" text="Preto">
      <formula>NOT(ISERROR(SEARCH("Preto",W36)))</formula>
    </cfRule>
    <cfRule type="containsText" priority="1585" operator="containsText" text="Branco">
      <formula>NOT(ISERROR(SEARCH("Branco",W36)))</formula>
    </cfRule>
    <cfRule type="containsText" dxfId="6249" priority="1586" operator="containsText" text="Bege">
      <formula>NOT(ISERROR(SEARCH("Bege",W36)))</formula>
    </cfRule>
  </conditionalFormatting>
  <conditionalFormatting sqref="W36">
    <cfRule type="containsText" dxfId="6248" priority="1569" operator="containsText" text="Cinza">
      <formula>NOT(ISERROR(SEARCH("Cinza",W36)))</formula>
    </cfRule>
    <cfRule type="containsText" dxfId="6247" priority="1570" operator="containsText" text="Púrpura">
      <formula>NOT(ISERROR(SEARCH("Púrpura",W36)))</formula>
    </cfRule>
    <cfRule type="containsText" dxfId="6246" priority="1571" operator="containsText" text="Rosa">
      <formula>NOT(ISERROR(SEARCH("Rosa",W36)))</formula>
    </cfRule>
    <cfRule type="containsText" dxfId="6245" priority="1572" operator="containsText" text="Castanho">
      <formula>NOT(ISERROR(SEARCH("Castanho",W36)))</formula>
    </cfRule>
    <cfRule type="containsText" dxfId="6244" priority="1573" operator="containsText" text="Verde Água">
      <formula>NOT(ISERROR(SEARCH("Verde Água",W36)))</formula>
    </cfRule>
    <cfRule type="containsText" dxfId="6243" priority="1574" operator="containsText" text="Azul Petróleo">
      <formula>NOT(ISERROR(SEARCH("Azul Petróleo",W36)))</formula>
    </cfRule>
    <cfRule type="containsText" dxfId="6242" priority="1575" operator="containsText" text="Preto">
      <formula>NOT(ISERROR(SEARCH("Preto",W36)))</formula>
    </cfRule>
    <cfRule type="containsText" priority="1576" operator="containsText" text="Branco">
      <formula>NOT(ISERROR(SEARCH("Branco",W36)))</formula>
    </cfRule>
    <cfRule type="containsText" dxfId="6241" priority="1577" operator="containsText" text="Bege">
      <formula>NOT(ISERROR(SEARCH("Bege",W36)))</formula>
    </cfRule>
  </conditionalFormatting>
  <conditionalFormatting sqref="W36">
    <cfRule type="containsText" dxfId="6240" priority="1560" operator="containsText" text="Cinza">
      <formula>NOT(ISERROR(SEARCH("Cinza",W36)))</formula>
    </cfRule>
    <cfRule type="containsText" dxfId="6239" priority="1561" operator="containsText" text="Púrpura">
      <formula>NOT(ISERROR(SEARCH("Púrpura",W36)))</formula>
    </cfRule>
    <cfRule type="containsText" dxfId="6238" priority="1562" operator="containsText" text="Rosa">
      <formula>NOT(ISERROR(SEARCH("Rosa",W36)))</formula>
    </cfRule>
    <cfRule type="containsText" dxfId="6237" priority="1563" operator="containsText" text="Castanho">
      <formula>NOT(ISERROR(SEARCH("Castanho",W36)))</formula>
    </cfRule>
    <cfRule type="containsText" dxfId="6236" priority="1564" operator="containsText" text="Verde Água">
      <formula>NOT(ISERROR(SEARCH("Verde Água",W36)))</formula>
    </cfRule>
    <cfRule type="containsText" dxfId="6235" priority="1565" operator="containsText" text="Azul Petróleo">
      <formula>NOT(ISERROR(SEARCH("Azul Petróleo",W36)))</formula>
    </cfRule>
    <cfRule type="containsText" dxfId="6234" priority="1566" operator="containsText" text="Preto">
      <formula>NOT(ISERROR(SEARCH("Preto",W36)))</formula>
    </cfRule>
    <cfRule type="containsText" priority="1567" operator="containsText" text="Branco">
      <formula>NOT(ISERROR(SEARCH("Branco",W36)))</formula>
    </cfRule>
    <cfRule type="containsText" dxfId="6233" priority="1568" operator="containsText" text="Bege">
      <formula>NOT(ISERROR(SEARCH("Bege",W36)))</formula>
    </cfRule>
  </conditionalFormatting>
  <conditionalFormatting sqref="W36">
    <cfRule type="containsText" dxfId="6232" priority="1551" operator="containsText" text="Cinza">
      <formula>NOT(ISERROR(SEARCH("Cinza",W36)))</formula>
    </cfRule>
    <cfRule type="containsText" dxfId="6231" priority="1552" operator="containsText" text="Púrpura">
      <formula>NOT(ISERROR(SEARCH("Púrpura",W36)))</formula>
    </cfRule>
    <cfRule type="containsText" dxfId="6230" priority="1553" operator="containsText" text="Rosa">
      <formula>NOT(ISERROR(SEARCH("Rosa",W36)))</formula>
    </cfRule>
    <cfRule type="containsText" dxfId="6229" priority="1554" operator="containsText" text="Castanho">
      <formula>NOT(ISERROR(SEARCH("Castanho",W36)))</formula>
    </cfRule>
    <cfRule type="containsText" dxfId="6228" priority="1555" operator="containsText" text="Verde Água">
      <formula>NOT(ISERROR(SEARCH("Verde Água",W36)))</formula>
    </cfRule>
    <cfRule type="containsText" dxfId="6227" priority="1556" operator="containsText" text="Azul Petróleo">
      <formula>NOT(ISERROR(SEARCH("Azul Petróleo",W36)))</formula>
    </cfRule>
    <cfRule type="containsText" dxfId="6226" priority="1557" operator="containsText" text="Preto">
      <formula>NOT(ISERROR(SEARCH("Preto",W36)))</formula>
    </cfRule>
    <cfRule type="containsText" priority="1558" operator="containsText" text="Branco">
      <formula>NOT(ISERROR(SEARCH("Branco",W36)))</formula>
    </cfRule>
    <cfRule type="containsText" dxfId="6225" priority="1559" operator="containsText" text="Bege">
      <formula>NOT(ISERROR(SEARCH("Bege",W36)))</formula>
    </cfRule>
  </conditionalFormatting>
  <conditionalFormatting sqref="W36">
    <cfRule type="containsText" dxfId="6224" priority="1542" operator="containsText" text="Cinza">
      <formula>NOT(ISERROR(SEARCH("Cinza",W36)))</formula>
    </cfRule>
    <cfRule type="containsText" dxfId="6223" priority="1543" operator="containsText" text="Púrpura">
      <formula>NOT(ISERROR(SEARCH("Púrpura",W36)))</formula>
    </cfRule>
    <cfRule type="containsText" dxfId="6222" priority="1544" operator="containsText" text="Rosa">
      <formula>NOT(ISERROR(SEARCH("Rosa",W36)))</formula>
    </cfRule>
    <cfRule type="containsText" dxfId="6221" priority="1545" operator="containsText" text="Castanho">
      <formula>NOT(ISERROR(SEARCH("Castanho",W36)))</formula>
    </cfRule>
    <cfRule type="containsText" dxfId="6220" priority="1546" operator="containsText" text="Verde Água">
      <formula>NOT(ISERROR(SEARCH("Verde Água",W36)))</formula>
    </cfRule>
    <cfRule type="containsText" dxfId="6219" priority="1547" operator="containsText" text="Azul Petróleo">
      <formula>NOT(ISERROR(SEARCH("Azul Petróleo",W36)))</formula>
    </cfRule>
    <cfRule type="containsText" dxfId="6218" priority="1548" operator="containsText" text="Preto">
      <formula>NOT(ISERROR(SEARCH("Preto",W36)))</formula>
    </cfRule>
    <cfRule type="containsText" priority="1549" operator="containsText" text="Branco">
      <formula>NOT(ISERROR(SEARCH("Branco",W36)))</formula>
    </cfRule>
    <cfRule type="containsText" dxfId="6217" priority="1550" operator="containsText" text="Bege">
      <formula>NOT(ISERROR(SEARCH("Bege",W36)))</formula>
    </cfRule>
  </conditionalFormatting>
  <conditionalFormatting sqref="W36">
    <cfRule type="containsText" dxfId="6216" priority="1533" operator="containsText" text="Cinza">
      <formula>NOT(ISERROR(SEARCH("Cinza",W36)))</formula>
    </cfRule>
    <cfRule type="containsText" dxfId="6215" priority="1534" operator="containsText" text="Púrpura">
      <formula>NOT(ISERROR(SEARCH("Púrpura",W36)))</formula>
    </cfRule>
    <cfRule type="containsText" dxfId="6214" priority="1535" operator="containsText" text="Rosa">
      <formula>NOT(ISERROR(SEARCH("Rosa",W36)))</formula>
    </cfRule>
    <cfRule type="containsText" dxfId="6213" priority="1536" operator="containsText" text="Castanho">
      <formula>NOT(ISERROR(SEARCH("Castanho",W36)))</formula>
    </cfRule>
    <cfRule type="containsText" dxfId="6212" priority="1537" operator="containsText" text="Verde Água">
      <formula>NOT(ISERROR(SEARCH("Verde Água",W36)))</formula>
    </cfRule>
    <cfRule type="containsText" dxfId="6211" priority="1538" operator="containsText" text="Azul Petróleo">
      <formula>NOT(ISERROR(SEARCH("Azul Petróleo",W36)))</formula>
    </cfRule>
    <cfRule type="containsText" dxfId="6210" priority="1539" operator="containsText" text="Preto">
      <formula>NOT(ISERROR(SEARCH("Preto",W36)))</formula>
    </cfRule>
    <cfRule type="containsText" priority="1540" operator="containsText" text="Branco">
      <formula>NOT(ISERROR(SEARCH("Branco",W36)))</formula>
    </cfRule>
    <cfRule type="containsText" dxfId="6209" priority="1541" operator="containsText" text="Bege">
      <formula>NOT(ISERROR(SEARCH("Bege",W36)))</formula>
    </cfRule>
  </conditionalFormatting>
  <conditionalFormatting sqref="W36">
    <cfRule type="containsText" dxfId="6208" priority="1524" operator="containsText" text="Cinza">
      <formula>NOT(ISERROR(SEARCH("Cinza",W36)))</formula>
    </cfRule>
    <cfRule type="containsText" dxfId="6207" priority="1525" operator="containsText" text="Púrpura">
      <formula>NOT(ISERROR(SEARCH("Púrpura",W36)))</formula>
    </cfRule>
    <cfRule type="containsText" dxfId="6206" priority="1526" operator="containsText" text="Rosa">
      <formula>NOT(ISERROR(SEARCH("Rosa",W36)))</formula>
    </cfRule>
    <cfRule type="containsText" dxfId="6205" priority="1527" operator="containsText" text="Castanho">
      <formula>NOT(ISERROR(SEARCH("Castanho",W36)))</formula>
    </cfRule>
    <cfRule type="containsText" dxfId="6204" priority="1528" operator="containsText" text="Verde Água">
      <formula>NOT(ISERROR(SEARCH("Verde Água",W36)))</formula>
    </cfRule>
    <cfRule type="containsText" dxfId="6203" priority="1529" operator="containsText" text="Azul Petróleo">
      <formula>NOT(ISERROR(SEARCH("Azul Petróleo",W36)))</formula>
    </cfRule>
    <cfRule type="containsText" dxfId="6202" priority="1530" operator="containsText" text="Preto">
      <formula>NOT(ISERROR(SEARCH("Preto",W36)))</formula>
    </cfRule>
    <cfRule type="containsText" priority="1531" operator="containsText" text="Branco">
      <formula>NOT(ISERROR(SEARCH("Branco",W36)))</formula>
    </cfRule>
    <cfRule type="containsText" dxfId="6201" priority="1532" operator="containsText" text="Bege">
      <formula>NOT(ISERROR(SEARCH("Bege",W36)))</formula>
    </cfRule>
  </conditionalFormatting>
  <conditionalFormatting sqref="W36">
    <cfRule type="containsText" dxfId="6200" priority="1515" operator="containsText" text="Cinza">
      <formula>NOT(ISERROR(SEARCH("Cinza",W36)))</formula>
    </cfRule>
    <cfRule type="containsText" dxfId="6199" priority="1516" operator="containsText" text="Púrpura">
      <formula>NOT(ISERROR(SEARCH("Púrpura",W36)))</formula>
    </cfRule>
    <cfRule type="containsText" dxfId="6198" priority="1517" operator="containsText" text="Rosa">
      <formula>NOT(ISERROR(SEARCH("Rosa",W36)))</formula>
    </cfRule>
    <cfRule type="containsText" dxfId="6197" priority="1518" operator="containsText" text="Castanho">
      <formula>NOT(ISERROR(SEARCH("Castanho",W36)))</formula>
    </cfRule>
    <cfRule type="containsText" dxfId="6196" priority="1519" operator="containsText" text="Verde Água">
      <formula>NOT(ISERROR(SEARCH("Verde Água",W36)))</formula>
    </cfRule>
    <cfRule type="containsText" dxfId="6195" priority="1520" operator="containsText" text="Azul Petróleo">
      <formula>NOT(ISERROR(SEARCH("Azul Petróleo",W36)))</formula>
    </cfRule>
    <cfRule type="containsText" dxfId="6194" priority="1521" operator="containsText" text="Preto">
      <formula>NOT(ISERROR(SEARCH("Preto",W36)))</formula>
    </cfRule>
    <cfRule type="containsText" priority="1522" operator="containsText" text="Branco">
      <formula>NOT(ISERROR(SEARCH("Branco",W36)))</formula>
    </cfRule>
    <cfRule type="containsText" dxfId="6193" priority="1523" operator="containsText" text="Bege">
      <formula>NOT(ISERROR(SEARCH("Bege",W36)))</formula>
    </cfRule>
  </conditionalFormatting>
  <conditionalFormatting sqref="W36">
    <cfRule type="containsText" dxfId="6192" priority="1506" operator="containsText" text="Cinza">
      <formula>NOT(ISERROR(SEARCH("Cinza",W36)))</formula>
    </cfRule>
    <cfRule type="containsText" dxfId="6191" priority="1507" operator="containsText" text="Púrpura">
      <formula>NOT(ISERROR(SEARCH("Púrpura",W36)))</formula>
    </cfRule>
    <cfRule type="containsText" dxfId="6190" priority="1508" operator="containsText" text="Rosa">
      <formula>NOT(ISERROR(SEARCH("Rosa",W36)))</formula>
    </cfRule>
    <cfRule type="containsText" dxfId="6189" priority="1509" operator="containsText" text="Castanho">
      <formula>NOT(ISERROR(SEARCH("Castanho",W36)))</formula>
    </cfRule>
    <cfRule type="containsText" dxfId="6188" priority="1510" operator="containsText" text="Verde Água">
      <formula>NOT(ISERROR(SEARCH("Verde Água",W36)))</formula>
    </cfRule>
    <cfRule type="containsText" dxfId="6187" priority="1511" operator="containsText" text="Azul Petróleo">
      <formula>NOT(ISERROR(SEARCH("Azul Petróleo",W36)))</formula>
    </cfRule>
    <cfRule type="containsText" dxfId="6186" priority="1512" operator="containsText" text="Preto">
      <formula>NOT(ISERROR(SEARCH("Preto",W36)))</formula>
    </cfRule>
    <cfRule type="containsText" priority="1513" operator="containsText" text="Branco">
      <formula>NOT(ISERROR(SEARCH("Branco",W36)))</formula>
    </cfRule>
    <cfRule type="containsText" dxfId="6185" priority="1514" operator="containsText" text="Bege">
      <formula>NOT(ISERROR(SEARCH("Bege",W36)))</formula>
    </cfRule>
  </conditionalFormatting>
  <conditionalFormatting sqref="W36">
    <cfRule type="containsText" dxfId="6184" priority="1497" operator="containsText" text="Cinza">
      <formula>NOT(ISERROR(SEARCH("Cinza",W36)))</formula>
    </cfRule>
    <cfRule type="containsText" dxfId="6183" priority="1498" operator="containsText" text="Púrpura">
      <formula>NOT(ISERROR(SEARCH("Púrpura",W36)))</formula>
    </cfRule>
    <cfRule type="containsText" dxfId="6182" priority="1499" operator="containsText" text="Rosa">
      <formula>NOT(ISERROR(SEARCH("Rosa",W36)))</formula>
    </cfRule>
    <cfRule type="containsText" dxfId="6181" priority="1500" operator="containsText" text="Castanho">
      <formula>NOT(ISERROR(SEARCH("Castanho",W36)))</formula>
    </cfRule>
    <cfRule type="containsText" dxfId="6180" priority="1501" operator="containsText" text="Verde Água">
      <formula>NOT(ISERROR(SEARCH("Verde Água",W36)))</formula>
    </cfRule>
    <cfRule type="containsText" dxfId="6179" priority="1502" operator="containsText" text="Azul Petróleo">
      <formula>NOT(ISERROR(SEARCH("Azul Petróleo",W36)))</formula>
    </cfRule>
    <cfRule type="containsText" dxfId="6178" priority="1503" operator="containsText" text="Preto">
      <formula>NOT(ISERROR(SEARCH("Preto",W36)))</formula>
    </cfRule>
    <cfRule type="containsText" priority="1504" operator="containsText" text="Branco">
      <formula>NOT(ISERROR(SEARCH("Branco",W36)))</formula>
    </cfRule>
    <cfRule type="containsText" dxfId="6177" priority="1505" operator="containsText" text="Bege">
      <formula>NOT(ISERROR(SEARCH("Bege",W36)))</formula>
    </cfRule>
  </conditionalFormatting>
  <conditionalFormatting sqref="W36">
    <cfRule type="containsText" dxfId="6176" priority="1488" operator="containsText" text="Cinza">
      <formula>NOT(ISERROR(SEARCH("Cinza",W36)))</formula>
    </cfRule>
    <cfRule type="containsText" dxfId="6175" priority="1489" operator="containsText" text="Púrpura">
      <formula>NOT(ISERROR(SEARCH("Púrpura",W36)))</formula>
    </cfRule>
    <cfRule type="containsText" dxfId="6174" priority="1490" operator="containsText" text="Rosa">
      <formula>NOT(ISERROR(SEARCH("Rosa",W36)))</formula>
    </cfRule>
    <cfRule type="containsText" dxfId="6173" priority="1491" operator="containsText" text="Castanho">
      <formula>NOT(ISERROR(SEARCH("Castanho",W36)))</formula>
    </cfRule>
    <cfRule type="containsText" dxfId="6172" priority="1492" operator="containsText" text="Verde Água">
      <formula>NOT(ISERROR(SEARCH("Verde Água",W36)))</formula>
    </cfRule>
    <cfRule type="containsText" dxfId="6171" priority="1493" operator="containsText" text="Azul Petróleo">
      <formula>NOT(ISERROR(SEARCH("Azul Petróleo",W36)))</formula>
    </cfRule>
    <cfRule type="containsText" dxfId="6170" priority="1494" operator="containsText" text="Preto">
      <formula>NOT(ISERROR(SEARCH("Preto",W36)))</formula>
    </cfRule>
    <cfRule type="containsText" priority="1495" operator="containsText" text="Branco">
      <formula>NOT(ISERROR(SEARCH("Branco",W36)))</formula>
    </cfRule>
    <cfRule type="containsText" dxfId="6169" priority="1496" operator="containsText" text="Bege">
      <formula>NOT(ISERROR(SEARCH("Bege",W36)))</formula>
    </cfRule>
  </conditionalFormatting>
  <conditionalFormatting sqref="W36">
    <cfRule type="containsText" dxfId="6168" priority="1479" operator="containsText" text="Cinza">
      <formula>NOT(ISERROR(SEARCH("Cinza",W36)))</formula>
    </cfRule>
    <cfRule type="containsText" dxfId="6167" priority="1480" operator="containsText" text="Púrpura">
      <formula>NOT(ISERROR(SEARCH("Púrpura",W36)))</formula>
    </cfRule>
    <cfRule type="containsText" dxfId="6166" priority="1481" operator="containsText" text="Rosa">
      <formula>NOT(ISERROR(SEARCH("Rosa",W36)))</formula>
    </cfRule>
    <cfRule type="containsText" dxfId="6165" priority="1482" operator="containsText" text="Castanho">
      <formula>NOT(ISERROR(SEARCH("Castanho",W36)))</formula>
    </cfRule>
    <cfRule type="containsText" dxfId="6164" priority="1483" operator="containsText" text="Verde Água">
      <formula>NOT(ISERROR(SEARCH("Verde Água",W36)))</formula>
    </cfRule>
    <cfRule type="containsText" dxfId="6163" priority="1484" operator="containsText" text="Azul Petróleo">
      <formula>NOT(ISERROR(SEARCH("Azul Petróleo",W36)))</formula>
    </cfRule>
    <cfRule type="containsText" dxfId="6162" priority="1485" operator="containsText" text="Preto">
      <formula>NOT(ISERROR(SEARCH("Preto",W36)))</formula>
    </cfRule>
    <cfRule type="containsText" priority="1486" operator="containsText" text="Branco">
      <formula>NOT(ISERROR(SEARCH("Branco",W36)))</formula>
    </cfRule>
    <cfRule type="containsText" dxfId="6161" priority="1487" operator="containsText" text="Bege">
      <formula>NOT(ISERROR(SEARCH("Bege",W36)))</formula>
    </cfRule>
  </conditionalFormatting>
  <conditionalFormatting sqref="W36">
    <cfRule type="containsText" dxfId="6160" priority="1470" operator="containsText" text="Cinza">
      <formula>NOT(ISERROR(SEARCH("Cinza",W36)))</formula>
    </cfRule>
    <cfRule type="containsText" dxfId="6159" priority="1471" operator="containsText" text="Púrpura">
      <formula>NOT(ISERROR(SEARCH("Púrpura",W36)))</formula>
    </cfRule>
    <cfRule type="containsText" dxfId="6158" priority="1472" operator="containsText" text="Rosa">
      <formula>NOT(ISERROR(SEARCH("Rosa",W36)))</formula>
    </cfRule>
    <cfRule type="containsText" dxfId="6157" priority="1473" operator="containsText" text="Castanho">
      <formula>NOT(ISERROR(SEARCH("Castanho",W36)))</formula>
    </cfRule>
    <cfRule type="containsText" dxfId="6156" priority="1474" operator="containsText" text="Verde Água">
      <formula>NOT(ISERROR(SEARCH("Verde Água",W36)))</formula>
    </cfRule>
    <cfRule type="containsText" dxfId="6155" priority="1475" operator="containsText" text="Azul Petróleo">
      <formula>NOT(ISERROR(SEARCH("Azul Petróleo",W36)))</formula>
    </cfRule>
    <cfRule type="containsText" dxfId="6154" priority="1476" operator="containsText" text="Preto">
      <formula>NOT(ISERROR(SEARCH("Preto",W36)))</formula>
    </cfRule>
    <cfRule type="containsText" priority="1477" operator="containsText" text="Branco">
      <formula>NOT(ISERROR(SEARCH("Branco",W36)))</formula>
    </cfRule>
    <cfRule type="containsText" dxfId="6153" priority="1478" operator="containsText" text="Bege">
      <formula>NOT(ISERROR(SEARCH("Bege",W36)))</formula>
    </cfRule>
  </conditionalFormatting>
  <conditionalFormatting sqref="W36">
    <cfRule type="containsText" dxfId="6152" priority="1461" operator="containsText" text="Escuro">
      <formula>NOT(ISERROR(SEARCH("Escuro",W36)))</formula>
    </cfRule>
    <cfRule type="containsText" dxfId="6151" priority="1462" operator="containsText" text="Cinza">
      <formula>NOT(ISERROR(SEARCH("Cinza",W36)))</formula>
    </cfRule>
    <cfRule type="containsText" dxfId="6150" priority="1463" operator="containsText" text="Púrpura">
      <formula>NOT(ISERROR(SEARCH("Púrpura",W36)))</formula>
    </cfRule>
    <cfRule type="containsText" dxfId="6149" priority="1464" operator="containsText" text="Rosa">
      <formula>NOT(ISERROR(SEARCH("Rosa",W36)))</formula>
    </cfRule>
    <cfRule type="containsText" dxfId="6148" priority="1465" operator="containsText" text="Castanho">
      <formula>NOT(ISERROR(SEARCH("Castanho",W36)))</formula>
    </cfRule>
    <cfRule type="containsText" dxfId="6147" priority="1466" operator="containsText" text="Verde Água">
      <formula>NOT(ISERROR(SEARCH("Verde Água",W36)))</formula>
    </cfRule>
    <cfRule type="containsText" dxfId="6146" priority="1467" operator="containsText" text="Azul Petróleo">
      <formula>NOT(ISERROR(SEARCH("Azul Petróleo",W36)))</formula>
    </cfRule>
    <cfRule type="containsText" dxfId="6145" priority="1468" operator="containsText" text="Preto">
      <formula>NOT(ISERROR(SEARCH("Preto",W36)))</formula>
    </cfRule>
    <cfRule type="containsText" priority="1469" operator="containsText" text="Branco">
      <formula>NOT(ISERROR(SEARCH("Branco",W36)))</formula>
    </cfRule>
  </conditionalFormatting>
  <conditionalFormatting sqref="W38">
    <cfRule type="containsText" dxfId="6144" priority="1452" operator="containsText" text="Cinza">
      <formula>NOT(ISERROR(SEARCH("Cinza",W38)))</formula>
    </cfRule>
    <cfRule type="containsText" dxfId="6143" priority="1453" operator="containsText" text="Púrpura">
      <formula>NOT(ISERROR(SEARCH("Púrpura",W38)))</formula>
    </cfRule>
    <cfRule type="containsText" dxfId="6142" priority="1454" operator="containsText" text="Rosa">
      <formula>NOT(ISERROR(SEARCH("Rosa",W38)))</formula>
    </cfRule>
    <cfRule type="containsText" dxfId="6141" priority="1455" operator="containsText" text="Castanho">
      <formula>NOT(ISERROR(SEARCH("Castanho",W38)))</formula>
    </cfRule>
    <cfRule type="containsText" dxfId="6140" priority="1456" operator="containsText" text="Verde Água">
      <formula>NOT(ISERROR(SEARCH("Verde Água",W38)))</formula>
    </cfRule>
    <cfRule type="containsText" dxfId="6139" priority="1457" operator="containsText" text="Azul Petróleo">
      <formula>NOT(ISERROR(SEARCH("Azul Petróleo",W38)))</formula>
    </cfRule>
    <cfRule type="containsText" dxfId="6138" priority="1458" operator="containsText" text="Preto">
      <formula>NOT(ISERROR(SEARCH("Preto",W38)))</formula>
    </cfRule>
    <cfRule type="containsText" priority="1459" operator="containsText" text="Branco">
      <formula>NOT(ISERROR(SEARCH("Branco",W38)))</formula>
    </cfRule>
    <cfRule type="containsText" dxfId="6137" priority="1460" operator="containsText" text="Bege">
      <formula>NOT(ISERROR(SEARCH("Bege",W38)))</formula>
    </cfRule>
  </conditionalFormatting>
  <conditionalFormatting sqref="W38">
    <cfRule type="containsText" dxfId="6136" priority="1443" operator="containsText" text="Cinza">
      <formula>NOT(ISERROR(SEARCH("Cinza",W38)))</formula>
    </cfRule>
    <cfRule type="containsText" dxfId="6135" priority="1444" operator="containsText" text="Púrpura">
      <formula>NOT(ISERROR(SEARCH("Púrpura",W38)))</formula>
    </cfRule>
    <cfRule type="containsText" dxfId="6134" priority="1445" operator="containsText" text="Rosa">
      <formula>NOT(ISERROR(SEARCH("Rosa",W38)))</formula>
    </cfRule>
    <cfRule type="containsText" dxfId="6133" priority="1446" operator="containsText" text="Castanho">
      <formula>NOT(ISERROR(SEARCH("Castanho",W38)))</formula>
    </cfRule>
    <cfRule type="containsText" dxfId="6132" priority="1447" operator="containsText" text="Verde Água">
      <formula>NOT(ISERROR(SEARCH("Verde Água",W38)))</formula>
    </cfRule>
    <cfRule type="containsText" dxfId="6131" priority="1448" operator="containsText" text="Azul Petróleo">
      <formula>NOT(ISERROR(SEARCH("Azul Petróleo",W38)))</formula>
    </cfRule>
    <cfRule type="containsText" dxfId="6130" priority="1449" operator="containsText" text="Preto">
      <formula>NOT(ISERROR(SEARCH("Preto",W38)))</formula>
    </cfRule>
    <cfRule type="containsText" priority="1450" operator="containsText" text="Branco">
      <formula>NOT(ISERROR(SEARCH("Branco",W38)))</formula>
    </cfRule>
    <cfRule type="containsText" dxfId="6129" priority="1451" operator="containsText" text="Bege">
      <formula>NOT(ISERROR(SEARCH("Bege",W38)))</formula>
    </cfRule>
  </conditionalFormatting>
  <conditionalFormatting sqref="W38">
    <cfRule type="containsText" dxfId="6128" priority="1434" operator="containsText" text="Cinza">
      <formula>NOT(ISERROR(SEARCH("Cinza",W38)))</formula>
    </cfRule>
    <cfRule type="containsText" dxfId="6127" priority="1435" operator="containsText" text="Púrpura">
      <formula>NOT(ISERROR(SEARCH("Púrpura",W38)))</formula>
    </cfRule>
    <cfRule type="containsText" dxfId="6126" priority="1436" operator="containsText" text="Rosa">
      <formula>NOT(ISERROR(SEARCH("Rosa",W38)))</formula>
    </cfRule>
    <cfRule type="containsText" dxfId="6125" priority="1437" operator="containsText" text="Castanho">
      <formula>NOT(ISERROR(SEARCH("Castanho",W38)))</formula>
    </cfRule>
    <cfRule type="containsText" dxfId="6124" priority="1438" operator="containsText" text="Verde Água">
      <formula>NOT(ISERROR(SEARCH("Verde Água",W38)))</formula>
    </cfRule>
    <cfRule type="containsText" dxfId="6123" priority="1439" operator="containsText" text="Azul Petróleo">
      <formula>NOT(ISERROR(SEARCH("Azul Petróleo",W38)))</formula>
    </cfRule>
    <cfRule type="containsText" dxfId="6122" priority="1440" operator="containsText" text="Preto">
      <formula>NOT(ISERROR(SEARCH("Preto",W38)))</formula>
    </cfRule>
    <cfRule type="containsText" priority="1441" operator="containsText" text="Branco">
      <formula>NOT(ISERROR(SEARCH("Branco",W38)))</formula>
    </cfRule>
    <cfRule type="containsText" dxfId="6121" priority="1442" operator="containsText" text="Bege">
      <formula>NOT(ISERROR(SEARCH("Bege",W38)))</formula>
    </cfRule>
  </conditionalFormatting>
  <conditionalFormatting sqref="W38">
    <cfRule type="containsText" dxfId="6120" priority="1425" operator="containsText" text="Cinza">
      <formula>NOT(ISERROR(SEARCH("Cinza",W38)))</formula>
    </cfRule>
    <cfRule type="containsText" dxfId="6119" priority="1426" operator="containsText" text="Púrpura">
      <formula>NOT(ISERROR(SEARCH("Púrpura",W38)))</formula>
    </cfRule>
    <cfRule type="containsText" dxfId="6118" priority="1427" operator="containsText" text="Rosa">
      <formula>NOT(ISERROR(SEARCH("Rosa",W38)))</formula>
    </cfRule>
    <cfRule type="containsText" dxfId="6117" priority="1428" operator="containsText" text="Castanho">
      <formula>NOT(ISERROR(SEARCH("Castanho",W38)))</formula>
    </cfRule>
    <cfRule type="containsText" dxfId="6116" priority="1429" operator="containsText" text="Verde Água">
      <formula>NOT(ISERROR(SEARCH("Verde Água",W38)))</formula>
    </cfRule>
    <cfRule type="containsText" dxfId="6115" priority="1430" operator="containsText" text="Azul Petróleo">
      <formula>NOT(ISERROR(SEARCH("Azul Petróleo",W38)))</formula>
    </cfRule>
    <cfRule type="containsText" dxfId="6114" priority="1431" operator="containsText" text="Preto">
      <formula>NOT(ISERROR(SEARCH("Preto",W38)))</formula>
    </cfRule>
    <cfRule type="containsText" priority="1432" operator="containsText" text="Branco">
      <formula>NOT(ISERROR(SEARCH("Branco",W38)))</formula>
    </cfRule>
    <cfRule type="containsText" dxfId="6113" priority="1433" operator="containsText" text="Bege">
      <formula>NOT(ISERROR(SEARCH("Bege",W38)))</formula>
    </cfRule>
  </conditionalFormatting>
  <conditionalFormatting sqref="W38">
    <cfRule type="containsText" dxfId="6112" priority="1416" operator="containsText" text="Cinza">
      <formula>NOT(ISERROR(SEARCH("Cinza",W38)))</formula>
    </cfRule>
    <cfRule type="containsText" dxfId="6111" priority="1417" operator="containsText" text="Púrpura">
      <formula>NOT(ISERROR(SEARCH("Púrpura",W38)))</formula>
    </cfRule>
    <cfRule type="containsText" dxfId="6110" priority="1418" operator="containsText" text="Rosa">
      <formula>NOT(ISERROR(SEARCH("Rosa",W38)))</formula>
    </cfRule>
    <cfRule type="containsText" dxfId="6109" priority="1419" operator="containsText" text="Castanho">
      <formula>NOT(ISERROR(SEARCH("Castanho",W38)))</formula>
    </cfRule>
    <cfRule type="containsText" dxfId="6108" priority="1420" operator="containsText" text="Verde Água">
      <formula>NOT(ISERROR(SEARCH("Verde Água",W38)))</formula>
    </cfRule>
    <cfRule type="containsText" dxfId="6107" priority="1421" operator="containsText" text="Azul Petróleo">
      <formula>NOT(ISERROR(SEARCH("Azul Petróleo",W38)))</formula>
    </cfRule>
    <cfRule type="containsText" dxfId="6106" priority="1422" operator="containsText" text="Preto">
      <formula>NOT(ISERROR(SEARCH("Preto",W38)))</formula>
    </cfRule>
    <cfRule type="containsText" priority="1423" operator="containsText" text="Branco">
      <formula>NOT(ISERROR(SEARCH("Branco",W38)))</formula>
    </cfRule>
    <cfRule type="containsText" dxfId="6105" priority="1424" operator="containsText" text="Bege">
      <formula>NOT(ISERROR(SEARCH("Bege",W38)))</formula>
    </cfRule>
  </conditionalFormatting>
  <conditionalFormatting sqref="W38">
    <cfRule type="containsText" dxfId="6104" priority="1407" operator="containsText" text="Cinza">
      <formula>NOT(ISERROR(SEARCH("Cinza",W38)))</formula>
    </cfRule>
    <cfRule type="containsText" dxfId="6103" priority="1408" operator="containsText" text="Púrpura">
      <formula>NOT(ISERROR(SEARCH("Púrpura",W38)))</formula>
    </cfRule>
    <cfRule type="containsText" dxfId="6102" priority="1409" operator="containsText" text="Rosa">
      <formula>NOT(ISERROR(SEARCH("Rosa",W38)))</formula>
    </cfRule>
    <cfRule type="containsText" dxfId="6101" priority="1410" operator="containsText" text="Castanho">
      <formula>NOT(ISERROR(SEARCH("Castanho",W38)))</formula>
    </cfRule>
    <cfRule type="containsText" dxfId="6100" priority="1411" operator="containsText" text="Verde Água">
      <formula>NOT(ISERROR(SEARCH("Verde Água",W38)))</formula>
    </cfRule>
    <cfRule type="containsText" dxfId="6099" priority="1412" operator="containsText" text="Azul Petróleo">
      <formula>NOT(ISERROR(SEARCH("Azul Petróleo",W38)))</formula>
    </cfRule>
    <cfRule type="containsText" dxfId="6098" priority="1413" operator="containsText" text="Preto">
      <formula>NOT(ISERROR(SEARCH("Preto",W38)))</formula>
    </cfRule>
    <cfRule type="containsText" priority="1414" operator="containsText" text="Branco">
      <formula>NOT(ISERROR(SEARCH("Branco",W38)))</formula>
    </cfRule>
    <cfRule type="containsText" dxfId="6097" priority="1415" operator="containsText" text="Bege">
      <formula>NOT(ISERROR(SEARCH("Bege",W38)))</formula>
    </cfRule>
  </conditionalFormatting>
  <conditionalFormatting sqref="W38">
    <cfRule type="containsText" dxfId="6096" priority="1398" operator="containsText" text="Cinza">
      <formula>NOT(ISERROR(SEARCH("Cinza",W38)))</formula>
    </cfRule>
    <cfRule type="containsText" dxfId="6095" priority="1399" operator="containsText" text="Púrpura">
      <formula>NOT(ISERROR(SEARCH("Púrpura",W38)))</formula>
    </cfRule>
    <cfRule type="containsText" dxfId="6094" priority="1400" operator="containsText" text="Rosa">
      <formula>NOT(ISERROR(SEARCH("Rosa",W38)))</formula>
    </cfRule>
    <cfRule type="containsText" dxfId="6093" priority="1401" operator="containsText" text="Castanho">
      <formula>NOT(ISERROR(SEARCH("Castanho",W38)))</formula>
    </cfRule>
    <cfRule type="containsText" dxfId="6092" priority="1402" operator="containsText" text="Verde Água">
      <formula>NOT(ISERROR(SEARCH("Verde Água",W38)))</formula>
    </cfRule>
    <cfRule type="containsText" dxfId="6091" priority="1403" operator="containsText" text="Azul Petróleo">
      <formula>NOT(ISERROR(SEARCH("Azul Petróleo",W38)))</formula>
    </cfRule>
    <cfRule type="containsText" dxfId="6090" priority="1404" operator="containsText" text="Preto">
      <formula>NOT(ISERROR(SEARCH("Preto",W38)))</formula>
    </cfRule>
    <cfRule type="containsText" priority="1405" operator="containsText" text="Branco">
      <formula>NOT(ISERROR(SEARCH("Branco",W38)))</formula>
    </cfRule>
    <cfRule type="containsText" dxfId="6089" priority="1406" operator="containsText" text="Bege">
      <formula>NOT(ISERROR(SEARCH("Bege",W38)))</formula>
    </cfRule>
  </conditionalFormatting>
  <conditionalFormatting sqref="W38">
    <cfRule type="containsText" dxfId="6088" priority="1389" operator="containsText" text="Cinza">
      <formula>NOT(ISERROR(SEARCH("Cinza",W38)))</formula>
    </cfRule>
    <cfRule type="containsText" dxfId="6087" priority="1390" operator="containsText" text="Púrpura">
      <formula>NOT(ISERROR(SEARCH("Púrpura",W38)))</formula>
    </cfRule>
    <cfRule type="containsText" dxfId="6086" priority="1391" operator="containsText" text="Rosa">
      <formula>NOT(ISERROR(SEARCH("Rosa",W38)))</formula>
    </cfRule>
    <cfRule type="containsText" dxfId="6085" priority="1392" operator="containsText" text="Castanho">
      <formula>NOT(ISERROR(SEARCH("Castanho",W38)))</formula>
    </cfRule>
    <cfRule type="containsText" dxfId="6084" priority="1393" operator="containsText" text="Verde Água">
      <formula>NOT(ISERROR(SEARCH("Verde Água",W38)))</formula>
    </cfRule>
    <cfRule type="containsText" dxfId="6083" priority="1394" operator="containsText" text="Azul Petróleo">
      <formula>NOT(ISERROR(SEARCH("Azul Petróleo",W38)))</formula>
    </cfRule>
    <cfRule type="containsText" dxfId="6082" priority="1395" operator="containsText" text="Preto">
      <formula>NOT(ISERROR(SEARCH("Preto",W38)))</formula>
    </cfRule>
    <cfRule type="containsText" priority="1396" operator="containsText" text="Branco">
      <formula>NOT(ISERROR(SEARCH("Branco",W38)))</formula>
    </cfRule>
    <cfRule type="containsText" dxfId="6081" priority="1397" operator="containsText" text="Bege">
      <formula>NOT(ISERROR(SEARCH("Bege",W38)))</formula>
    </cfRule>
  </conditionalFormatting>
  <conditionalFormatting sqref="W38">
    <cfRule type="containsText" dxfId="6080" priority="1380" operator="containsText" text="Cinza">
      <formula>NOT(ISERROR(SEARCH("Cinza",W38)))</formula>
    </cfRule>
    <cfRule type="containsText" dxfId="6079" priority="1381" operator="containsText" text="Púrpura">
      <formula>NOT(ISERROR(SEARCH("Púrpura",W38)))</formula>
    </cfRule>
    <cfRule type="containsText" dxfId="6078" priority="1382" operator="containsText" text="Rosa">
      <formula>NOT(ISERROR(SEARCH("Rosa",W38)))</formula>
    </cfRule>
    <cfRule type="containsText" dxfId="6077" priority="1383" operator="containsText" text="Castanho">
      <formula>NOT(ISERROR(SEARCH("Castanho",W38)))</formula>
    </cfRule>
    <cfRule type="containsText" dxfId="6076" priority="1384" operator="containsText" text="Verde Água">
      <formula>NOT(ISERROR(SEARCH("Verde Água",W38)))</formula>
    </cfRule>
    <cfRule type="containsText" dxfId="6075" priority="1385" operator="containsText" text="Azul Petróleo">
      <formula>NOT(ISERROR(SEARCH("Azul Petróleo",W38)))</formula>
    </cfRule>
    <cfRule type="containsText" dxfId="6074" priority="1386" operator="containsText" text="Preto">
      <formula>NOT(ISERROR(SEARCH("Preto",W38)))</formula>
    </cfRule>
    <cfRule type="containsText" priority="1387" operator="containsText" text="Branco">
      <formula>NOT(ISERROR(SEARCH("Branco",W38)))</formula>
    </cfRule>
    <cfRule type="containsText" dxfId="6073" priority="1388" operator="containsText" text="Bege">
      <formula>NOT(ISERROR(SEARCH("Bege",W38)))</formula>
    </cfRule>
  </conditionalFormatting>
  <conditionalFormatting sqref="W38">
    <cfRule type="containsText" dxfId="6072" priority="1371" operator="containsText" text="Cinza">
      <formula>NOT(ISERROR(SEARCH("Cinza",W38)))</formula>
    </cfRule>
    <cfRule type="containsText" dxfId="6071" priority="1372" operator="containsText" text="Púrpura">
      <formula>NOT(ISERROR(SEARCH("Púrpura",W38)))</formula>
    </cfRule>
    <cfRule type="containsText" dxfId="6070" priority="1373" operator="containsText" text="Rosa">
      <formula>NOT(ISERROR(SEARCH("Rosa",W38)))</formula>
    </cfRule>
    <cfRule type="containsText" dxfId="6069" priority="1374" operator="containsText" text="Castanho">
      <formula>NOT(ISERROR(SEARCH("Castanho",W38)))</formula>
    </cfRule>
    <cfRule type="containsText" dxfId="6068" priority="1375" operator="containsText" text="Verde Água">
      <formula>NOT(ISERROR(SEARCH("Verde Água",W38)))</formula>
    </cfRule>
    <cfRule type="containsText" dxfId="6067" priority="1376" operator="containsText" text="Azul Petróleo">
      <formula>NOT(ISERROR(SEARCH("Azul Petróleo",W38)))</formula>
    </cfRule>
    <cfRule type="containsText" dxfId="6066" priority="1377" operator="containsText" text="Preto">
      <formula>NOT(ISERROR(SEARCH("Preto",W38)))</formula>
    </cfRule>
    <cfRule type="containsText" priority="1378" operator="containsText" text="Branco">
      <formula>NOT(ISERROR(SEARCH("Branco",W38)))</formula>
    </cfRule>
    <cfRule type="containsText" dxfId="6065" priority="1379" operator="containsText" text="Bege">
      <formula>NOT(ISERROR(SEARCH("Bege",W38)))</formula>
    </cfRule>
  </conditionalFormatting>
  <conditionalFormatting sqref="W38">
    <cfRule type="containsText" dxfId="6064" priority="1362" operator="containsText" text="Cinza">
      <formula>NOT(ISERROR(SEARCH("Cinza",W38)))</formula>
    </cfRule>
    <cfRule type="containsText" dxfId="6063" priority="1363" operator="containsText" text="Púrpura">
      <formula>NOT(ISERROR(SEARCH("Púrpura",W38)))</formula>
    </cfRule>
    <cfRule type="containsText" dxfId="6062" priority="1364" operator="containsText" text="Rosa">
      <formula>NOT(ISERROR(SEARCH("Rosa",W38)))</formula>
    </cfRule>
    <cfRule type="containsText" dxfId="6061" priority="1365" operator="containsText" text="Castanho">
      <formula>NOT(ISERROR(SEARCH("Castanho",W38)))</formula>
    </cfRule>
    <cfRule type="containsText" dxfId="6060" priority="1366" operator="containsText" text="Verde Água">
      <formula>NOT(ISERROR(SEARCH("Verde Água",W38)))</formula>
    </cfRule>
    <cfRule type="containsText" dxfId="6059" priority="1367" operator="containsText" text="Azul Petróleo">
      <formula>NOT(ISERROR(SEARCH("Azul Petróleo",W38)))</formula>
    </cfRule>
    <cfRule type="containsText" dxfId="6058" priority="1368" operator="containsText" text="Preto">
      <formula>NOT(ISERROR(SEARCH("Preto",W38)))</formula>
    </cfRule>
    <cfRule type="containsText" priority="1369" operator="containsText" text="Branco">
      <formula>NOT(ISERROR(SEARCH("Branco",W38)))</formula>
    </cfRule>
    <cfRule type="containsText" dxfId="6057" priority="1370" operator="containsText" text="Bege">
      <formula>NOT(ISERROR(SEARCH("Bege",W38)))</formula>
    </cfRule>
  </conditionalFormatting>
  <conditionalFormatting sqref="W38">
    <cfRule type="containsText" dxfId="6056" priority="1353" operator="containsText" text="Cinza">
      <formula>NOT(ISERROR(SEARCH("Cinza",W38)))</formula>
    </cfRule>
    <cfRule type="containsText" dxfId="6055" priority="1354" operator="containsText" text="Púrpura">
      <formula>NOT(ISERROR(SEARCH("Púrpura",W38)))</formula>
    </cfRule>
    <cfRule type="containsText" dxfId="6054" priority="1355" operator="containsText" text="Rosa">
      <formula>NOT(ISERROR(SEARCH("Rosa",W38)))</formula>
    </cfRule>
    <cfRule type="containsText" dxfId="6053" priority="1356" operator="containsText" text="Castanho">
      <formula>NOT(ISERROR(SEARCH("Castanho",W38)))</formula>
    </cfRule>
    <cfRule type="containsText" dxfId="6052" priority="1357" operator="containsText" text="Verde Água">
      <formula>NOT(ISERROR(SEARCH("Verde Água",W38)))</formula>
    </cfRule>
    <cfRule type="containsText" dxfId="6051" priority="1358" operator="containsText" text="Azul Petróleo">
      <formula>NOT(ISERROR(SEARCH("Azul Petróleo",W38)))</formula>
    </cfRule>
    <cfRule type="containsText" dxfId="6050" priority="1359" operator="containsText" text="Preto">
      <formula>NOT(ISERROR(SEARCH("Preto",W38)))</formula>
    </cfRule>
    <cfRule type="containsText" priority="1360" operator="containsText" text="Branco">
      <formula>NOT(ISERROR(SEARCH("Branco",W38)))</formula>
    </cfRule>
    <cfRule type="containsText" dxfId="6049" priority="1361" operator="containsText" text="Bege">
      <formula>NOT(ISERROR(SEARCH("Bege",W38)))</formula>
    </cfRule>
  </conditionalFormatting>
  <conditionalFormatting sqref="W38">
    <cfRule type="containsText" dxfId="6048" priority="1344" operator="containsText" text="Cinza">
      <formula>NOT(ISERROR(SEARCH("Cinza",W38)))</formula>
    </cfRule>
    <cfRule type="containsText" dxfId="6047" priority="1345" operator="containsText" text="Púrpura">
      <formula>NOT(ISERROR(SEARCH("Púrpura",W38)))</formula>
    </cfRule>
    <cfRule type="containsText" dxfId="6046" priority="1346" operator="containsText" text="Rosa">
      <formula>NOT(ISERROR(SEARCH("Rosa",W38)))</formula>
    </cfRule>
    <cfRule type="containsText" dxfId="6045" priority="1347" operator="containsText" text="Castanho">
      <formula>NOT(ISERROR(SEARCH("Castanho",W38)))</formula>
    </cfRule>
    <cfRule type="containsText" dxfId="6044" priority="1348" operator="containsText" text="Verde Água">
      <formula>NOT(ISERROR(SEARCH("Verde Água",W38)))</formula>
    </cfRule>
    <cfRule type="containsText" dxfId="6043" priority="1349" operator="containsText" text="Azul Petróleo">
      <formula>NOT(ISERROR(SEARCH("Azul Petróleo",W38)))</formula>
    </cfRule>
    <cfRule type="containsText" dxfId="6042" priority="1350" operator="containsText" text="Preto">
      <formula>NOT(ISERROR(SEARCH("Preto",W38)))</formula>
    </cfRule>
    <cfRule type="containsText" priority="1351" operator="containsText" text="Branco">
      <formula>NOT(ISERROR(SEARCH("Branco",W38)))</formula>
    </cfRule>
    <cfRule type="containsText" dxfId="6041" priority="1352" operator="containsText" text="Bege">
      <formula>NOT(ISERROR(SEARCH("Bege",W38)))</formula>
    </cfRule>
  </conditionalFormatting>
  <conditionalFormatting sqref="W38">
    <cfRule type="containsText" dxfId="6040" priority="1335" operator="containsText" text="Cinza">
      <formula>NOT(ISERROR(SEARCH("Cinza",W38)))</formula>
    </cfRule>
    <cfRule type="containsText" dxfId="6039" priority="1336" operator="containsText" text="Púrpura">
      <formula>NOT(ISERROR(SEARCH("Púrpura",W38)))</formula>
    </cfRule>
    <cfRule type="containsText" dxfId="6038" priority="1337" operator="containsText" text="Rosa">
      <formula>NOT(ISERROR(SEARCH("Rosa",W38)))</formula>
    </cfRule>
    <cfRule type="containsText" dxfId="6037" priority="1338" operator="containsText" text="Castanho">
      <formula>NOT(ISERROR(SEARCH("Castanho",W38)))</formula>
    </cfRule>
    <cfRule type="containsText" dxfId="6036" priority="1339" operator="containsText" text="Verde Água">
      <formula>NOT(ISERROR(SEARCH("Verde Água",W38)))</formula>
    </cfRule>
    <cfRule type="containsText" dxfId="6035" priority="1340" operator="containsText" text="Azul Petróleo">
      <formula>NOT(ISERROR(SEARCH("Azul Petróleo",W38)))</formula>
    </cfRule>
    <cfRule type="containsText" dxfId="6034" priority="1341" operator="containsText" text="Preto">
      <formula>NOT(ISERROR(SEARCH("Preto",W38)))</formula>
    </cfRule>
    <cfRule type="containsText" priority="1342" operator="containsText" text="Branco">
      <formula>NOT(ISERROR(SEARCH("Branco",W38)))</formula>
    </cfRule>
    <cfRule type="containsText" dxfId="6033" priority="1343" operator="containsText" text="Bege">
      <formula>NOT(ISERROR(SEARCH("Bege",W38)))</formula>
    </cfRule>
  </conditionalFormatting>
  <conditionalFormatting sqref="W38">
    <cfRule type="containsText" dxfId="6032" priority="1326" operator="containsText" text="Cinza">
      <formula>NOT(ISERROR(SEARCH("Cinza",W38)))</formula>
    </cfRule>
    <cfRule type="containsText" dxfId="6031" priority="1327" operator="containsText" text="Púrpura">
      <formula>NOT(ISERROR(SEARCH("Púrpura",W38)))</formula>
    </cfRule>
    <cfRule type="containsText" dxfId="6030" priority="1328" operator="containsText" text="Rosa">
      <formula>NOT(ISERROR(SEARCH("Rosa",W38)))</formula>
    </cfRule>
    <cfRule type="containsText" dxfId="6029" priority="1329" operator="containsText" text="Castanho">
      <formula>NOT(ISERROR(SEARCH("Castanho",W38)))</formula>
    </cfRule>
    <cfRule type="containsText" dxfId="6028" priority="1330" operator="containsText" text="Verde Água">
      <formula>NOT(ISERROR(SEARCH("Verde Água",W38)))</formula>
    </cfRule>
    <cfRule type="containsText" dxfId="6027" priority="1331" operator="containsText" text="Azul Petróleo">
      <formula>NOT(ISERROR(SEARCH("Azul Petróleo",W38)))</formula>
    </cfRule>
    <cfRule type="containsText" dxfId="6026" priority="1332" operator="containsText" text="Preto">
      <formula>NOT(ISERROR(SEARCH("Preto",W38)))</formula>
    </cfRule>
    <cfRule type="containsText" priority="1333" operator="containsText" text="Branco">
      <formula>NOT(ISERROR(SEARCH("Branco",W38)))</formula>
    </cfRule>
    <cfRule type="containsText" dxfId="6025" priority="1334" operator="containsText" text="Bege">
      <formula>NOT(ISERROR(SEARCH("Bege",W38)))</formula>
    </cfRule>
  </conditionalFormatting>
  <conditionalFormatting sqref="W38">
    <cfRule type="containsText" dxfId="6024" priority="1317" operator="containsText" text="Cinza">
      <formula>NOT(ISERROR(SEARCH("Cinza",W38)))</formula>
    </cfRule>
    <cfRule type="containsText" dxfId="6023" priority="1318" operator="containsText" text="Púrpura">
      <formula>NOT(ISERROR(SEARCH("Púrpura",W38)))</formula>
    </cfRule>
    <cfRule type="containsText" dxfId="6022" priority="1319" operator="containsText" text="Rosa">
      <formula>NOT(ISERROR(SEARCH("Rosa",W38)))</formula>
    </cfRule>
    <cfRule type="containsText" dxfId="6021" priority="1320" operator="containsText" text="Castanho">
      <formula>NOT(ISERROR(SEARCH("Castanho",W38)))</formula>
    </cfRule>
    <cfRule type="containsText" dxfId="6020" priority="1321" operator="containsText" text="Verde Água">
      <formula>NOT(ISERROR(SEARCH("Verde Água",W38)))</formula>
    </cfRule>
    <cfRule type="containsText" dxfId="6019" priority="1322" operator="containsText" text="Azul Petróleo">
      <formula>NOT(ISERROR(SEARCH("Azul Petróleo",W38)))</formula>
    </cfRule>
    <cfRule type="containsText" dxfId="6018" priority="1323" operator="containsText" text="Preto">
      <formula>NOT(ISERROR(SEARCH("Preto",W38)))</formula>
    </cfRule>
    <cfRule type="containsText" priority="1324" operator="containsText" text="Branco">
      <formula>NOT(ISERROR(SEARCH("Branco",W38)))</formula>
    </cfRule>
    <cfRule type="containsText" dxfId="6017" priority="1325" operator="containsText" text="Bege">
      <formula>NOT(ISERROR(SEARCH("Bege",W38)))</formula>
    </cfRule>
  </conditionalFormatting>
  <conditionalFormatting sqref="W38">
    <cfRule type="containsText" dxfId="6016" priority="1308" operator="containsText" text="Escuro">
      <formula>NOT(ISERROR(SEARCH("Escuro",W38)))</formula>
    </cfRule>
    <cfRule type="containsText" dxfId="6015" priority="1309" operator="containsText" text="Cinza">
      <formula>NOT(ISERROR(SEARCH("Cinza",W38)))</formula>
    </cfRule>
    <cfRule type="containsText" dxfId="6014" priority="1310" operator="containsText" text="Púrpura">
      <formula>NOT(ISERROR(SEARCH("Púrpura",W38)))</formula>
    </cfRule>
    <cfRule type="containsText" dxfId="6013" priority="1311" operator="containsText" text="Rosa">
      <formula>NOT(ISERROR(SEARCH("Rosa",W38)))</formula>
    </cfRule>
    <cfRule type="containsText" dxfId="6012" priority="1312" operator="containsText" text="Castanho">
      <formula>NOT(ISERROR(SEARCH("Castanho",W38)))</formula>
    </cfRule>
    <cfRule type="containsText" dxfId="6011" priority="1313" operator="containsText" text="Verde Água">
      <formula>NOT(ISERROR(SEARCH("Verde Água",W38)))</formula>
    </cfRule>
    <cfRule type="containsText" dxfId="6010" priority="1314" operator="containsText" text="Azul Petróleo">
      <formula>NOT(ISERROR(SEARCH("Azul Petróleo",W38)))</formula>
    </cfRule>
    <cfRule type="containsText" dxfId="6009" priority="1315" operator="containsText" text="Preto">
      <formula>NOT(ISERROR(SEARCH("Preto",W38)))</formula>
    </cfRule>
    <cfRule type="containsText" priority="1316" operator="containsText" text="Branco">
      <formula>NOT(ISERROR(SEARCH("Branco",W38)))</formula>
    </cfRule>
  </conditionalFormatting>
  <conditionalFormatting sqref="W42">
    <cfRule type="containsText" dxfId="6008" priority="1299" operator="containsText" text="Cinza">
      <formula>NOT(ISERROR(SEARCH("Cinza",W42)))</formula>
    </cfRule>
    <cfRule type="containsText" dxfId="6007" priority="1300" operator="containsText" text="Púrpura">
      <formula>NOT(ISERROR(SEARCH("Púrpura",W42)))</formula>
    </cfRule>
    <cfRule type="containsText" dxfId="6006" priority="1301" operator="containsText" text="Rosa">
      <formula>NOT(ISERROR(SEARCH("Rosa",W42)))</formula>
    </cfRule>
    <cfRule type="containsText" dxfId="6005" priority="1302" operator="containsText" text="Castanho">
      <formula>NOT(ISERROR(SEARCH("Castanho",W42)))</formula>
    </cfRule>
    <cfRule type="containsText" dxfId="6004" priority="1303" operator="containsText" text="Verde Água">
      <formula>NOT(ISERROR(SEARCH("Verde Água",W42)))</formula>
    </cfRule>
    <cfRule type="containsText" dxfId="6003" priority="1304" operator="containsText" text="Azul Petróleo">
      <formula>NOT(ISERROR(SEARCH("Azul Petróleo",W42)))</formula>
    </cfRule>
    <cfRule type="containsText" dxfId="6002" priority="1305" operator="containsText" text="Preto">
      <formula>NOT(ISERROR(SEARCH("Preto",W42)))</formula>
    </cfRule>
    <cfRule type="containsText" priority="1306" operator="containsText" text="Branco">
      <formula>NOT(ISERROR(SEARCH("Branco",W42)))</formula>
    </cfRule>
    <cfRule type="containsText" dxfId="6001" priority="1307" operator="containsText" text="Bege">
      <formula>NOT(ISERROR(SEARCH("Bege",W42)))</formula>
    </cfRule>
  </conditionalFormatting>
  <conditionalFormatting sqref="W42">
    <cfRule type="containsText" dxfId="6000" priority="1290" operator="containsText" text="Cinza">
      <formula>NOT(ISERROR(SEARCH("Cinza",W42)))</formula>
    </cfRule>
    <cfRule type="containsText" dxfId="5999" priority="1291" operator="containsText" text="Púrpura">
      <formula>NOT(ISERROR(SEARCH("Púrpura",W42)))</formula>
    </cfRule>
    <cfRule type="containsText" dxfId="5998" priority="1292" operator="containsText" text="Rosa">
      <formula>NOT(ISERROR(SEARCH("Rosa",W42)))</formula>
    </cfRule>
    <cfRule type="containsText" dxfId="5997" priority="1293" operator="containsText" text="Castanho">
      <formula>NOT(ISERROR(SEARCH("Castanho",W42)))</formula>
    </cfRule>
    <cfRule type="containsText" dxfId="5996" priority="1294" operator="containsText" text="Verde Água">
      <formula>NOT(ISERROR(SEARCH("Verde Água",W42)))</formula>
    </cfRule>
    <cfRule type="containsText" dxfId="5995" priority="1295" operator="containsText" text="Azul Petróleo">
      <formula>NOT(ISERROR(SEARCH("Azul Petróleo",W42)))</formula>
    </cfRule>
    <cfRule type="containsText" dxfId="5994" priority="1296" operator="containsText" text="Preto">
      <formula>NOT(ISERROR(SEARCH("Preto",W42)))</formula>
    </cfRule>
    <cfRule type="containsText" priority="1297" operator="containsText" text="Branco">
      <formula>NOT(ISERROR(SEARCH("Branco",W42)))</formula>
    </cfRule>
    <cfRule type="containsText" dxfId="5993" priority="1298" operator="containsText" text="Bege">
      <formula>NOT(ISERROR(SEARCH("Bege",W42)))</formula>
    </cfRule>
  </conditionalFormatting>
  <conditionalFormatting sqref="W42">
    <cfRule type="containsText" dxfId="5992" priority="1281" operator="containsText" text="Cinza">
      <formula>NOT(ISERROR(SEARCH("Cinza",W42)))</formula>
    </cfRule>
    <cfRule type="containsText" dxfId="5991" priority="1282" operator="containsText" text="Púrpura">
      <formula>NOT(ISERROR(SEARCH("Púrpura",W42)))</formula>
    </cfRule>
    <cfRule type="containsText" dxfId="5990" priority="1283" operator="containsText" text="Rosa">
      <formula>NOT(ISERROR(SEARCH("Rosa",W42)))</formula>
    </cfRule>
    <cfRule type="containsText" dxfId="5989" priority="1284" operator="containsText" text="Castanho">
      <formula>NOT(ISERROR(SEARCH("Castanho",W42)))</formula>
    </cfRule>
    <cfRule type="containsText" dxfId="5988" priority="1285" operator="containsText" text="Verde Água">
      <formula>NOT(ISERROR(SEARCH("Verde Água",W42)))</formula>
    </cfRule>
    <cfRule type="containsText" dxfId="5987" priority="1286" operator="containsText" text="Azul Petróleo">
      <formula>NOT(ISERROR(SEARCH("Azul Petróleo",W42)))</formula>
    </cfRule>
    <cfRule type="containsText" dxfId="5986" priority="1287" operator="containsText" text="Preto">
      <formula>NOT(ISERROR(SEARCH("Preto",W42)))</formula>
    </cfRule>
    <cfRule type="containsText" priority="1288" operator="containsText" text="Branco">
      <formula>NOT(ISERROR(SEARCH("Branco",W42)))</formula>
    </cfRule>
    <cfRule type="containsText" dxfId="5985" priority="1289" operator="containsText" text="Bege">
      <formula>NOT(ISERROR(SEARCH("Bege",W42)))</formula>
    </cfRule>
  </conditionalFormatting>
  <conditionalFormatting sqref="W42">
    <cfRule type="containsText" dxfId="5984" priority="1272" operator="containsText" text="Cinza">
      <formula>NOT(ISERROR(SEARCH("Cinza",W42)))</formula>
    </cfRule>
    <cfRule type="containsText" dxfId="5983" priority="1273" operator="containsText" text="Púrpura">
      <formula>NOT(ISERROR(SEARCH("Púrpura",W42)))</formula>
    </cfRule>
    <cfRule type="containsText" dxfId="5982" priority="1274" operator="containsText" text="Rosa">
      <formula>NOT(ISERROR(SEARCH("Rosa",W42)))</formula>
    </cfRule>
    <cfRule type="containsText" dxfId="5981" priority="1275" operator="containsText" text="Castanho">
      <formula>NOT(ISERROR(SEARCH("Castanho",W42)))</formula>
    </cfRule>
    <cfRule type="containsText" dxfId="5980" priority="1276" operator="containsText" text="Verde Água">
      <formula>NOT(ISERROR(SEARCH("Verde Água",W42)))</formula>
    </cfRule>
    <cfRule type="containsText" dxfId="5979" priority="1277" operator="containsText" text="Azul Petróleo">
      <formula>NOT(ISERROR(SEARCH("Azul Petróleo",W42)))</formula>
    </cfRule>
    <cfRule type="containsText" dxfId="5978" priority="1278" operator="containsText" text="Preto">
      <formula>NOT(ISERROR(SEARCH("Preto",W42)))</formula>
    </cfRule>
    <cfRule type="containsText" priority="1279" operator="containsText" text="Branco">
      <formula>NOT(ISERROR(SEARCH("Branco",W42)))</formula>
    </cfRule>
    <cfRule type="containsText" dxfId="5977" priority="1280" operator="containsText" text="Bege">
      <formula>NOT(ISERROR(SEARCH("Bege",W42)))</formula>
    </cfRule>
  </conditionalFormatting>
  <conditionalFormatting sqref="W42">
    <cfRule type="containsText" dxfId="5976" priority="1263" operator="containsText" text="Cinza">
      <formula>NOT(ISERROR(SEARCH("Cinza",W42)))</formula>
    </cfRule>
    <cfRule type="containsText" dxfId="5975" priority="1264" operator="containsText" text="Púrpura">
      <formula>NOT(ISERROR(SEARCH("Púrpura",W42)))</formula>
    </cfRule>
    <cfRule type="containsText" dxfId="5974" priority="1265" operator="containsText" text="Rosa">
      <formula>NOT(ISERROR(SEARCH("Rosa",W42)))</formula>
    </cfRule>
    <cfRule type="containsText" dxfId="5973" priority="1266" operator="containsText" text="Castanho">
      <formula>NOT(ISERROR(SEARCH("Castanho",W42)))</formula>
    </cfRule>
    <cfRule type="containsText" dxfId="5972" priority="1267" operator="containsText" text="Verde Água">
      <formula>NOT(ISERROR(SEARCH("Verde Água",W42)))</formula>
    </cfRule>
    <cfRule type="containsText" dxfId="5971" priority="1268" operator="containsText" text="Azul Petróleo">
      <formula>NOT(ISERROR(SEARCH("Azul Petróleo",W42)))</formula>
    </cfRule>
    <cfRule type="containsText" dxfId="5970" priority="1269" operator="containsText" text="Preto">
      <formula>NOT(ISERROR(SEARCH("Preto",W42)))</formula>
    </cfRule>
    <cfRule type="containsText" priority="1270" operator="containsText" text="Branco">
      <formula>NOT(ISERROR(SEARCH("Branco",W42)))</formula>
    </cfRule>
    <cfRule type="containsText" dxfId="5969" priority="1271" operator="containsText" text="Bege">
      <formula>NOT(ISERROR(SEARCH("Bege",W42)))</formula>
    </cfRule>
  </conditionalFormatting>
  <conditionalFormatting sqref="W42">
    <cfRule type="containsText" dxfId="5968" priority="1254" operator="containsText" text="Cinza">
      <formula>NOT(ISERROR(SEARCH("Cinza",W42)))</formula>
    </cfRule>
    <cfRule type="containsText" dxfId="5967" priority="1255" operator="containsText" text="Púrpura">
      <formula>NOT(ISERROR(SEARCH("Púrpura",W42)))</formula>
    </cfRule>
    <cfRule type="containsText" dxfId="5966" priority="1256" operator="containsText" text="Rosa">
      <formula>NOT(ISERROR(SEARCH("Rosa",W42)))</formula>
    </cfRule>
    <cfRule type="containsText" dxfId="5965" priority="1257" operator="containsText" text="Castanho">
      <formula>NOT(ISERROR(SEARCH("Castanho",W42)))</formula>
    </cfRule>
    <cfRule type="containsText" dxfId="5964" priority="1258" operator="containsText" text="Verde Água">
      <formula>NOT(ISERROR(SEARCH("Verde Água",W42)))</formula>
    </cfRule>
    <cfRule type="containsText" dxfId="5963" priority="1259" operator="containsText" text="Azul Petróleo">
      <formula>NOT(ISERROR(SEARCH("Azul Petróleo",W42)))</formula>
    </cfRule>
    <cfRule type="containsText" dxfId="5962" priority="1260" operator="containsText" text="Preto">
      <formula>NOT(ISERROR(SEARCH("Preto",W42)))</formula>
    </cfRule>
    <cfRule type="containsText" priority="1261" operator="containsText" text="Branco">
      <formula>NOT(ISERROR(SEARCH("Branco",W42)))</formula>
    </cfRule>
    <cfRule type="containsText" dxfId="5961" priority="1262" operator="containsText" text="Bege">
      <formula>NOT(ISERROR(SEARCH("Bege",W42)))</formula>
    </cfRule>
  </conditionalFormatting>
  <conditionalFormatting sqref="W42">
    <cfRule type="containsText" dxfId="5960" priority="1245" operator="containsText" text="Cinza">
      <formula>NOT(ISERROR(SEARCH("Cinza",W42)))</formula>
    </cfRule>
    <cfRule type="containsText" dxfId="5959" priority="1246" operator="containsText" text="Púrpura">
      <formula>NOT(ISERROR(SEARCH("Púrpura",W42)))</formula>
    </cfRule>
    <cfRule type="containsText" dxfId="5958" priority="1247" operator="containsText" text="Rosa">
      <formula>NOT(ISERROR(SEARCH("Rosa",W42)))</formula>
    </cfRule>
    <cfRule type="containsText" dxfId="5957" priority="1248" operator="containsText" text="Castanho">
      <formula>NOT(ISERROR(SEARCH("Castanho",W42)))</formula>
    </cfRule>
    <cfRule type="containsText" dxfId="5956" priority="1249" operator="containsText" text="Verde Água">
      <formula>NOT(ISERROR(SEARCH("Verde Água",W42)))</formula>
    </cfRule>
    <cfRule type="containsText" dxfId="5955" priority="1250" operator="containsText" text="Azul Petróleo">
      <formula>NOT(ISERROR(SEARCH("Azul Petróleo",W42)))</formula>
    </cfRule>
    <cfRule type="containsText" dxfId="5954" priority="1251" operator="containsText" text="Preto">
      <formula>NOT(ISERROR(SEARCH("Preto",W42)))</formula>
    </cfRule>
    <cfRule type="containsText" priority="1252" operator="containsText" text="Branco">
      <formula>NOT(ISERROR(SEARCH("Branco",W42)))</formula>
    </cfRule>
    <cfRule type="containsText" dxfId="5953" priority="1253" operator="containsText" text="Bege">
      <formula>NOT(ISERROR(SEARCH("Bege",W42)))</formula>
    </cfRule>
  </conditionalFormatting>
  <conditionalFormatting sqref="W42">
    <cfRule type="containsText" dxfId="5952" priority="1236" operator="containsText" text="Cinza">
      <formula>NOT(ISERROR(SEARCH("Cinza",W42)))</formula>
    </cfRule>
    <cfRule type="containsText" dxfId="5951" priority="1237" operator="containsText" text="Púrpura">
      <formula>NOT(ISERROR(SEARCH("Púrpura",W42)))</formula>
    </cfRule>
    <cfRule type="containsText" dxfId="5950" priority="1238" operator="containsText" text="Rosa">
      <formula>NOT(ISERROR(SEARCH("Rosa",W42)))</formula>
    </cfRule>
    <cfRule type="containsText" dxfId="5949" priority="1239" operator="containsText" text="Castanho">
      <formula>NOT(ISERROR(SEARCH("Castanho",W42)))</formula>
    </cfRule>
    <cfRule type="containsText" dxfId="5948" priority="1240" operator="containsText" text="Verde Água">
      <formula>NOT(ISERROR(SEARCH("Verde Água",W42)))</formula>
    </cfRule>
    <cfRule type="containsText" dxfId="5947" priority="1241" operator="containsText" text="Azul Petróleo">
      <formula>NOT(ISERROR(SEARCH("Azul Petróleo",W42)))</formula>
    </cfRule>
    <cfRule type="containsText" dxfId="5946" priority="1242" operator="containsText" text="Preto">
      <formula>NOT(ISERROR(SEARCH("Preto",W42)))</formula>
    </cfRule>
    <cfRule type="containsText" priority="1243" operator="containsText" text="Branco">
      <formula>NOT(ISERROR(SEARCH("Branco",W42)))</formula>
    </cfRule>
    <cfRule type="containsText" dxfId="5945" priority="1244" operator="containsText" text="Bege">
      <formula>NOT(ISERROR(SEARCH("Bege",W42)))</formula>
    </cfRule>
  </conditionalFormatting>
  <conditionalFormatting sqref="W42">
    <cfRule type="containsText" dxfId="5944" priority="1227" operator="containsText" text="Cinza">
      <formula>NOT(ISERROR(SEARCH("Cinza",W42)))</formula>
    </cfRule>
    <cfRule type="containsText" dxfId="5943" priority="1228" operator="containsText" text="Púrpura">
      <formula>NOT(ISERROR(SEARCH("Púrpura",W42)))</formula>
    </cfRule>
    <cfRule type="containsText" dxfId="5942" priority="1229" operator="containsText" text="Rosa">
      <formula>NOT(ISERROR(SEARCH("Rosa",W42)))</formula>
    </cfRule>
    <cfRule type="containsText" dxfId="5941" priority="1230" operator="containsText" text="Castanho">
      <formula>NOT(ISERROR(SEARCH("Castanho",W42)))</formula>
    </cfRule>
    <cfRule type="containsText" dxfId="5940" priority="1231" operator="containsText" text="Verde Água">
      <formula>NOT(ISERROR(SEARCH("Verde Água",W42)))</formula>
    </cfRule>
    <cfRule type="containsText" dxfId="5939" priority="1232" operator="containsText" text="Azul Petróleo">
      <formula>NOT(ISERROR(SEARCH("Azul Petróleo",W42)))</formula>
    </cfRule>
    <cfRule type="containsText" dxfId="5938" priority="1233" operator="containsText" text="Preto">
      <formula>NOT(ISERROR(SEARCH("Preto",W42)))</formula>
    </cfRule>
    <cfRule type="containsText" priority="1234" operator="containsText" text="Branco">
      <formula>NOT(ISERROR(SEARCH("Branco",W42)))</formula>
    </cfRule>
    <cfRule type="containsText" dxfId="5937" priority="1235" operator="containsText" text="Bege">
      <formula>NOT(ISERROR(SEARCH("Bege",W42)))</formula>
    </cfRule>
  </conditionalFormatting>
  <conditionalFormatting sqref="W42">
    <cfRule type="containsText" dxfId="5936" priority="1218" operator="containsText" text="Cinza">
      <formula>NOT(ISERROR(SEARCH("Cinza",W42)))</formula>
    </cfRule>
    <cfRule type="containsText" dxfId="5935" priority="1219" operator="containsText" text="Púrpura">
      <formula>NOT(ISERROR(SEARCH("Púrpura",W42)))</formula>
    </cfRule>
    <cfRule type="containsText" dxfId="5934" priority="1220" operator="containsText" text="Rosa">
      <formula>NOT(ISERROR(SEARCH("Rosa",W42)))</formula>
    </cfRule>
    <cfRule type="containsText" dxfId="5933" priority="1221" operator="containsText" text="Castanho">
      <formula>NOT(ISERROR(SEARCH("Castanho",W42)))</formula>
    </cfRule>
    <cfRule type="containsText" dxfId="5932" priority="1222" operator="containsText" text="Verde Água">
      <formula>NOT(ISERROR(SEARCH("Verde Água",W42)))</formula>
    </cfRule>
    <cfRule type="containsText" dxfId="5931" priority="1223" operator="containsText" text="Azul Petróleo">
      <formula>NOT(ISERROR(SEARCH("Azul Petróleo",W42)))</formula>
    </cfRule>
    <cfRule type="containsText" dxfId="5930" priority="1224" operator="containsText" text="Preto">
      <formula>NOT(ISERROR(SEARCH("Preto",W42)))</formula>
    </cfRule>
    <cfRule type="containsText" priority="1225" operator="containsText" text="Branco">
      <formula>NOT(ISERROR(SEARCH("Branco",W42)))</formula>
    </cfRule>
    <cfRule type="containsText" dxfId="5929" priority="1226" operator="containsText" text="Bege">
      <formula>NOT(ISERROR(SEARCH("Bege",W42)))</formula>
    </cfRule>
  </conditionalFormatting>
  <conditionalFormatting sqref="W42">
    <cfRule type="containsText" dxfId="5928" priority="1209" operator="containsText" text="Cinza">
      <formula>NOT(ISERROR(SEARCH("Cinza",W42)))</formula>
    </cfRule>
    <cfRule type="containsText" dxfId="5927" priority="1210" operator="containsText" text="Púrpura">
      <formula>NOT(ISERROR(SEARCH("Púrpura",W42)))</formula>
    </cfRule>
    <cfRule type="containsText" dxfId="5926" priority="1211" operator="containsText" text="Rosa">
      <formula>NOT(ISERROR(SEARCH("Rosa",W42)))</formula>
    </cfRule>
    <cfRule type="containsText" dxfId="5925" priority="1212" operator="containsText" text="Castanho">
      <formula>NOT(ISERROR(SEARCH("Castanho",W42)))</formula>
    </cfRule>
    <cfRule type="containsText" dxfId="5924" priority="1213" operator="containsText" text="Verde Água">
      <formula>NOT(ISERROR(SEARCH("Verde Água",W42)))</formula>
    </cfRule>
    <cfRule type="containsText" dxfId="5923" priority="1214" operator="containsText" text="Azul Petróleo">
      <formula>NOT(ISERROR(SEARCH("Azul Petróleo",W42)))</formula>
    </cfRule>
    <cfRule type="containsText" dxfId="5922" priority="1215" operator="containsText" text="Preto">
      <formula>NOT(ISERROR(SEARCH("Preto",W42)))</formula>
    </cfRule>
    <cfRule type="containsText" priority="1216" operator="containsText" text="Branco">
      <formula>NOT(ISERROR(SEARCH("Branco",W42)))</formula>
    </cfRule>
    <cfRule type="containsText" dxfId="5921" priority="1217" operator="containsText" text="Bege">
      <formula>NOT(ISERROR(SEARCH("Bege",W42)))</formula>
    </cfRule>
  </conditionalFormatting>
  <conditionalFormatting sqref="W42">
    <cfRule type="containsText" dxfId="5920" priority="1200" operator="containsText" text="Cinza">
      <formula>NOT(ISERROR(SEARCH("Cinza",W42)))</formula>
    </cfRule>
    <cfRule type="containsText" dxfId="5919" priority="1201" operator="containsText" text="Púrpura">
      <formula>NOT(ISERROR(SEARCH("Púrpura",W42)))</formula>
    </cfRule>
    <cfRule type="containsText" dxfId="5918" priority="1202" operator="containsText" text="Rosa">
      <formula>NOT(ISERROR(SEARCH("Rosa",W42)))</formula>
    </cfRule>
    <cfRule type="containsText" dxfId="5917" priority="1203" operator="containsText" text="Castanho">
      <formula>NOT(ISERROR(SEARCH("Castanho",W42)))</formula>
    </cfRule>
    <cfRule type="containsText" dxfId="5916" priority="1204" operator="containsText" text="Verde Água">
      <formula>NOT(ISERROR(SEARCH("Verde Água",W42)))</formula>
    </cfRule>
    <cfRule type="containsText" dxfId="5915" priority="1205" operator="containsText" text="Azul Petróleo">
      <formula>NOT(ISERROR(SEARCH("Azul Petróleo",W42)))</formula>
    </cfRule>
    <cfRule type="containsText" dxfId="5914" priority="1206" operator="containsText" text="Preto">
      <formula>NOT(ISERROR(SEARCH("Preto",W42)))</formula>
    </cfRule>
    <cfRule type="containsText" priority="1207" operator="containsText" text="Branco">
      <formula>NOT(ISERROR(SEARCH("Branco",W42)))</formula>
    </cfRule>
    <cfRule type="containsText" dxfId="5913" priority="1208" operator="containsText" text="Bege">
      <formula>NOT(ISERROR(SEARCH("Bege",W42)))</formula>
    </cfRule>
  </conditionalFormatting>
  <conditionalFormatting sqref="W42">
    <cfRule type="containsText" dxfId="5912" priority="1191" operator="containsText" text="Cinza">
      <formula>NOT(ISERROR(SEARCH("Cinza",W42)))</formula>
    </cfRule>
    <cfRule type="containsText" dxfId="5911" priority="1192" operator="containsText" text="Púrpura">
      <formula>NOT(ISERROR(SEARCH("Púrpura",W42)))</formula>
    </cfRule>
    <cfRule type="containsText" dxfId="5910" priority="1193" operator="containsText" text="Rosa">
      <formula>NOT(ISERROR(SEARCH("Rosa",W42)))</formula>
    </cfRule>
    <cfRule type="containsText" dxfId="5909" priority="1194" operator="containsText" text="Castanho">
      <formula>NOT(ISERROR(SEARCH("Castanho",W42)))</formula>
    </cfRule>
    <cfRule type="containsText" dxfId="5908" priority="1195" operator="containsText" text="Verde Água">
      <formula>NOT(ISERROR(SEARCH("Verde Água",W42)))</formula>
    </cfRule>
    <cfRule type="containsText" dxfId="5907" priority="1196" operator="containsText" text="Azul Petróleo">
      <formula>NOT(ISERROR(SEARCH("Azul Petróleo",W42)))</formula>
    </cfRule>
    <cfRule type="containsText" dxfId="5906" priority="1197" operator="containsText" text="Preto">
      <formula>NOT(ISERROR(SEARCH("Preto",W42)))</formula>
    </cfRule>
    <cfRule type="containsText" priority="1198" operator="containsText" text="Branco">
      <formula>NOT(ISERROR(SEARCH("Branco",W42)))</formula>
    </cfRule>
    <cfRule type="containsText" dxfId="5905" priority="1199" operator="containsText" text="Bege">
      <formula>NOT(ISERROR(SEARCH("Bege",W42)))</formula>
    </cfRule>
  </conditionalFormatting>
  <conditionalFormatting sqref="W42">
    <cfRule type="containsText" dxfId="5904" priority="1182" operator="containsText" text="Cinza">
      <formula>NOT(ISERROR(SEARCH("Cinza",W42)))</formula>
    </cfRule>
    <cfRule type="containsText" dxfId="5903" priority="1183" operator="containsText" text="Púrpura">
      <formula>NOT(ISERROR(SEARCH("Púrpura",W42)))</formula>
    </cfRule>
    <cfRule type="containsText" dxfId="5902" priority="1184" operator="containsText" text="Rosa">
      <formula>NOT(ISERROR(SEARCH("Rosa",W42)))</formula>
    </cfRule>
    <cfRule type="containsText" dxfId="5901" priority="1185" operator="containsText" text="Castanho">
      <formula>NOT(ISERROR(SEARCH("Castanho",W42)))</formula>
    </cfRule>
    <cfRule type="containsText" dxfId="5900" priority="1186" operator="containsText" text="Verde Água">
      <formula>NOT(ISERROR(SEARCH("Verde Água",W42)))</formula>
    </cfRule>
    <cfRule type="containsText" dxfId="5899" priority="1187" operator="containsText" text="Azul Petróleo">
      <formula>NOT(ISERROR(SEARCH("Azul Petróleo",W42)))</formula>
    </cfRule>
    <cfRule type="containsText" dxfId="5898" priority="1188" operator="containsText" text="Preto">
      <formula>NOT(ISERROR(SEARCH("Preto",W42)))</formula>
    </cfRule>
    <cfRule type="containsText" priority="1189" operator="containsText" text="Branco">
      <formula>NOT(ISERROR(SEARCH("Branco",W42)))</formula>
    </cfRule>
    <cfRule type="containsText" dxfId="5897" priority="1190" operator="containsText" text="Bege">
      <formula>NOT(ISERROR(SEARCH("Bege",W42)))</formula>
    </cfRule>
  </conditionalFormatting>
  <conditionalFormatting sqref="W42">
    <cfRule type="containsText" dxfId="5896" priority="1173" operator="containsText" text="Cinza">
      <formula>NOT(ISERROR(SEARCH("Cinza",W42)))</formula>
    </cfRule>
    <cfRule type="containsText" dxfId="5895" priority="1174" operator="containsText" text="Púrpura">
      <formula>NOT(ISERROR(SEARCH("Púrpura",W42)))</formula>
    </cfRule>
    <cfRule type="containsText" dxfId="5894" priority="1175" operator="containsText" text="Rosa">
      <formula>NOT(ISERROR(SEARCH("Rosa",W42)))</formula>
    </cfRule>
    <cfRule type="containsText" dxfId="5893" priority="1176" operator="containsText" text="Castanho">
      <formula>NOT(ISERROR(SEARCH("Castanho",W42)))</formula>
    </cfRule>
    <cfRule type="containsText" dxfId="5892" priority="1177" operator="containsText" text="Verde Água">
      <formula>NOT(ISERROR(SEARCH("Verde Água",W42)))</formula>
    </cfRule>
    <cfRule type="containsText" dxfId="5891" priority="1178" operator="containsText" text="Azul Petróleo">
      <formula>NOT(ISERROR(SEARCH("Azul Petróleo",W42)))</formula>
    </cfRule>
    <cfRule type="containsText" dxfId="5890" priority="1179" operator="containsText" text="Preto">
      <formula>NOT(ISERROR(SEARCH("Preto",W42)))</formula>
    </cfRule>
    <cfRule type="containsText" priority="1180" operator="containsText" text="Branco">
      <formula>NOT(ISERROR(SEARCH("Branco",W42)))</formula>
    </cfRule>
    <cfRule type="containsText" dxfId="5889" priority="1181" operator="containsText" text="Bege">
      <formula>NOT(ISERROR(SEARCH("Bege",W42)))</formula>
    </cfRule>
  </conditionalFormatting>
  <conditionalFormatting sqref="W42">
    <cfRule type="containsText" dxfId="5888" priority="1164" operator="containsText" text="Cinza">
      <formula>NOT(ISERROR(SEARCH("Cinza",W42)))</formula>
    </cfRule>
    <cfRule type="containsText" dxfId="5887" priority="1165" operator="containsText" text="Púrpura">
      <formula>NOT(ISERROR(SEARCH("Púrpura",W42)))</formula>
    </cfRule>
    <cfRule type="containsText" dxfId="5886" priority="1166" operator="containsText" text="Rosa">
      <formula>NOT(ISERROR(SEARCH("Rosa",W42)))</formula>
    </cfRule>
    <cfRule type="containsText" dxfId="5885" priority="1167" operator="containsText" text="Castanho">
      <formula>NOT(ISERROR(SEARCH("Castanho",W42)))</formula>
    </cfRule>
    <cfRule type="containsText" dxfId="5884" priority="1168" operator="containsText" text="Verde Água">
      <formula>NOT(ISERROR(SEARCH("Verde Água",W42)))</formula>
    </cfRule>
    <cfRule type="containsText" dxfId="5883" priority="1169" operator="containsText" text="Azul Petróleo">
      <formula>NOT(ISERROR(SEARCH("Azul Petróleo",W42)))</formula>
    </cfRule>
    <cfRule type="containsText" dxfId="5882" priority="1170" operator="containsText" text="Preto">
      <formula>NOT(ISERROR(SEARCH("Preto",W42)))</formula>
    </cfRule>
    <cfRule type="containsText" priority="1171" operator="containsText" text="Branco">
      <formula>NOT(ISERROR(SEARCH("Branco",W42)))</formula>
    </cfRule>
    <cfRule type="containsText" dxfId="5881" priority="1172" operator="containsText" text="Bege">
      <formula>NOT(ISERROR(SEARCH("Bege",W42)))</formula>
    </cfRule>
  </conditionalFormatting>
  <conditionalFormatting sqref="W42">
    <cfRule type="containsText" dxfId="5880" priority="1155" operator="containsText" text="Escuro">
      <formula>NOT(ISERROR(SEARCH("Escuro",W42)))</formula>
    </cfRule>
    <cfRule type="containsText" dxfId="5879" priority="1156" operator="containsText" text="Cinza">
      <formula>NOT(ISERROR(SEARCH("Cinza",W42)))</formula>
    </cfRule>
    <cfRule type="containsText" dxfId="5878" priority="1157" operator="containsText" text="Púrpura">
      <formula>NOT(ISERROR(SEARCH("Púrpura",W42)))</formula>
    </cfRule>
    <cfRule type="containsText" dxfId="5877" priority="1158" operator="containsText" text="Rosa">
      <formula>NOT(ISERROR(SEARCH("Rosa",W42)))</formula>
    </cfRule>
    <cfRule type="containsText" dxfId="5876" priority="1159" operator="containsText" text="Castanho">
      <formula>NOT(ISERROR(SEARCH("Castanho",W42)))</formula>
    </cfRule>
    <cfRule type="containsText" dxfId="5875" priority="1160" operator="containsText" text="Verde Água">
      <formula>NOT(ISERROR(SEARCH("Verde Água",W42)))</formula>
    </cfRule>
    <cfRule type="containsText" dxfId="5874" priority="1161" operator="containsText" text="Azul Petróleo">
      <formula>NOT(ISERROR(SEARCH("Azul Petróleo",W42)))</formula>
    </cfRule>
    <cfRule type="containsText" dxfId="5873" priority="1162" operator="containsText" text="Preto">
      <formula>NOT(ISERROR(SEARCH("Preto",W42)))</formula>
    </cfRule>
    <cfRule type="containsText" priority="1163" operator="containsText" text="Branco">
      <formula>NOT(ISERROR(SEARCH("Branco",W42)))</formula>
    </cfRule>
  </conditionalFormatting>
  <conditionalFormatting sqref="W40">
    <cfRule type="containsText" dxfId="5872" priority="1146" operator="containsText" text="Cinza">
      <formula>NOT(ISERROR(SEARCH("Cinza",W40)))</formula>
    </cfRule>
    <cfRule type="containsText" dxfId="5871" priority="1147" operator="containsText" text="Púrpura">
      <formula>NOT(ISERROR(SEARCH("Púrpura",W40)))</formula>
    </cfRule>
    <cfRule type="containsText" dxfId="5870" priority="1148" operator="containsText" text="Rosa">
      <formula>NOT(ISERROR(SEARCH("Rosa",W40)))</formula>
    </cfRule>
    <cfRule type="containsText" dxfId="5869" priority="1149" operator="containsText" text="Castanho">
      <formula>NOT(ISERROR(SEARCH("Castanho",W40)))</formula>
    </cfRule>
    <cfRule type="containsText" dxfId="5868" priority="1150" operator="containsText" text="Verde Água">
      <formula>NOT(ISERROR(SEARCH("Verde Água",W40)))</formula>
    </cfRule>
    <cfRule type="containsText" dxfId="5867" priority="1151" operator="containsText" text="Azul Petróleo">
      <formula>NOT(ISERROR(SEARCH("Azul Petróleo",W40)))</formula>
    </cfRule>
    <cfRule type="containsText" dxfId="5866" priority="1152" operator="containsText" text="Preto">
      <formula>NOT(ISERROR(SEARCH("Preto",W40)))</formula>
    </cfRule>
    <cfRule type="containsText" priority="1153" operator="containsText" text="Branco">
      <formula>NOT(ISERROR(SEARCH("Branco",W40)))</formula>
    </cfRule>
    <cfRule type="containsText" dxfId="5865" priority="1154" operator="containsText" text="Bege">
      <formula>NOT(ISERROR(SEARCH("Bege",W40)))</formula>
    </cfRule>
  </conditionalFormatting>
  <conditionalFormatting sqref="W40">
    <cfRule type="containsText" dxfId="5864" priority="1137" operator="containsText" text="Cinza">
      <formula>NOT(ISERROR(SEARCH("Cinza",W40)))</formula>
    </cfRule>
    <cfRule type="containsText" dxfId="5863" priority="1138" operator="containsText" text="Púrpura">
      <formula>NOT(ISERROR(SEARCH("Púrpura",W40)))</formula>
    </cfRule>
    <cfRule type="containsText" dxfId="5862" priority="1139" operator="containsText" text="Rosa">
      <formula>NOT(ISERROR(SEARCH("Rosa",W40)))</formula>
    </cfRule>
    <cfRule type="containsText" dxfId="5861" priority="1140" operator="containsText" text="Castanho">
      <formula>NOT(ISERROR(SEARCH("Castanho",W40)))</formula>
    </cfRule>
    <cfRule type="containsText" dxfId="5860" priority="1141" operator="containsText" text="Verde Água">
      <formula>NOT(ISERROR(SEARCH("Verde Água",W40)))</formula>
    </cfRule>
    <cfRule type="containsText" dxfId="5859" priority="1142" operator="containsText" text="Azul Petróleo">
      <formula>NOT(ISERROR(SEARCH("Azul Petróleo",W40)))</formula>
    </cfRule>
    <cfRule type="containsText" dxfId="5858" priority="1143" operator="containsText" text="Preto">
      <formula>NOT(ISERROR(SEARCH("Preto",W40)))</formula>
    </cfRule>
    <cfRule type="containsText" priority="1144" operator="containsText" text="Branco">
      <formula>NOT(ISERROR(SEARCH("Branco",W40)))</formula>
    </cfRule>
    <cfRule type="containsText" dxfId="5857" priority="1145" operator="containsText" text="Bege">
      <formula>NOT(ISERROR(SEARCH("Bege",W40)))</formula>
    </cfRule>
  </conditionalFormatting>
  <conditionalFormatting sqref="W40">
    <cfRule type="containsText" dxfId="5856" priority="1128" operator="containsText" text="Cinza">
      <formula>NOT(ISERROR(SEARCH("Cinza",W40)))</formula>
    </cfRule>
    <cfRule type="containsText" dxfId="5855" priority="1129" operator="containsText" text="Púrpura">
      <formula>NOT(ISERROR(SEARCH("Púrpura",W40)))</formula>
    </cfRule>
    <cfRule type="containsText" dxfId="5854" priority="1130" operator="containsText" text="Rosa">
      <formula>NOT(ISERROR(SEARCH("Rosa",W40)))</formula>
    </cfRule>
    <cfRule type="containsText" dxfId="5853" priority="1131" operator="containsText" text="Castanho">
      <formula>NOT(ISERROR(SEARCH("Castanho",W40)))</formula>
    </cfRule>
    <cfRule type="containsText" dxfId="5852" priority="1132" operator="containsText" text="Verde Água">
      <formula>NOT(ISERROR(SEARCH("Verde Água",W40)))</formula>
    </cfRule>
    <cfRule type="containsText" dxfId="5851" priority="1133" operator="containsText" text="Azul Petróleo">
      <formula>NOT(ISERROR(SEARCH("Azul Petróleo",W40)))</formula>
    </cfRule>
    <cfRule type="containsText" dxfId="5850" priority="1134" operator="containsText" text="Preto">
      <formula>NOT(ISERROR(SEARCH("Preto",W40)))</formula>
    </cfRule>
    <cfRule type="containsText" priority="1135" operator="containsText" text="Branco">
      <formula>NOT(ISERROR(SEARCH("Branco",W40)))</formula>
    </cfRule>
    <cfRule type="containsText" dxfId="5849" priority="1136" operator="containsText" text="Bege">
      <formula>NOT(ISERROR(SEARCH("Bege",W40)))</formula>
    </cfRule>
  </conditionalFormatting>
  <conditionalFormatting sqref="W40">
    <cfRule type="containsText" dxfId="5848" priority="1119" operator="containsText" text="Cinza">
      <formula>NOT(ISERROR(SEARCH("Cinza",W40)))</formula>
    </cfRule>
    <cfRule type="containsText" dxfId="5847" priority="1120" operator="containsText" text="Púrpura">
      <formula>NOT(ISERROR(SEARCH("Púrpura",W40)))</formula>
    </cfRule>
    <cfRule type="containsText" dxfId="5846" priority="1121" operator="containsText" text="Rosa">
      <formula>NOT(ISERROR(SEARCH("Rosa",W40)))</formula>
    </cfRule>
    <cfRule type="containsText" dxfId="5845" priority="1122" operator="containsText" text="Castanho">
      <formula>NOT(ISERROR(SEARCH("Castanho",W40)))</formula>
    </cfRule>
    <cfRule type="containsText" dxfId="5844" priority="1123" operator="containsText" text="Verde Água">
      <formula>NOT(ISERROR(SEARCH("Verde Água",W40)))</formula>
    </cfRule>
    <cfRule type="containsText" dxfId="5843" priority="1124" operator="containsText" text="Azul Petróleo">
      <formula>NOT(ISERROR(SEARCH("Azul Petróleo",W40)))</formula>
    </cfRule>
    <cfRule type="containsText" dxfId="5842" priority="1125" operator="containsText" text="Preto">
      <formula>NOT(ISERROR(SEARCH("Preto",W40)))</formula>
    </cfRule>
    <cfRule type="containsText" priority="1126" operator="containsText" text="Branco">
      <formula>NOT(ISERROR(SEARCH("Branco",W40)))</formula>
    </cfRule>
    <cfRule type="containsText" dxfId="5841" priority="1127" operator="containsText" text="Bege">
      <formula>NOT(ISERROR(SEARCH("Bege",W40)))</formula>
    </cfRule>
  </conditionalFormatting>
  <conditionalFormatting sqref="W40">
    <cfRule type="containsText" dxfId="5840" priority="1110" operator="containsText" text="Cinza">
      <formula>NOT(ISERROR(SEARCH("Cinza",W40)))</formula>
    </cfRule>
    <cfRule type="containsText" dxfId="5839" priority="1111" operator="containsText" text="Púrpura">
      <formula>NOT(ISERROR(SEARCH("Púrpura",W40)))</formula>
    </cfRule>
    <cfRule type="containsText" dxfId="5838" priority="1112" operator="containsText" text="Rosa">
      <formula>NOT(ISERROR(SEARCH("Rosa",W40)))</formula>
    </cfRule>
    <cfRule type="containsText" dxfId="5837" priority="1113" operator="containsText" text="Castanho">
      <formula>NOT(ISERROR(SEARCH("Castanho",W40)))</formula>
    </cfRule>
    <cfRule type="containsText" dxfId="5836" priority="1114" operator="containsText" text="Verde Água">
      <formula>NOT(ISERROR(SEARCH("Verde Água",W40)))</formula>
    </cfRule>
    <cfRule type="containsText" dxfId="5835" priority="1115" operator="containsText" text="Azul Petróleo">
      <formula>NOT(ISERROR(SEARCH("Azul Petróleo",W40)))</formula>
    </cfRule>
    <cfRule type="containsText" dxfId="5834" priority="1116" operator="containsText" text="Preto">
      <formula>NOT(ISERROR(SEARCH("Preto",W40)))</formula>
    </cfRule>
    <cfRule type="containsText" priority="1117" operator="containsText" text="Branco">
      <formula>NOT(ISERROR(SEARCH("Branco",W40)))</formula>
    </cfRule>
    <cfRule type="containsText" dxfId="5833" priority="1118" operator="containsText" text="Bege">
      <formula>NOT(ISERROR(SEARCH("Bege",W40)))</formula>
    </cfRule>
  </conditionalFormatting>
  <conditionalFormatting sqref="W40">
    <cfRule type="containsText" dxfId="5832" priority="1101" operator="containsText" text="Cinza">
      <formula>NOT(ISERROR(SEARCH("Cinza",W40)))</formula>
    </cfRule>
    <cfRule type="containsText" dxfId="5831" priority="1102" operator="containsText" text="Púrpura">
      <formula>NOT(ISERROR(SEARCH("Púrpura",W40)))</formula>
    </cfRule>
    <cfRule type="containsText" dxfId="5830" priority="1103" operator="containsText" text="Rosa">
      <formula>NOT(ISERROR(SEARCH("Rosa",W40)))</formula>
    </cfRule>
    <cfRule type="containsText" dxfId="5829" priority="1104" operator="containsText" text="Castanho">
      <formula>NOT(ISERROR(SEARCH("Castanho",W40)))</formula>
    </cfRule>
    <cfRule type="containsText" dxfId="5828" priority="1105" operator="containsText" text="Verde Água">
      <formula>NOT(ISERROR(SEARCH("Verde Água",W40)))</formula>
    </cfRule>
    <cfRule type="containsText" dxfId="5827" priority="1106" operator="containsText" text="Azul Petróleo">
      <formula>NOT(ISERROR(SEARCH("Azul Petróleo",W40)))</formula>
    </cfRule>
    <cfRule type="containsText" dxfId="5826" priority="1107" operator="containsText" text="Preto">
      <formula>NOT(ISERROR(SEARCH("Preto",W40)))</formula>
    </cfRule>
    <cfRule type="containsText" priority="1108" operator="containsText" text="Branco">
      <formula>NOT(ISERROR(SEARCH("Branco",W40)))</formula>
    </cfRule>
    <cfRule type="containsText" dxfId="5825" priority="1109" operator="containsText" text="Bege">
      <formula>NOT(ISERROR(SEARCH("Bege",W40)))</formula>
    </cfRule>
  </conditionalFormatting>
  <conditionalFormatting sqref="W40">
    <cfRule type="containsText" dxfId="5824" priority="1092" operator="containsText" text="Cinza">
      <formula>NOT(ISERROR(SEARCH("Cinza",W40)))</formula>
    </cfRule>
    <cfRule type="containsText" dxfId="5823" priority="1093" operator="containsText" text="Púrpura">
      <formula>NOT(ISERROR(SEARCH("Púrpura",W40)))</formula>
    </cfRule>
    <cfRule type="containsText" dxfId="5822" priority="1094" operator="containsText" text="Rosa">
      <formula>NOT(ISERROR(SEARCH("Rosa",W40)))</formula>
    </cfRule>
    <cfRule type="containsText" dxfId="5821" priority="1095" operator="containsText" text="Castanho">
      <formula>NOT(ISERROR(SEARCH("Castanho",W40)))</formula>
    </cfRule>
    <cfRule type="containsText" dxfId="5820" priority="1096" operator="containsText" text="Verde Água">
      <formula>NOT(ISERROR(SEARCH("Verde Água",W40)))</formula>
    </cfRule>
    <cfRule type="containsText" dxfId="5819" priority="1097" operator="containsText" text="Azul Petróleo">
      <formula>NOT(ISERROR(SEARCH("Azul Petróleo",W40)))</formula>
    </cfRule>
    <cfRule type="containsText" dxfId="5818" priority="1098" operator="containsText" text="Preto">
      <formula>NOT(ISERROR(SEARCH("Preto",W40)))</formula>
    </cfRule>
    <cfRule type="containsText" priority="1099" operator="containsText" text="Branco">
      <formula>NOT(ISERROR(SEARCH("Branco",W40)))</formula>
    </cfRule>
    <cfRule type="containsText" dxfId="5817" priority="1100" operator="containsText" text="Bege">
      <formula>NOT(ISERROR(SEARCH("Bege",W40)))</formula>
    </cfRule>
  </conditionalFormatting>
  <conditionalFormatting sqref="W40">
    <cfRule type="containsText" dxfId="5816" priority="1083" operator="containsText" text="Cinza">
      <formula>NOT(ISERROR(SEARCH("Cinza",W40)))</formula>
    </cfRule>
    <cfRule type="containsText" dxfId="5815" priority="1084" operator="containsText" text="Púrpura">
      <formula>NOT(ISERROR(SEARCH("Púrpura",W40)))</formula>
    </cfRule>
    <cfRule type="containsText" dxfId="5814" priority="1085" operator="containsText" text="Rosa">
      <formula>NOT(ISERROR(SEARCH("Rosa",W40)))</formula>
    </cfRule>
    <cfRule type="containsText" dxfId="5813" priority="1086" operator="containsText" text="Castanho">
      <formula>NOT(ISERROR(SEARCH("Castanho",W40)))</formula>
    </cfRule>
    <cfRule type="containsText" dxfId="5812" priority="1087" operator="containsText" text="Verde Água">
      <formula>NOT(ISERROR(SEARCH("Verde Água",W40)))</formula>
    </cfRule>
    <cfRule type="containsText" dxfId="5811" priority="1088" operator="containsText" text="Azul Petróleo">
      <formula>NOT(ISERROR(SEARCH("Azul Petróleo",W40)))</formula>
    </cfRule>
    <cfRule type="containsText" dxfId="5810" priority="1089" operator="containsText" text="Preto">
      <formula>NOT(ISERROR(SEARCH("Preto",W40)))</formula>
    </cfRule>
    <cfRule type="containsText" priority="1090" operator="containsText" text="Branco">
      <formula>NOT(ISERROR(SEARCH("Branco",W40)))</formula>
    </cfRule>
    <cfRule type="containsText" dxfId="5809" priority="1091" operator="containsText" text="Bege">
      <formula>NOT(ISERROR(SEARCH("Bege",W40)))</formula>
    </cfRule>
  </conditionalFormatting>
  <conditionalFormatting sqref="W40">
    <cfRule type="containsText" dxfId="5808" priority="1074" operator="containsText" text="Cinza">
      <formula>NOT(ISERROR(SEARCH("Cinza",W40)))</formula>
    </cfRule>
    <cfRule type="containsText" dxfId="5807" priority="1075" operator="containsText" text="Púrpura">
      <formula>NOT(ISERROR(SEARCH("Púrpura",W40)))</formula>
    </cfRule>
    <cfRule type="containsText" dxfId="5806" priority="1076" operator="containsText" text="Rosa">
      <formula>NOT(ISERROR(SEARCH("Rosa",W40)))</formula>
    </cfRule>
    <cfRule type="containsText" dxfId="5805" priority="1077" operator="containsText" text="Castanho">
      <formula>NOT(ISERROR(SEARCH("Castanho",W40)))</formula>
    </cfRule>
    <cfRule type="containsText" dxfId="5804" priority="1078" operator="containsText" text="Verde Água">
      <formula>NOT(ISERROR(SEARCH("Verde Água",W40)))</formula>
    </cfRule>
    <cfRule type="containsText" dxfId="5803" priority="1079" operator="containsText" text="Azul Petróleo">
      <formula>NOT(ISERROR(SEARCH("Azul Petróleo",W40)))</formula>
    </cfRule>
    <cfRule type="containsText" dxfId="5802" priority="1080" operator="containsText" text="Preto">
      <formula>NOT(ISERROR(SEARCH("Preto",W40)))</formula>
    </cfRule>
    <cfRule type="containsText" priority="1081" operator="containsText" text="Branco">
      <formula>NOT(ISERROR(SEARCH("Branco",W40)))</formula>
    </cfRule>
    <cfRule type="containsText" dxfId="5801" priority="1082" operator="containsText" text="Bege">
      <formula>NOT(ISERROR(SEARCH("Bege",W40)))</formula>
    </cfRule>
  </conditionalFormatting>
  <conditionalFormatting sqref="W40">
    <cfRule type="containsText" dxfId="5800" priority="1065" operator="containsText" text="Cinza">
      <formula>NOT(ISERROR(SEARCH("Cinza",W40)))</formula>
    </cfRule>
    <cfRule type="containsText" dxfId="5799" priority="1066" operator="containsText" text="Púrpura">
      <formula>NOT(ISERROR(SEARCH("Púrpura",W40)))</formula>
    </cfRule>
    <cfRule type="containsText" dxfId="5798" priority="1067" operator="containsText" text="Rosa">
      <formula>NOT(ISERROR(SEARCH("Rosa",W40)))</formula>
    </cfRule>
    <cfRule type="containsText" dxfId="5797" priority="1068" operator="containsText" text="Castanho">
      <formula>NOT(ISERROR(SEARCH("Castanho",W40)))</formula>
    </cfRule>
    <cfRule type="containsText" dxfId="5796" priority="1069" operator="containsText" text="Verde Água">
      <formula>NOT(ISERROR(SEARCH("Verde Água",W40)))</formula>
    </cfRule>
    <cfRule type="containsText" dxfId="5795" priority="1070" operator="containsText" text="Azul Petróleo">
      <formula>NOT(ISERROR(SEARCH("Azul Petróleo",W40)))</formula>
    </cfRule>
    <cfRule type="containsText" dxfId="5794" priority="1071" operator="containsText" text="Preto">
      <formula>NOT(ISERROR(SEARCH("Preto",W40)))</formula>
    </cfRule>
    <cfRule type="containsText" priority="1072" operator="containsText" text="Branco">
      <formula>NOT(ISERROR(SEARCH("Branco",W40)))</formula>
    </cfRule>
    <cfRule type="containsText" dxfId="5793" priority="1073" operator="containsText" text="Bege">
      <formula>NOT(ISERROR(SEARCH("Bege",W40)))</formula>
    </cfRule>
  </conditionalFormatting>
  <conditionalFormatting sqref="W40">
    <cfRule type="containsText" dxfId="5792" priority="1056" operator="containsText" text="Cinza">
      <formula>NOT(ISERROR(SEARCH("Cinza",W40)))</formula>
    </cfRule>
    <cfRule type="containsText" dxfId="5791" priority="1057" operator="containsText" text="Púrpura">
      <formula>NOT(ISERROR(SEARCH("Púrpura",W40)))</formula>
    </cfRule>
    <cfRule type="containsText" dxfId="5790" priority="1058" operator="containsText" text="Rosa">
      <formula>NOT(ISERROR(SEARCH("Rosa",W40)))</formula>
    </cfRule>
    <cfRule type="containsText" dxfId="5789" priority="1059" operator="containsText" text="Castanho">
      <formula>NOT(ISERROR(SEARCH("Castanho",W40)))</formula>
    </cfRule>
    <cfRule type="containsText" dxfId="5788" priority="1060" operator="containsText" text="Verde Água">
      <formula>NOT(ISERROR(SEARCH("Verde Água",W40)))</formula>
    </cfRule>
    <cfRule type="containsText" dxfId="5787" priority="1061" operator="containsText" text="Azul Petróleo">
      <formula>NOT(ISERROR(SEARCH("Azul Petróleo",W40)))</formula>
    </cfRule>
    <cfRule type="containsText" dxfId="5786" priority="1062" operator="containsText" text="Preto">
      <formula>NOT(ISERROR(SEARCH("Preto",W40)))</formula>
    </cfRule>
    <cfRule type="containsText" priority="1063" operator="containsText" text="Branco">
      <formula>NOT(ISERROR(SEARCH("Branco",W40)))</formula>
    </cfRule>
    <cfRule type="containsText" dxfId="5785" priority="1064" operator="containsText" text="Bege">
      <formula>NOT(ISERROR(SEARCH("Bege",W40)))</formula>
    </cfRule>
  </conditionalFormatting>
  <conditionalFormatting sqref="W40">
    <cfRule type="containsText" dxfId="5784" priority="1047" operator="containsText" text="Cinza">
      <formula>NOT(ISERROR(SEARCH("Cinza",W40)))</formula>
    </cfRule>
    <cfRule type="containsText" dxfId="5783" priority="1048" operator="containsText" text="Púrpura">
      <formula>NOT(ISERROR(SEARCH("Púrpura",W40)))</formula>
    </cfRule>
    <cfRule type="containsText" dxfId="5782" priority="1049" operator="containsText" text="Rosa">
      <formula>NOT(ISERROR(SEARCH("Rosa",W40)))</formula>
    </cfRule>
    <cfRule type="containsText" dxfId="5781" priority="1050" operator="containsText" text="Castanho">
      <formula>NOT(ISERROR(SEARCH("Castanho",W40)))</formula>
    </cfRule>
    <cfRule type="containsText" dxfId="5780" priority="1051" operator="containsText" text="Verde Água">
      <formula>NOT(ISERROR(SEARCH("Verde Água",W40)))</formula>
    </cfRule>
    <cfRule type="containsText" dxfId="5779" priority="1052" operator="containsText" text="Azul Petróleo">
      <formula>NOT(ISERROR(SEARCH("Azul Petróleo",W40)))</formula>
    </cfRule>
    <cfRule type="containsText" dxfId="5778" priority="1053" operator="containsText" text="Preto">
      <formula>NOT(ISERROR(SEARCH("Preto",W40)))</formula>
    </cfRule>
    <cfRule type="containsText" priority="1054" operator="containsText" text="Branco">
      <formula>NOT(ISERROR(SEARCH("Branco",W40)))</formula>
    </cfRule>
    <cfRule type="containsText" dxfId="5777" priority="1055" operator="containsText" text="Bege">
      <formula>NOT(ISERROR(SEARCH("Bege",W40)))</formula>
    </cfRule>
  </conditionalFormatting>
  <conditionalFormatting sqref="W40">
    <cfRule type="containsText" dxfId="5776" priority="1038" operator="containsText" text="Cinza">
      <formula>NOT(ISERROR(SEARCH("Cinza",W40)))</formula>
    </cfRule>
    <cfRule type="containsText" dxfId="5775" priority="1039" operator="containsText" text="Púrpura">
      <formula>NOT(ISERROR(SEARCH("Púrpura",W40)))</formula>
    </cfRule>
    <cfRule type="containsText" dxfId="5774" priority="1040" operator="containsText" text="Rosa">
      <formula>NOT(ISERROR(SEARCH("Rosa",W40)))</formula>
    </cfRule>
    <cfRule type="containsText" dxfId="5773" priority="1041" operator="containsText" text="Castanho">
      <formula>NOT(ISERROR(SEARCH("Castanho",W40)))</formula>
    </cfRule>
    <cfRule type="containsText" dxfId="5772" priority="1042" operator="containsText" text="Verde Água">
      <formula>NOT(ISERROR(SEARCH("Verde Água",W40)))</formula>
    </cfRule>
    <cfRule type="containsText" dxfId="5771" priority="1043" operator="containsText" text="Azul Petróleo">
      <formula>NOT(ISERROR(SEARCH("Azul Petróleo",W40)))</formula>
    </cfRule>
    <cfRule type="containsText" dxfId="5770" priority="1044" operator="containsText" text="Preto">
      <formula>NOT(ISERROR(SEARCH("Preto",W40)))</formula>
    </cfRule>
    <cfRule type="containsText" priority="1045" operator="containsText" text="Branco">
      <formula>NOT(ISERROR(SEARCH("Branco",W40)))</formula>
    </cfRule>
    <cfRule type="containsText" dxfId="5769" priority="1046" operator="containsText" text="Bege">
      <formula>NOT(ISERROR(SEARCH("Bege",W40)))</formula>
    </cfRule>
  </conditionalFormatting>
  <conditionalFormatting sqref="W40">
    <cfRule type="containsText" dxfId="5768" priority="1029" operator="containsText" text="Cinza">
      <formula>NOT(ISERROR(SEARCH("Cinza",W40)))</formula>
    </cfRule>
    <cfRule type="containsText" dxfId="5767" priority="1030" operator="containsText" text="Púrpura">
      <formula>NOT(ISERROR(SEARCH("Púrpura",W40)))</formula>
    </cfRule>
    <cfRule type="containsText" dxfId="5766" priority="1031" operator="containsText" text="Rosa">
      <formula>NOT(ISERROR(SEARCH("Rosa",W40)))</formula>
    </cfRule>
    <cfRule type="containsText" dxfId="5765" priority="1032" operator="containsText" text="Castanho">
      <formula>NOT(ISERROR(SEARCH("Castanho",W40)))</formula>
    </cfRule>
    <cfRule type="containsText" dxfId="5764" priority="1033" operator="containsText" text="Verde Água">
      <formula>NOT(ISERROR(SEARCH("Verde Água",W40)))</formula>
    </cfRule>
    <cfRule type="containsText" dxfId="5763" priority="1034" operator="containsText" text="Azul Petróleo">
      <formula>NOT(ISERROR(SEARCH("Azul Petróleo",W40)))</formula>
    </cfRule>
    <cfRule type="containsText" dxfId="5762" priority="1035" operator="containsText" text="Preto">
      <formula>NOT(ISERROR(SEARCH("Preto",W40)))</formula>
    </cfRule>
    <cfRule type="containsText" priority="1036" operator="containsText" text="Branco">
      <formula>NOT(ISERROR(SEARCH("Branco",W40)))</formula>
    </cfRule>
    <cfRule type="containsText" dxfId="5761" priority="1037" operator="containsText" text="Bege">
      <formula>NOT(ISERROR(SEARCH("Bege",W40)))</formula>
    </cfRule>
  </conditionalFormatting>
  <conditionalFormatting sqref="W40">
    <cfRule type="containsText" dxfId="5760" priority="1020" operator="containsText" text="Cinza">
      <formula>NOT(ISERROR(SEARCH("Cinza",W40)))</formula>
    </cfRule>
    <cfRule type="containsText" dxfId="5759" priority="1021" operator="containsText" text="Púrpura">
      <formula>NOT(ISERROR(SEARCH("Púrpura",W40)))</formula>
    </cfRule>
    <cfRule type="containsText" dxfId="5758" priority="1022" operator="containsText" text="Rosa">
      <formula>NOT(ISERROR(SEARCH("Rosa",W40)))</formula>
    </cfRule>
    <cfRule type="containsText" dxfId="5757" priority="1023" operator="containsText" text="Castanho">
      <formula>NOT(ISERROR(SEARCH("Castanho",W40)))</formula>
    </cfRule>
    <cfRule type="containsText" dxfId="5756" priority="1024" operator="containsText" text="Verde Água">
      <formula>NOT(ISERROR(SEARCH("Verde Água",W40)))</formula>
    </cfRule>
    <cfRule type="containsText" dxfId="5755" priority="1025" operator="containsText" text="Azul Petróleo">
      <formula>NOT(ISERROR(SEARCH("Azul Petróleo",W40)))</formula>
    </cfRule>
    <cfRule type="containsText" dxfId="5754" priority="1026" operator="containsText" text="Preto">
      <formula>NOT(ISERROR(SEARCH("Preto",W40)))</formula>
    </cfRule>
    <cfRule type="containsText" priority="1027" operator="containsText" text="Branco">
      <formula>NOT(ISERROR(SEARCH("Branco",W40)))</formula>
    </cfRule>
    <cfRule type="containsText" dxfId="5753" priority="1028" operator="containsText" text="Bege">
      <formula>NOT(ISERROR(SEARCH("Bege",W40)))</formula>
    </cfRule>
  </conditionalFormatting>
  <conditionalFormatting sqref="W40">
    <cfRule type="containsText" dxfId="5752" priority="1011" operator="containsText" text="Cinza">
      <formula>NOT(ISERROR(SEARCH("Cinza",W40)))</formula>
    </cfRule>
    <cfRule type="containsText" dxfId="5751" priority="1012" operator="containsText" text="Púrpura">
      <formula>NOT(ISERROR(SEARCH("Púrpura",W40)))</formula>
    </cfRule>
    <cfRule type="containsText" dxfId="5750" priority="1013" operator="containsText" text="Rosa">
      <formula>NOT(ISERROR(SEARCH("Rosa",W40)))</formula>
    </cfRule>
    <cfRule type="containsText" dxfId="5749" priority="1014" operator="containsText" text="Castanho">
      <formula>NOT(ISERROR(SEARCH("Castanho",W40)))</formula>
    </cfRule>
    <cfRule type="containsText" dxfId="5748" priority="1015" operator="containsText" text="Verde Água">
      <formula>NOT(ISERROR(SEARCH("Verde Água",W40)))</formula>
    </cfRule>
    <cfRule type="containsText" dxfId="5747" priority="1016" operator="containsText" text="Azul Petróleo">
      <formula>NOT(ISERROR(SEARCH("Azul Petróleo",W40)))</formula>
    </cfRule>
    <cfRule type="containsText" dxfId="5746" priority="1017" operator="containsText" text="Preto">
      <formula>NOT(ISERROR(SEARCH("Preto",W40)))</formula>
    </cfRule>
    <cfRule type="containsText" priority="1018" operator="containsText" text="Branco">
      <formula>NOT(ISERROR(SEARCH("Branco",W40)))</formula>
    </cfRule>
    <cfRule type="containsText" dxfId="5745" priority="1019" operator="containsText" text="Bege">
      <formula>NOT(ISERROR(SEARCH("Bege",W40)))</formula>
    </cfRule>
  </conditionalFormatting>
  <conditionalFormatting sqref="W40">
    <cfRule type="containsText" dxfId="5744" priority="1002" operator="containsText" text="Escuro">
      <formula>NOT(ISERROR(SEARCH("Escuro",W40)))</formula>
    </cfRule>
    <cfRule type="containsText" dxfId="5743" priority="1003" operator="containsText" text="Cinza">
      <formula>NOT(ISERROR(SEARCH("Cinza",W40)))</formula>
    </cfRule>
    <cfRule type="containsText" dxfId="5742" priority="1004" operator="containsText" text="Púrpura">
      <formula>NOT(ISERROR(SEARCH("Púrpura",W40)))</formula>
    </cfRule>
    <cfRule type="containsText" dxfId="5741" priority="1005" operator="containsText" text="Rosa">
      <formula>NOT(ISERROR(SEARCH("Rosa",W40)))</formula>
    </cfRule>
    <cfRule type="containsText" dxfId="5740" priority="1006" operator="containsText" text="Castanho">
      <formula>NOT(ISERROR(SEARCH("Castanho",W40)))</formula>
    </cfRule>
    <cfRule type="containsText" dxfId="5739" priority="1007" operator="containsText" text="Verde Água">
      <formula>NOT(ISERROR(SEARCH("Verde Água",W40)))</formula>
    </cfRule>
    <cfRule type="containsText" dxfId="5738" priority="1008" operator="containsText" text="Azul Petróleo">
      <formula>NOT(ISERROR(SEARCH("Azul Petróleo",W40)))</formula>
    </cfRule>
    <cfRule type="containsText" dxfId="5737" priority="1009" operator="containsText" text="Preto">
      <formula>NOT(ISERROR(SEARCH("Preto",W40)))</formula>
    </cfRule>
    <cfRule type="containsText" priority="1010" operator="containsText" text="Branco">
      <formula>NOT(ISERROR(SEARCH("Branco",W40)))</formula>
    </cfRule>
  </conditionalFormatting>
  <conditionalFormatting sqref="W15">
    <cfRule type="containsText" dxfId="5736" priority="993" operator="containsText" text="Cinza">
      <formula>NOT(ISERROR(SEARCH("Cinza",W15)))</formula>
    </cfRule>
    <cfRule type="containsText" dxfId="5735" priority="994" operator="containsText" text="Púrpura">
      <formula>NOT(ISERROR(SEARCH("Púrpura",W15)))</formula>
    </cfRule>
    <cfRule type="containsText" dxfId="5734" priority="995" operator="containsText" text="Rosa">
      <formula>NOT(ISERROR(SEARCH("Rosa",W15)))</formula>
    </cfRule>
    <cfRule type="containsText" dxfId="5733" priority="996" operator="containsText" text="Castanho">
      <formula>NOT(ISERROR(SEARCH("Castanho",W15)))</formula>
    </cfRule>
    <cfRule type="containsText" dxfId="5732" priority="997" operator="containsText" text="Verde Água">
      <formula>NOT(ISERROR(SEARCH("Verde Água",W15)))</formula>
    </cfRule>
    <cfRule type="containsText" dxfId="5731" priority="998" operator="containsText" text="Azul Petróleo">
      <formula>NOT(ISERROR(SEARCH("Azul Petróleo",W15)))</formula>
    </cfRule>
    <cfRule type="containsText" dxfId="5730" priority="999" operator="containsText" text="Preto">
      <formula>NOT(ISERROR(SEARCH("Preto",W15)))</formula>
    </cfRule>
    <cfRule type="containsText" priority="1000" operator="containsText" text="Branco">
      <formula>NOT(ISERROR(SEARCH("Branco",W15)))</formula>
    </cfRule>
    <cfRule type="containsText" dxfId="5729" priority="1001" operator="containsText" text="Bege">
      <formula>NOT(ISERROR(SEARCH("Bege",W15)))</formula>
    </cfRule>
  </conditionalFormatting>
  <conditionalFormatting sqref="W15">
    <cfRule type="containsText" dxfId="5728" priority="984" operator="containsText" text="Escuro">
      <formula>NOT(ISERROR(SEARCH("Escuro",W15)))</formula>
    </cfRule>
    <cfRule type="containsText" dxfId="5727" priority="985" operator="containsText" text="Cinza">
      <formula>NOT(ISERROR(SEARCH("Cinza",W15)))</formula>
    </cfRule>
    <cfRule type="containsText" dxfId="5726" priority="986" operator="containsText" text="Púrpura">
      <formula>NOT(ISERROR(SEARCH("Púrpura",W15)))</formula>
    </cfRule>
    <cfRule type="containsText" dxfId="5725" priority="987" operator="containsText" text="Rosa">
      <formula>NOT(ISERROR(SEARCH("Rosa",W15)))</formula>
    </cfRule>
    <cfRule type="containsText" dxfId="5724" priority="988" operator="containsText" text="Castanho">
      <formula>NOT(ISERROR(SEARCH("Castanho",W15)))</formula>
    </cfRule>
    <cfRule type="containsText" dxfId="5723" priority="989" operator="containsText" text="Verde Água">
      <formula>NOT(ISERROR(SEARCH("Verde Água",W15)))</formula>
    </cfRule>
    <cfRule type="containsText" dxfId="5722" priority="990" operator="containsText" text="Azul Petróleo">
      <formula>NOT(ISERROR(SEARCH("Azul Petróleo",W15)))</formula>
    </cfRule>
    <cfRule type="containsText" dxfId="5721" priority="991" operator="containsText" text="Preto">
      <formula>NOT(ISERROR(SEARCH("Preto",W15)))</formula>
    </cfRule>
    <cfRule type="containsText" priority="992" operator="containsText" text="Branco">
      <formula>NOT(ISERROR(SEARCH("Branco",W15)))</formula>
    </cfRule>
  </conditionalFormatting>
  <conditionalFormatting sqref="W17">
    <cfRule type="containsText" dxfId="5720" priority="975" operator="containsText" text="Cinza">
      <formula>NOT(ISERROR(SEARCH("Cinza",W17)))</formula>
    </cfRule>
    <cfRule type="containsText" dxfId="5719" priority="976" operator="containsText" text="Púrpura">
      <formula>NOT(ISERROR(SEARCH("Púrpura",W17)))</formula>
    </cfRule>
    <cfRule type="containsText" dxfId="5718" priority="977" operator="containsText" text="Rosa">
      <formula>NOT(ISERROR(SEARCH("Rosa",W17)))</formula>
    </cfRule>
    <cfRule type="containsText" dxfId="5717" priority="978" operator="containsText" text="Castanho">
      <formula>NOT(ISERROR(SEARCH("Castanho",W17)))</formula>
    </cfRule>
    <cfRule type="containsText" dxfId="5716" priority="979" operator="containsText" text="Verde Água">
      <formula>NOT(ISERROR(SEARCH("Verde Água",W17)))</formula>
    </cfRule>
    <cfRule type="containsText" dxfId="5715" priority="980" operator="containsText" text="Azul Petróleo">
      <formula>NOT(ISERROR(SEARCH("Azul Petróleo",W17)))</formula>
    </cfRule>
    <cfRule type="containsText" dxfId="5714" priority="981" operator="containsText" text="Preto">
      <formula>NOT(ISERROR(SEARCH("Preto",W17)))</formula>
    </cfRule>
    <cfRule type="containsText" priority="982" operator="containsText" text="Branco">
      <formula>NOT(ISERROR(SEARCH("Branco",W17)))</formula>
    </cfRule>
    <cfRule type="containsText" dxfId="5713" priority="983" operator="containsText" text="Bege">
      <formula>NOT(ISERROR(SEARCH("Bege",W17)))</formula>
    </cfRule>
  </conditionalFormatting>
  <conditionalFormatting sqref="W17">
    <cfRule type="containsText" dxfId="5712" priority="966" operator="containsText" text="Escuro">
      <formula>NOT(ISERROR(SEARCH("Escuro",W17)))</formula>
    </cfRule>
    <cfRule type="containsText" dxfId="5711" priority="967" operator="containsText" text="Cinza">
      <formula>NOT(ISERROR(SEARCH("Cinza",W17)))</formula>
    </cfRule>
    <cfRule type="containsText" dxfId="5710" priority="968" operator="containsText" text="Púrpura">
      <formula>NOT(ISERROR(SEARCH("Púrpura",W17)))</formula>
    </cfRule>
    <cfRule type="containsText" dxfId="5709" priority="969" operator="containsText" text="Rosa">
      <formula>NOT(ISERROR(SEARCH("Rosa",W17)))</formula>
    </cfRule>
    <cfRule type="containsText" dxfId="5708" priority="970" operator="containsText" text="Castanho">
      <formula>NOT(ISERROR(SEARCH("Castanho",W17)))</formula>
    </cfRule>
    <cfRule type="containsText" dxfId="5707" priority="971" operator="containsText" text="Verde Água">
      <formula>NOT(ISERROR(SEARCH("Verde Água",W17)))</formula>
    </cfRule>
    <cfRule type="containsText" dxfId="5706" priority="972" operator="containsText" text="Azul Petróleo">
      <formula>NOT(ISERROR(SEARCH("Azul Petróleo",W17)))</formula>
    </cfRule>
    <cfRule type="containsText" dxfId="5705" priority="973" operator="containsText" text="Preto">
      <formula>NOT(ISERROR(SEARCH("Preto",W17)))</formula>
    </cfRule>
    <cfRule type="containsText" priority="974" operator="containsText" text="Branco">
      <formula>NOT(ISERROR(SEARCH("Branco",W17)))</formula>
    </cfRule>
  </conditionalFormatting>
  <conditionalFormatting sqref="W19">
    <cfRule type="containsText" dxfId="5704" priority="957" operator="containsText" text="Cinza">
      <formula>NOT(ISERROR(SEARCH("Cinza",W19)))</formula>
    </cfRule>
    <cfRule type="containsText" dxfId="5703" priority="958" operator="containsText" text="Púrpura">
      <formula>NOT(ISERROR(SEARCH("Púrpura",W19)))</formula>
    </cfRule>
    <cfRule type="containsText" dxfId="5702" priority="959" operator="containsText" text="Rosa">
      <formula>NOT(ISERROR(SEARCH("Rosa",W19)))</formula>
    </cfRule>
    <cfRule type="containsText" dxfId="5701" priority="960" operator="containsText" text="Castanho">
      <formula>NOT(ISERROR(SEARCH("Castanho",W19)))</formula>
    </cfRule>
    <cfRule type="containsText" dxfId="5700" priority="961" operator="containsText" text="Verde Água">
      <formula>NOT(ISERROR(SEARCH("Verde Água",W19)))</formula>
    </cfRule>
    <cfRule type="containsText" dxfId="5699" priority="962" operator="containsText" text="Azul Petróleo">
      <formula>NOT(ISERROR(SEARCH("Azul Petróleo",W19)))</formula>
    </cfRule>
    <cfRule type="containsText" dxfId="5698" priority="963" operator="containsText" text="Preto">
      <formula>NOT(ISERROR(SEARCH("Preto",W19)))</formula>
    </cfRule>
    <cfRule type="containsText" priority="964" operator="containsText" text="Branco">
      <formula>NOT(ISERROR(SEARCH("Branco",W19)))</formula>
    </cfRule>
    <cfRule type="containsText" dxfId="5697" priority="965" operator="containsText" text="Bege">
      <formula>NOT(ISERROR(SEARCH("Bege",W19)))</formula>
    </cfRule>
  </conditionalFormatting>
  <conditionalFormatting sqref="W19">
    <cfRule type="containsText" dxfId="5696" priority="948" operator="containsText" text="Escuro">
      <formula>NOT(ISERROR(SEARCH("Escuro",W19)))</formula>
    </cfRule>
    <cfRule type="containsText" dxfId="5695" priority="949" operator="containsText" text="Cinza">
      <formula>NOT(ISERROR(SEARCH("Cinza",W19)))</formula>
    </cfRule>
    <cfRule type="containsText" dxfId="5694" priority="950" operator="containsText" text="Púrpura">
      <formula>NOT(ISERROR(SEARCH("Púrpura",W19)))</formula>
    </cfRule>
    <cfRule type="containsText" dxfId="5693" priority="951" operator="containsText" text="Rosa">
      <formula>NOT(ISERROR(SEARCH("Rosa",W19)))</formula>
    </cfRule>
    <cfRule type="containsText" dxfId="5692" priority="952" operator="containsText" text="Castanho">
      <formula>NOT(ISERROR(SEARCH("Castanho",W19)))</formula>
    </cfRule>
    <cfRule type="containsText" dxfId="5691" priority="953" operator="containsText" text="Verde Água">
      <formula>NOT(ISERROR(SEARCH("Verde Água",W19)))</formula>
    </cfRule>
    <cfRule type="containsText" dxfId="5690" priority="954" operator="containsText" text="Azul Petróleo">
      <formula>NOT(ISERROR(SEARCH("Azul Petróleo",W19)))</formula>
    </cfRule>
    <cfRule type="containsText" dxfId="5689" priority="955" operator="containsText" text="Preto">
      <formula>NOT(ISERROR(SEARCH("Preto",W19)))</formula>
    </cfRule>
    <cfRule type="containsText" priority="956" operator="containsText" text="Branco">
      <formula>NOT(ISERROR(SEARCH("Branco",W19)))</formula>
    </cfRule>
  </conditionalFormatting>
  <conditionalFormatting sqref="W21">
    <cfRule type="containsText" dxfId="5688" priority="939" operator="containsText" text="Cinza">
      <formula>NOT(ISERROR(SEARCH("Cinza",W21)))</formula>
    </cfRule>
    <cfRule type="containsText" dxfId="5687" priority="940" operator="containsText" text="Púrpura">
      <formula>NOT(ISERROR(SEARCH("Púrpura",W21)))</formula>
    </cfRule>
    <cfRule type="containsText" dxfId="5686" priority="941" operator="containsText" text="Rosa">
      <formula>NOT(ISERROR(SEARCH("Rosa",W21)))</formula>
    </cfRule>
    <cfRule type="containsText" dxfId="5685" priority="942" operator="containsText" text="Castanho">
      <formula>NOT(ISERROR(SEARCH("Castanho",W21)))</formula>
    </cfRule>
    <cfRule type="containsText" dxfId="5684" priority="943" operator="containsText" text="Verde Água">
      <formula>NOT(ISERROR(SEARCH("Verde Água",W21)))</formula>
    </cfRule>
    <cfRule type="containsText" dxfId="5683" priority="944" operator="containsText" text="Azul Petróleo">
      <formula>NOT(ISERROR(SEARCH("Azul Petróleo",W21)))</formula>
    </cfRule>
    <cfRule type="containsText" dxfId="5682" priority="945" operator="containsText" text="Preto">
      <formula>NOT(ISERROR(SEARCH("Preto",W21)))</formula>
    </cfRule>
    <cfRule type="containsText" priority="946" operator="containsText" text="Branco">
      <formula>NOT(ISERROR(SEARCH("Branco",W21)))</formula>
    </cfRule>
    <cfRule type="containsText" dxfId="5681" priority="947" operator="containsText" text="Bege">
      <formula>NOT(ISERROR(SEARCH("Bege",W21)))</formula>
    </cfRule>
  </conditionalFormatting>
  <conditionalFormatting sqref="W21">
    <cfRule type="containsText" dxfId="5680" priority="930" operator="containsText" text="Escuro">
      <formula>NOT(ISERROR(SEARCH("Escuro",W21)))</formula>
    </cfRule>
    <cfRule type="containsText" dxfId="5679" priority="931" operator="containsText" text="Cinza">
      <formula>NOT(ISERROR(SEARCH("Cinza",W21)))</formula>
    </cfRule>
    <cfRule type="containsText" dxfId="5678" priority="932" operator="containsText" text="Púrpura">
      <formula>NOT(ISERROR(SEARCH("Púrpura",W21)))</formula>
    </cfRule>
    <cfRule type="containsText" dxfId="5677" priority="933" operator="containsText" text="Rosa">
      <formula>NOT(ISERROR(SEARCH("Rosa",W21)))</formula>
    </cfRule>
    <cfRule type="containsText" dxfId="5676" priority="934" operator="containsText" text="Castanho">
      <formula>NOT(ISERROR(SEARCH("Castanho",W21)))</formula>
    </cfRule>
    <cfRule type="containsText" dxfId="5675" priority="935" operator="containsText" text="Verde Água">
      <formula>NOT(ISERROR(SEARCH("Verde Água",W21)))</formula>
    </cfRule>
    <cfRule type="containsText" dxfId="5674" priority="936" operator="containsText" text="Azul Petróleo">
      <formula>NOT(ISERROR(SEARCH("Azul Petróleo",W21)))</formula>
    </cfRule>
    <cfRule type="containsText" dxfId="5673" priority="937" operator="containsText" text="Preto">
      <formula>NOT(ISERROR(SEARCH("Preto",W21)))</formula>
    </cfRule>
    <cfRule type="containsText" priority="938" operator="containsText" text="Branco">
      <formula>NOT(ISERROR(SEARCH("Branco",W21)))</formula>
    </cfRule>
  </conditionalFormatting>
  <conditionalFormatting sqref="W23">
    <cfRule type="containsText" dxfId="5672" priority="921" operator="containsText" text="Cinza">
      <formula>NOT(ISERROR(SEARCH("Cinza",W23)))</formula>
    </cfRule>
    <cfRule type="containsText" dxfId="5671" priority="922" operator="containsText" text="Púrpura">
      <formula>NOT(ISERROR(SEARCH("Púrpura",W23)))</formula>
    </cfRule>
    <cfRule type="containsText" dxfId="5670" priority="923" operator="containsText" text="Rosa">
      <formula>NOT(ISERROR(SEARCH("Rosa",W23)))</formula>
    </cfRule>
    <cfRule type="containsText" dxfId="5669" priority="924" operator="containsText" text="Castanho">
      <formula>NOT(ISERROR(SEARCH("Castanho",W23)))</formula>
    </cfRule>
    <cfRule type="containsText" dxfId="5668" priority="925" operator="containsText" text="Verde Água">
      <formula>NOT(ISERROR(SEARCH("Verde Água",W23)))</formula>
    </cfRule>
    <cfRule type="containsText" dxfId="5667" priority="926" operator="containsText" text="Azul Petróleo">
      <formula>NOT(ISERROR(SEARCH("Azul Petróleo",W23)))</formula>
    </cfRule>
    <cfRule type="containsText" dxfId="5666" priority="927" operator="containsText" text="Preto">
      <formula>NOT(ISERROR(SEARCH("Preto",W23)))</formula>
    </cfRule>
    <cfRule type="containsText" priority="928" operator="containsText" text="Branco">
      <formula>NOT(ISERROR(SEARCH("Branco",W23)))</formula>
    </cfRule>
    <cfRule type="containsText" dxfId="5665" priority="929" operator="containsText" text="Bege">
      <formula>NOT(ISERROR(SEARCH("Bege",W23)))</formula>
    </cfRule>
  </conditionalFormatting>
  <conditionalFormatting sqref="W23">
    <cfRule type="containsText" dxfId="5664" priority="912" operator="containsText" text="Escuro">
      <formula>NOT(ISERROR(SEARCH("Escuro",W23)))</formula>
    </cfRule>
    <cfRule type="containsText" dxfId="5663" priority="913" operator="containsText" text="Cinza">
      <formula>NOT(ISERROR(SEARCH("Cinza",W23)))</formula>
    </cfRule>
    <cfRule type="containsText" dxfId="5662" priority="914" operator="containsText" text="Púrpura">
      <formula>NOT(ISERROR(SEARCH("Púrpura",W23)))</formula>
    </cfRule>
    <cfRule type="containsText" dxfId="5661" priority="915" operator="containsText" text="Rosa">
      <formula>NOT(ISERROR(SEARCH("Rosa",W23)))</formula>
    </cfRule>
    <cfRule type="containsText" dxfId="5660" priority="916" operator="containsText" text="Castanho">
      <formula>NOT(ISERROR(SEARCH("Castanho",W23)))</formula>
    </cfRule>
    <cfRule type="containsText" dxfId="5659" priority="917" operator="containsText" text="Verde Água">
      <formula>NOT(ISERROR(SEARCH("Verde Água",W23)))</formula>
    </cfRule>
    <cfRule type="containsText" dxfId="5658" priority="918" operator="containsText" text="Azul Petróleo">
      <formula>NOT(ISERROR(SEARCH("Azul Petróleo",W23)))</formula>
    </cfRule>
    <cfRule type="containsText" dxfId="5657" priority="919" operator="containsText" text="Preto">
      <formula>NOT(ISERROR(SEARCH("Preto",W23)))</formula>
    </cfRule>
    <cfRule type="containsText" priority="920" operator="containsText" text="Branco">
      <formula>NOT(ISERROR(SEARCH("Branco",W23)))</formula>
    </cfRule>
  </conditionalFormatting>
  <conditionalFormatting sqref="W25">
    <cfRule type="containsText" dxfId="5656" priority="903" operator="containsText" text="Cinza">
      <formula>NOT(ISERROR(SEARCH("Cinza",W25)))</formula>
    </cfRule>
    <cfRule type="containsText" dxfId="5655" priority="904" operator="containsText" text="Púrpura">
      <formula>NOT(ISERROR(SEARCH("Púrpura",W25)))</formula>
    </cfRule>
    <cfRule type="containsText" dxfId="5654" priority="905" operator="containsText" text="Rosa">
      <formula>NOT(ISERROR(SEARCH("Rosa",W25)))</formula>
    </cfRule>
    <cfRule type="containsText" dxfId="5653" priority="906" operator="containsText" text="Castanho">
      <formula>NOT(ISERROR(SEARCH("Castanho",W25)))</formula>
    </cfRule>
    <cfRule type="containsText" dxfId="5652" priority="907" operator="containsText" text="Verde Água">
      <formula>NOT(ISERROR(SEARCH("Verde Água",W25)))</formula>
    </cfRule>
    <cfRule type="containsText" dxfId="5651" priority="908" operator="containsText" text="Azul Petróleo">
      <formula>NOT(ISERROR(SEARCH("Azul Petróleo",W25)))</formula>
    </cfRule>
    <cfRule type="containsText" dxfId="5650" priority="909" operator="containsText" text="Preto">
      <formula>NOT(ISERROR(SEARCH("Preto",W25)))</formula>
    </cfRule>
    <cfRule type="containsText" priority="910" operator="containsText" text="Branco">
      <formula>NOT(ISERROR(SEARCH("Branco",W25)))</formula>
    </cfRule>
    <cfRule type="containsText" dxfId="5649" priority="911" operator="containsText" text="Bege">
      <formula>NOT(ISERROR(SEARCH("Bege",W25)))</formula>
    </cfRule>
  </conditionalFormatting>
  <conditionalFormatting sqref="W25">
    <cfRule type="containsText" dxfId="5648" priority="894" operator="containsText" text="Escuro">
      <formula>NOT(ISERROR(SEARCH("Escuro",W25)))</formula>
    </cfRule>
    <cfRule type="containsText" dxfId="5647" priority="895" operator="containsText" text="Cinza">
      <formula>NOT(ISERROR(SEARCH("Cinza",W25)))</formula>
    </cfRule>
    <cfRule type="containsText" dxfId="5646" priority="896" operator="containsText" text="Púrpura">
      <formula>NOT(ISERROR(SEARCH("Púrpura",W25)))</formula>
    </cfRule>
    <cfRule type="containsText" dxfId="5645" priority="897" operator="containsText" text="Rosa">
      <formula>NOT(ISERROR(SEARCH("Rosa",W25)))</formula>
    </cfRule>
    <cfRule type="containsText" dxfId="5644" priority="898" operator="containsText" text="Castanho">
      <formula>NOT(ISERROR(SEARCH("Castanho",W25)))</formula>
    </cfRule>
    <cfRule type="containsText" dxfId="5643" priority="899" operator="containsText" text="Verde Água">
      <formula>NOT(ISERROR(SEARCH("Verde Água",W25)))</formula>
    </cfRule>
    <cfRule type="containsText" dxfId="5642" priority="900" operator="containsText" text="Azul Petróleo">
      <formula>NOT(ISERROR(SEARCH("Azul Petróleo",W25)))</formula>
    </cfRule>
    <cfRule type="containsText" dxfId="5641" priority="901" operator="containsText" text="Preto">
      <formula>NOT(ISERROR(SEARCH("Preto",W25)))</formula>
    </cfRule>
    <cfRule type="containsText" priority="902" operator="containsText" text="Branco">
      <formula>NOT(ISERROR(SEARCH("Branco",W25)))</formula>
    </cfRule>
  </conditionalFormatting>
  <conditionalFormatting sqref="W27">
    <cfRule type="containsText" dxfId="5640" priority="885" operator="containsText" text="Cinza">
      <formula>NOT(ISERROR(SEARCH("Cinza",W27)))</formula>
    </cfRule>
    <cfRule type="containsText" dxfId="5639" priority="886" operator="containsText" text="Púrpura">
      <formula>NOT(ISERROR(SEARCH("Púrpura",W27)))</formula>
    </cfRule>
    <cfRule type="containsText" dxfId="5638" priority="887" operator="containsText" text="Rosa">
      <formula>NOT(ISERROR(SEARCH("Rosa",W27)))</formula>
    </cfRule>
    <cfRule type="containsText" dxfId="5637" priority="888" operator="containsText" text="Castanho">
      <formula>NOT(ISERROR(SEARCH("Castanho",W27)))</formula>
    </cfRule>
    <cfRule type="containsText" dxfId="5636" priority="889" operator="containsText" text="Verde Água">
      <formula>NOT(ISERROR(SEARCH("Verde Água",W27)))</formula>
    </cfRule>
    <cfRule type="containsText" dxfId="5635" priority="890" operator="containsText" text="Azul Petróleo">
      <formula>NOT(ISERROR(SEARCH("Azul Petróleo",W27)))</formula>
    </cfRule>
    <cfRule type="containsText" dxfId="5634" priority="891" operator="containsText" text="Preto">
      <formula>NOT(ISERROR(SEARCH("Preto",W27)))</formula>
    </cfRule>
    <cfRule type="containsText" priority="892" operator="containsText" text="Branco">
      <formula>NOT(ISERROR(SEARCH("Branco",W27)))</formula>
    </cfRule>
    <cfRule type="containsText" dxfId="5633" priority="893" operator="containsText" text="Bege">
      <formula>NOT(ISERROR(SEARCH("Bege",W27)))</formula>
    </cfRule>
  </conditionalFormatting>
  <conditionalFormatting sqref="W27">
    <cfRule type="containsText" dxfId="5632" priority="876" operator="containsText" text="Escuro">
      <formula>NOT(ISERROR(SEARCH("Escuro",W27)))</formula>
    </cfRule>
    <cfRule type="containsText" dxfId="5631" priority="877" operator="containsText" text="Cinza">
      <formula>NOT(ISERROR(SEARCH("Cinza",W27)))</formula>
    </cfRule>
    <cfRule type="containsText" dxfId="5630" priority="878" operator="containsText" text="Púrpura">
      <formula>NOT(ISERROR(SEARCH("Púrpura",W27)))</formula>
    </cfRule>
    <cfRule type="containsText" dxfId="5629" priority="879" operator="containsText" text="Rosa">
      <formula>NOT(ISERROR(SEARCH("Rosa",W27)))</formula>
    </cfRule>
    <cfRule type="containsText" dxfId="5628" priority="880" operator="containsText" text="Castanho">
      <formula>NOT(ISERROR(SEARCH("Castanho",W27)))</formula>
    </cfRule>
    <cfRule type="containsText" dxfId="5627" priority="881" operator="containsText" text="Verde Água">
      <formula>NOT(ISERROR(SEARCH("Verde Água",W27)))</formula>
    </cfRule>
    <cfRule type="containsText" dxfId="5626" priority="882" operator="containsText" text="Azul Petróleo">
      <formula>NOT(ISERROR(SEARCH("Azul Petróleo",W27)))</formula>
    </cfRule>
    <cfRule type="containsText" dxfId="5625" priority="883" operator="containsText" text="Preto">
      <formula>NOT(ISERROR(SEARCH("Preto",W27)))</formula>
    </cfRule>
    <cfRule type="containsText" priority="884" operator="containsText" text="Branco">
      <formula>NOT(ISERROR(SEARCH("Branco",W27)))</formula>
    </cfRule>
  </conditionalFormatting>
  <conditionalFormatting sqref="W48">
    <cfRule type="containsText" dxfId="5624" priority="867" operator="containsText" text="Cinza">
      <formula>NOT(ISERROR(SEARCH("Cinza",W48)))</formula>
    </cfRule>
    <cfRule type="containsText" dxfId="5623" priority="868" operator="containsText" text="Púrpura">
      <formula>NOT(ISERROR(SEARCH("Púrpura",W48)))</formula>
    </cfRule>
    <cfRule type="containsText" dxfId="5622" priority="869" operator="containsText" text="Rosa">
      <formula>NOT(ISERROR(SEARCH("Rosa",W48)))</formula>
    </cfRule>
    <cfRule type="containsText" dxfId="5621" priority="870" operator="containsText" text="Castanho">
      <formula>NOT(ISERROR(SEARCH("Castanho",W48)))</formula>
    </cfRule>
    <cfRule type="containsText" dxfId="5620" priority="871" operator="containsText" text="Verde Água">
      <formula>NOT(ISERROR(SEARCH("Verde Água",W48)))</formula>
    </cfRule>
    <cfRule type="containsText" dxfId="5619" priority="872" operator="containsText" text="Azul Petróleo">
      <formula>NOT(ISERROR(SEARCH("Azul Petróleo",W48)))</formula>
    </cfRule>
    <cfRule type="containsText" dxfId="5618" priority="873" operator="containsText" text="Preto">
      <formula>NOT(ISERROR(SEARCH("Preto",W48)))</formula>
    </cfRule>
    <cfRule type="containsText" priority="874" operator="containsText" text="Branco">
      <formula>NOT(ISERROR(SEARCH("Branco",W48)))</formula>
    </cfRule>
    <cfRule type="containsText" dxfId="5617" priority="875" operator="containsText" text="Bege">
      <formula>NOT(ISERROR(SEARCH("Bege",W48)))</formula>
    </cfRule>
  </conditionalFormatting>
  <conditionalFormatting sqref="W48">
    <cfRule type="containsText" dxfId="5616" priority="858" operator="containsText" text="Cinza">
      <formula>NOT(ISERROR(SEARCH("Cinza",W48)))</formula>
    </cfRule>
    <cfRule type="containsText" dxfId="5615" priority="859" operator="containsText" text="Púrpura">
      <formula>NOT(ISERROR(SEARCH("Púrpura",W48)))</formula>
    </cfRule>
    <cfRule type="containsText" dxfId="5614" priority="860" operator="containsText" text="Rosa">
      <formula>NOT(ISERROR(SEARCH("Rosa",W48)))</formula>
    </cfRule>
    <cfRule type="containsText" dxfId="5613" priority="861" operator="containsText" text="Castanho">
      <formula>NOT(ISERROR(SEARCH("Castanho",W48)))</formula>
    </cfRule>
    <cfRule type="containsText" dxfId="5612" priority="862" operator="containsText" text="Verde Água">
      <formula>NOT(ISERROR(SEARCH("Verde Água",W48)))</formula>
    </cfRule>
    <cfRule type="containsText" dxfId="5611" priority="863" operator="containsText" text="Azul Petróleo">
      <formula>NOT(ISERROR(SEARCH("Azul Petróleo",W48)))</formula>
    </cfRule>
    <cfRule type="containsText" dxfId="5610" priority="864" operator="containsText" text="Preto">
      <formula>NOT(ISERROR(SEARCH("Preto",W48)))</formula>
    </cfRule>
    <cfRule type="containsText" priority="865" operator="containsText" text="Branco">
      <formula>NOT(ISERROR(SEARCH("Branco",W48)))</formula>
    </cfRule>
    <cfRule type="containsText" dxfId="5609" priority="866" operator="containsText" text="Bege">
      <formula>NOT(ISERROR(SEARCH("Bege",W48)))</formula>
    </cfRule>
  </conditionalFormatting>
  <conditionalFormatting sqref="W48">
    <cfRule type="containsText" dxfId="5608" priority="849" operator="containsText" text="Cinza">
      <formula>NOT(ISERROR(SEARCH("Cinza",W48)))</formula>
    </cfRule>
    <cfRule type="containsText" dxfId="5607" priority="850" operator="containsText" text="Púrpura">
      <formula>NOT(ISERROR(SEARCH("Púrpura",W48)))</formula>
    </cfRule>
    <cfRule type="containsText" dxfId="5606" priority="851" operator="containsText" text="Rosa">
      <formula>NOT(ISERROR(SEARCH("Rosa",W48)))</formula>
    </cfRule>
    <cfRule type="containsText" dxfId="5605" priority="852" operator="containsText" text="Castanho">
      <formula>NOT(ISERROR(SEARCH("Castanho",W48)))</formula>
    </cfRule>
    <cfRule type="containsText" dxfId="5604" priority="853" operator="containsText" text="Verde Água">
      <formula>NOT(ISERROR(SEARCH("Verde Água",W48)))</formula>
    </cfRule>
    <cfRule type="containsText" dxfId="5603" priority="854" operator="containsText" text="Azul Petróleo">
      <formula>NOT(ISERROR(SEARCH("Azul Petróleo",W48)))</formula>
    </cfRule>
    <cfRule type="containsText" dxfId="5602" priority="855" operator="containsText" text="Preto">
      <formula>NOT(ISERROR(SEARCH("Preto",W48)))</formula>
    </cfRule>
    <cfRule type="containsText" priority="856" operator="containsText" text="Branco">
      <formula>NOT(ISERROR(SEARCH("Branco",W48)))</formula>
    </cfRule>
    <cfRule type="containsText" dxfId="5601" priority="857" operator="containsText" text="Bege">
      <formula>NOT(ISERROR(SEARCH("Bege",W48)))</formula>
    </cfRule>
  </conditionalFormatting>
  <conditionalFormatting sqref="W48">
    <cfRule type="containsText" dxfId="5600" priority="840" operator="containsText" text="Cinza">
      <formula>NOT(ISERROR(SEARCH("Cinza",W48)))</formula>
    </cfRule>
    <cfRule type="containsText" dxfId="5599" priority="841" operator="containsText" text="Púrpura">
      <formula>NOT(ISERROR(SEARCH("Púrpura",W48)))</formula>
    </cfRule>
    <cfRule type="containsText" dxfId="5598" priority="842" operator="containsText" text="Rosa">
      <formula>NOT(ISERROR(SEARCH("Rosa",W48)))</formula>
    </cfRule>
    <cfRule type="containsText" dxfId="5597" priority="843" operator="containsText" text="Castanho">
      <formula>NOT(ISERROR(SEARCH("Castanho",W48)))</formula>
    </cfRule>
    <cfRule type="containsText" dxfId="5596" priority="844" operator="containsText" text="Verde Água">
      <formula>NOT(ISERROR(SEARCH("Verde Água",W48)))</formula>
    </cfRule>
    <cfRule type="containsText" dxfId="5595" priority="845" operator="containsText" text="Azul Petróleo">
      <formula>NOT(ISERROR(SEARCH("Azul Petróleo",W48)))</formula>
    </cfRule>
    <cfRule type="containsText" dxfId="5594" priority="846" operator="containsText" text="Preto">
      <formula>NOT(ISERROR(SEARCH("Preto",W48)))</formula>
    </cfRule>
    <cfRule type="containsText" priority="847" operator="containsText" text="Branco">
      <formula>NOT(ISERROR(SEARCH("Branco",W48)))</formula>
    </cfRule>
    <cfRule type="containsText" dxfId="5593" priority="848" operator="containsText" text="Bege">
      <formula>NOT(ISERROR(SEARCH("Bege",W48)))</formula>
    </cfRule>
  </conditionalFormatting>
  <conditionalFormatting sqref="W48">
    <cfRule type="containsText" dxfId="5592" priority="831" operator="containsText" text="Cinza">
      <formula>NOT(ISERROR(SEARCH("Cinza",W48)))</formula>
    </cfRule>
    <cfRule type="containsText" dxfId="5591" priority="832" operator="containsText" text="Púrpura">
      <formula>NOT(ISERROR(SEARCH("Púrpura",W48)))</formula>
    </cfRule>
    <cfRule type="containsText" dxfId="5590" priority="833" operator="containsText" text="Rosa">
      <formula>NOT(ISERROR(SEARCH("Rosa",W48)))</formula>
    </cfRule>
    <cfRule type="containsText" dxfId="5589" priority="834" operator="containsText" text="Castanho">
      <formula>NOT(ISERROR(SEARCH("Castanho",W48)))</formula>
    </cfRule>
    <cfRule type="containsText" dxfId="5588" priority="835" operator="containsText" text="Verde Água">
      <formula>NOT(ISERROR(SEARCH("Verde Água",W48)))</formula>
    </cfRule>
    <cfRule type="containsText" dxfId="5587" priority="836" operator="containsText" text="Azul Petróleo">
      <formula>NOT(ISERROR(SEARCH("Azul Petróleo",W48)))</formula>
    </cfRule>
    <cfRule type="containsText" dxfId="5586" priority="837" operator="containsText" text="Preto">
      <formula>NOT(ISERROR(SEARCH("Preto",W48)))</formula>
    </cfRule>
    <cfRule type="containsText" priority="838" operator="containsText" text="Branco">
      <formula>NOT(ISERROR(SEARCH("Branco",W48)))</formula>
    </cfRule>
    <cfRule type="containsText" dxfId="5585" priority="839" operator="containsText" text="Bege">
      <formula>NOT(ISERROR(SEARCH("Bege",W48)))</formula>
    </cfRule>
  </conditionalFormatting>
  <conditionalFormatting sqref="W48">
    <cfRule type="containsText" dxfId="5584" priority="822" operator="containsText" text="Cinza">
      <formula>NOT(ISERROR(SEARCH("Cinza",W48)))</formula>
    </cfRule>
    <cfRule type="containsText" dxfId="5583" priority="823" operator="containsText" text="Púrpura">
      <formula>NOT(ISERROR(SEARCH("Púrpura",W48)))</formula>
    </cfRule>
    <cfRule type="containsText" dxfId="5582" priority="824" operator="containsText" text="Rosa">
      <formula>NOT(ISERROR(SEARCH("Rosa",W48)))</formula>
    </cfRule>
    <cfRule type="containsText" dxfId="5581" priority="825" operator="containsText" text="Castanho">
      <formula>NOT(ISERROR(SEARCH("Castanho",W48)))</formula>
    </cfRule>
    <cfRule type="containsText" dxfId="5580" priority="826" operator="containsText" text="Verde Água">
      <formula>NOT(ISERROR(SEARCH("Verde Água",W48)))</formula>
    </cfRule>
    <cfRule type="containsText" dxfId="5579" priority="827" operator="containsText" text="Azul Petróleo">
      <formula>NOT(ISERROR(SEARCH("Azul Petróleo",W48)))</formula>
    </cfRule>
    <cfRule type="containsText" dxfId="5578" priority="828" operator="containsText" text="Preto">
      <formula>NOT(ISERROR(SEARCH("Preto",W48)))</formula>
    </cfRule>
    <cfRule type="containsText" priority="829" operator="containsText" text="Branco">
      <formula>NOT(ISERROR(SEARCH("Branco",W48)))</formula>
    </cfRule>
    <cfRule type="containsText" dxfId="5577" priority="830" operator="containsText" text="Bege">
      <formula>NOT(ISERROR(SEARCH("Bege",W48)))</formula>
    </cfRule>
  </conditionalFormatting>
  <conditionalFormatting sqref="W48">
    <cfRule type="containsText" dxfId="5576" priority="813" operator="containsText" text="Cinza">
      <formula>NOT(ISERROR(SEARCH("Cinza",W48)))</formula>
    </cfRule>
    <cfRule type="containsText" dxfId="5575" priority="814" operator="containsText" text="Púrpura">
      <formula>NOT(ISERROR(SEARCH("Púrpura",W48)))</formula>
    </cfRule>
    <cfRule type="containsText" dxfId="5574" priority="815" operator="containsText" text="Rosa">
      <formula>NOT(ISERROR(SEARCH("Rosa",W48)))</formula>
    </cfRule>
    <cfRule type="containsText" dxfId="5573" priority="816" operator="containsText" text="Castanho">
      <formula>NOT(ISERROR(SEARCH("Castanho",W48)))</formula>
    </cfRule>
    <cfRule type="containsText" dxfId="5572" priority="817" operator="containsText" text="Verde Água">
      <formula>NOT(ISERROR(SEARCH("Verde Água",W48)))</formula>
    </cfRule>
    <cfRule type="containsText" dxfId="5571" priority="818" operator="containsText" text="Azul Petróleo">
      <formula>NOT(ISERROR(SEARCH("Azul Petróleo",W48)))</formula>
    </cfRule>
    <cfRule type="containsText" dxfId="5570" priority="819" operator="containsText" text="Preto">
      <formula>NOT(ISERROR(SEARCH("Preto",W48)))</formula>
    </cfRule>
    <cfRule type="containsText" priority="820" operator="containsText" text="Branco">
      <formula>NOT(ISERROR(SEARCH("Branco",W48)))</formula>
    </cfRule>
    <cfRule type="containsText" dxfId="5569" priority="821" operator="containsText" text="Bege">
      <formula>NOT(ISERROR(SEARCH("Bege",W48)))</formula>
    </cfRule>
  </conditionalFormatting>
  <conditionalFormatting sqref="W48">
    <cfRule type="containsText" dxfId="5568" priority="804" operator="containsText" text="Cinza">
      <formula>NOT(ISERROR(SEARCH("Cinza",W48)))</formula>
    </cfRule>
    <cfRule type="containsText" dxfId="5567" priority="805" operator="containsText" text="Púrpura">
      <formula>NOT(ISERROR(SEARCH("Púrpura",W48)))</formula>
    </cfRule>
    <cfRule type="containsText" dxfId="5566" priority="806" operator="containsText" text="Rosa">
      <formula>NOT(ISERROR(SEARCH("Rosa",W48)))</formula>
    </cfRule>
    <cfRule type="containsText" dxfId="5565" priority="807" operator="containsText" text="Castanho">
      <formula>NOT(ISERROR(SEARCH("Castanho",W48)))</formula>
    </cfRule>
    <cfRule type="containsText" dxfId="5564" priority="808" operator="containsText" text="Verde Água">
      <formula>NOT(ISERROR(SEARCH("Verde Água",W48)))</formula>
    </cfRule>
    <cfRule type="containsText" dxfId="5563" priority="809" operator="containsText" text="Azul Petróleo">
      <formula>NOT(ISERROR(SEARCH("Azul Petróleo",W48)))</formula>
    </cfRule>
    <cfRule type="containsText" dxfId="5562" priority="810" operator="containsText" text="Preto">
      <formula>NOT(ISERROR(SEARCH("Preto",W48)))</formula>
    </cfRule>
    <cfRule type="containsText" priority="811" operator="containsText" text="Branco">
      <formula>NOT(ISERROR(SEARCH("Branco",W48)))</formula>
    </cfRule>
    <cfRule type="containsText" dxfId="5561" priority="812" operator="containsText" text="Bege">
      <formula>NOT(ISERROR(SEARCH("Bege",W48)))</formula>
    </cfRule>
  </conditionalFormatting>
  <conditionalFormatting sqref="W48">
    <cfRule type="containsText" dxfId="5560" priority="795" operator="containsText" text="Cinza">
      <formula>NOT(ISERROR(SEARCH("Cinza",W48)))</formula>
    </cfRule>
    <cfRule type="containsText" dxfId="5559" priority="796" operator="containsText" text="Púrpura">
      <formula>NOT(ISERROR(SEARCH("Púrpura",W48)))</formula>
    </cfRule>
    <cfRule type="containsText" dxfId="5558" priority="797" operator="containsText" text="Rosa">
      <formula>NOT(ISERROR(SEARCH("Rosa",W48)))</formula>
    </cfRule>
    <cfRule type="containsText" dxfId="5557" priority="798" operator="containsText" text="Castanho">
      <formula>NOT(ISERROR(SEARCH("Castanho",W48)))</formula>
    </cfRule>
    <cfRule type="containsText" dxfId="5556" priority="799" operator="containsText" text="Verde Água">
      <formula>NOT(ISERROR(SEARCH("Verde Água",W48)))</formula>
    </cfRule>
    <cfRule type="containsText" dxfId="5555" priority="800" operator="containsText" text="Azul Petróleo">
      <formula>NOT(ISERROR(SEARCH("Azul Petróleo",W48)))</formula>
    </cfRule>
    <cfRule type="containsText" dxfId="5554" priority="801" operator="containsText" text="Preto">
      <formula>NOT(ISERROR(SEARCH("Preto",W48)))</formula>
    </cfRule>
    <cfRule type="containsText" priority="802" operator="containsText" text="Branco">
      <formula>NOT(ISERROR(SEARCH("Branco",W48)))</formula>
    </cfRule>
    <cfRule type="containsText" dxfId="5553" priority="803" operator="containsText" text="Bege">
      <formula>NOT(ISERROR(SEARCH("Bege",W48)))</formula>
    </cfRule>
  </conditionalFormatting>
  <conditionalFormatting sqref="W48">
    <cfRule type="containsText" dxfId="5552" priority="786" operator="containsText" text="Cinza">
      <formula>NOT(ISERROR(SEARCH("Cinza",W48)))</formula>
    </cfRule>
    <cfRule type="containsText" dxfId="5551" priority="787" operator="containsText" text="Púrpura">
      <formula>NOT(ISERROR(SEARCH("Púrpura",W48)))</formula>
    </cfRule>
    <cfRule type="containsText" dxfId="5550" priority="788" operator="containsText" text="Rosa">
      <formula>NOT(ISERROR(SEARCH("Rosa",W48)))</formula>
    </cfRule>
    <cfRule type="containsText" dxfId="5549" priority="789" operator="containsText" text="Castanho">
      <formula>NOT(ISERROR(SEARCH("Castanho",W48)))</formula>
    </cfRule>
    <cfRule type="containsText" dxfId="5548" priority="790" operator="containsText" text="Verde Água">
      <formula>NOT(ISERROR(SEARCH("Verde Água",W48)))</formula>
    </cfRule>
    <cfRule type="containsText" dxfId="5547" priority="791" operator="containsText" text="Azul Petróleo">
      <formula>NOT(ISERROR(SEARCH("Azul Petróleo",W48)))</formula>
    </cfRule>
    <cfRule type="containsText" dxfId="5546" priority="792" operator="containsText" text="Preto">
      <formula>NOT(ISERROR(SEARCH("Preto",W48)))</formula>
    </cfRule>
    <cfRule type="containsText" priority="793" operator="containsText" text="Branco">
      <formula>NOT(ISERROR(SEARCH("Branco",W48)))</formula>
    </cfRule>
    <cfRule type="containsText" dxfId="5545" priority="794" operator="containsText" text="Bege">
      <formula>NOT(ISERROR(SEARCH("Bege",W48)))</formula>
    </cfRule>
  </conditionalFormatting>
  <conditionalFormatting sqref="W48">
    <cfRule type="containsText" dxfId="5544" priority="777" operator="containsText" text="Cinza">
      <formula>NOT(ISERROR(SEARCH("Cinza",W48)))</formula>
    </cfRule>
    <cfRule type="containsText" dxfId="5543" priority="778" operator="containsText" text="Púrpura">
      <formula>NOT(ISERROR(SEARCH("Púrpura",W48)))</formula>
    </cfRule>
    <cfRule type="containsText" dxfId="5542" priority="779" operator="containsText" text="Rosa">
      <formula>NOT(ISERROR(SEARCH("Rosa",W48)))</formula>
    </cfRule>
    <cfRule type="containsText" dxfId="5541" priority="780" operator="containsText" text="Castanho">
      <formula>NOT(ISERROR(SEARCH("Castanho",W48)))</formula>
    </cfRule>
    <cfRule type="containsText" dxfId="5540" priority="781" operator="containsText" text="Verde Água">
      <formula>NOT(ISERROR(SEARCH("Verde Água",W48)))</formula>
    </cfRule>
    <cfRule type="containsText" dxfId="5539" priority="782" operator="containsText" text="Azul Petróleo">
      <formula>NOT(ISERROR(SEARCH("Azul Petróleo",W48)))</formula>
    </cfRule>
    <cfRule type="containsText" dxfId="5538" priority="783" operator="containsText" text="Preto">
      <formula>NOT(ISERROR(SEARCH("Preto",W48)))</formula>
    </cfRule>
    <cfRule type="containsText" priority="784" operator="containsText" text="Branco">
      <formula>NOT(ISERROR(SEARCH("Branco",W48)))</formula>
    </cfRule>
    <cfRule type="containsText" dxfId="5537" priority="785" operator="containsText" text="Bege">
      <formula>NOT(ISERROR(SEARCH("Bege",W48)))</formula>
    </cfRule>
  </conditionalFormatting>
  <conditionalFormatting sqref="W48">
    <cfRule type="containsText" dxfId="5536" priority="768" operator="containsText" text="Cinza">
      <formula>NOT(ISERROR(SEARCH("Cinza",W48)))</formula>
    </cfRule>
    <cfRule type="containsText" dxfId="5535" priority="769" operator="containsText" text="Púrpura">
      <formula>NOT(ISERROR(SEARCH("Púrpura",W48)))</formula>
    </cfRule>
    <cfRule type="containsText" dxfId="5534" priority="770" operator="containsText" text="Rosa">
      <formula>NOT(ISERROR(SEARCH("Rosa",W48)))</formula>
    </cfRule>
    <cfRule type="containsText" dxfId="5533" priority="771" operator="containsText" text="Castanho">
      <formula>NOT(ISERROR(SEARCH("Castanho",W48)))</formula>
    </cfRule>
    <cfRule type="containsText" dxfId="5532" priority="772" operator="containsText" text="Verde Água">
      <formula>NOT(ISERROR(SEARCH("Verde Água",W48)))</formula>
    </cfRule>
    <cfRule type="containsText" dxfId="5531" priority="773" operator="containsText" text="Azul Petróleo">
      <formula>NOT(ISERROR(SEARCH("Azul Petróleo",W48)))</formula>
    </cfRule>
    <cfRule type="containsText" dxfId="5530" priority="774" operator="containsText" text="Preto">
      <formula>NOT(ISERROR(SEARCH("Preto",W48)))</formula>
    </cfRule>
    <cfRule type="containsText" priority="775" operator="containsText" text="Branco">
      <formula>NOT(ISERROR(SEARCH("Branco",W48)))</formula>
    </cfRule>
    <cfRule type="containsText" dxfId="5529" priority="776" operator="containsText" text="Bege">
      <formula>NOT(ISERROR(SEARCH("Bege",W48)))</formula>
    </cfRule>
  </conditionalFormatting>
  <conditionalFormatting sqref="W48">
    <cfRule type="containsText" dxfId="5528" priority="759" operator="containsText" text="Cinza">
      <formula>NOT(ISERROR(SEARCH("Cinza",W48)))</formula>
    </cfRule>
    <cfRule type="containsText" dxfId="5527" priority="760" operator="containsText" text="Púrpura">
      <formula>NOT(ISERROR(SEARCH("Púrpura",W48)))</formula>
    </cfRule>
    <cfRule type="containsText" dxfId="5526" priority="761" operator="containsText" text="Rosa">
      <formula>NOT(ISERROR(SEARCH("Rosa",W48)))</formula>
    </cfRule>
    <cfRule type="containsText" dxfId="5525" priority="762" operator="containsText" text="Castanho">
      <formula>NOT(ISERROR(SEARCH("Castanho",W48)))</formula>
    </cfRule>
    <cfRule type="containsText" dxfId="5524" priority="763" operator="containsText" text="Verde Água">
      <formula>NOT(ISERROR(SEARCH("Verde Água",W48)))</formula>
    </cfRule>
    <cfRule type="containsText" dxfId="5523" priority="764" operator="containsText" text="Azul Petróleo">
      <formula>NOT(ISERROR(SEARCH("Azul Petróleo",W48)))</formula>
    </cfRule>
    <cfRule type="containsText" dxfId="5522" priority="765" operator="containsText" text="Preto">
      <formula>NOT(ISERROR(SEARCH("Preto",W48)))</formula>
    </cfRule>
    <cfRule type="containsText" priority="766" operator="containsText" text="Branco">
      <formula>NOT(ISERROR(SEARCH("Branco",W48)))</formula>
    </cfRule>
    <cfRule type="containsText" dxfId="5521" priority="767" operator="containsText" text="Bege">
      <formula>NOT(ISERROR(SEARCH("Bege",W48)))</formula>
    </cfRule>
  </conditionalFormatting>
  <conditionalFormatting sqref="W48">
    <cfRule type="containsText" dxfId="5520" priority="750" operator="containsText" text="Cinza">
      <formula>NOT(ISERROR(SEARCH("Cinza",W48)))</formula>
    </cfRule>
    <cfRule type="containsText" dxfId="5519" priority="751" operator="containsText" text="Púrpura">
      <formula>NOT(ISERROR(SEARCH("Púrpura",W48)))</formula>
    </cfRule>
    <cfRule type="containsText" dxfId="5518" priority="752" operator="containsText" text="Rosa">
      <formula>NOT(ISERROR(SEARCH("Rosa",W48)))</formula>
    </cfRule>
    <cfRule type="containsText" dxfId="5517" priority="753" operator="containsText" text="Castanho">
      <formula>NOT(ISERROR(SEARCH("Castanho",W48)))</formula>
    </cfRule>
    <cfRule type="containsText" dxfId="5516" priority="754" operator="containsText" text="Verde Água">
      <formula>NOT(ISERROR(SEARCH("Verde Água",W48)))</formula>
    </cfRule>
    <cfRule type="containsText" dxfId="5515" priority="755" operator="containsText" text="Azul Petróleo">
      <formula>NOT(ISERROR(SEARCH("Azul Petróleo",W48)))</formula>
    </cfRule>
    <cfRule type="containsText" dxfId="5514" priority="756" operator="containsText" text="Preto">
      <formula>NOT(ISERROR(SEARCH("Preto",W48)))</formula>
    </cfRule>
    <cfRule type="containsText" priority="757" operator="containsText" text="Branco">
      <formula>NOT(ISERROR(SEARCH("Branco",W48)))</formula>
    </cfRule>
    <cfRule type="containsText" dxfId="5513" priority="758" operator="containsText" text="Bege">
      <formula>NOT(ISERROR(SEARCH("Bege",W48)))</formula>
    </cfRule>
  </conditionalFormatting>
  <conditionalFormatting sqref="W48">
    <cfRule type="containsText" dxfId="5512" priority="741" operator="containsText" text="Cinza">
      <formula>NOT(ISERROR(SEARCH("Cinza",W48)))</formula>
    </cfRule>
    <cfRule type="containsText" dxfId="5511" priority="742" operator="containsText" text="Púrpura">
      <formula>NOT(ISERROR(SEARCH("Púrpura",W48)))</formula>
    </cfRule>
    <cfRule type="containsText" dxfId="5510" priority="743" operator="containsText" text="Rosa">
      <formula>NOT(ISERROR(SEARCH("Rosa",W48)))</formula>
    </cfRule>
    <cfRule type="containsText" dxfId="5509" priority="744" operator="containsText" text="Castanho">
      <formula>NOT(ISERROR(SEARCH("Castanho",W48)))</formula>
    </cfRule>
    <cfRule type="containsText" dxfId="5508" priority="745" operator="containsText" text="Verde Água">
      <formula>NOT(ISERROR(SEARCH("Verde Água",W48)))</formula>
    </cfRule>
    <cfRule type="containsText" dxfId="5507" priority="746" operator="containsText" text="Azul Petróleo">
      <formula>NOT(ISERROR(SEARCH("Azul Petróleo",W48)))</formula>
    </cfRule>
    <cfRule type="containsText" dxfId="5506" priority="747" operator="containsText" text="Preto">
      <formula>NOT(ISERROR(SEARCH("Preto",W48)))</formula>
    </cfRule>
    <cfRule type="containsText" priority="748" operator="containsText" text="Branco">
      <formula>NOT(ISERROR(SEARCH("Branco",W48)))</formula>
    </cfRule>
    <cfRule type="containsText" dxfId="5505" priority="749" operator="containsText" text="Bege">
      <formula>NOT(ISERROR(SEARCH("Bege",W48)))</formula>
    </cfRule>
  </conditionalFormatting>
  <conditionalFormatting sqref="W48">
    <cfRule type="containsText" dxfId="5504" priority="732" operator="containsText" text="Cinza">
      <formula>NOT(ISERROR(SEARCH("Cinza",W48)))</formula>
    </cfRule>
    <cfRule type="containsText" dxfId="5503" priority="733" operator="containsText" text="Púrpura">
      <formula>NOT(ISERROR(SEARCH("Púrpura",W48)))</formula>
    </cfRule>
    <cfRule type="containsText" dxfId="5502" priority="734" operator="containsText" text="Rosa">
      <formula>NOT(ISERROR(SEARCH("Rosa",W48)))</formula>
    </cfRule>
    <cfRule type="containsText" dxfId="5501" priority="735" operator="containsText" text="Castanho">
      <formula>NOT(ISERROR(SEARCH("Castanho",W48)))</formula>
    </cfRule>
    <cfRule type="containsText" dxfId="5500" priority="736" operator="containsText" text="Verde Água">
      <formula>NOT(ISERROR(SEARCH("Verde Água",W48)))</formula>
    </cfRule>
    <cfRule type="containsText" dxfId="5499" priority="737" operator="containsText" text="Azul Petróleo">
      <formula>NOT(ISERROR(SEARCH("Azul Petróleo",W48)))</formula>
    </cfRule>
    <cfRule type="containsText" dxfId="5498" priority="738" operator="containsText" text="Preto">
      <formula>NOT(ISERROR(SEARCH("Preto",W48)))</formula>
    </cfRule>
    <cfRule type="containsText" priority="739" operator="containsText" text="Branco">
      <formula>NOT(ISERROR(SEARCH("Branco",W48)))</formula>
    </cfRule>
    <cfRule type="containsText" dxfId="5497" priority="740" operator="containsText" text="Bege">
      <formula>NOT(ISERROR(SEARCH("Bege",W48)))</formula>
    </cfRule>
  </conditionalFormatting>
  <conditionalFormatting sqref="W48">
    <cfRule type="containsText" dxfId="5496" priority="723" operator="containsText" text="Escuro">
      <formula>NOT(ISERROR(SEARCH("Escuro",W48)))</formula>
    </cfRule>
    <cfRule type="containsText" dxfId="5495" priority="724" operator="containsText" text="Cinza">
      <formula>NOT(ISERROR(SEARCH("Cinza",W48)))</formula>
    </cfRule>
    <cfRule type="containsText" dxfId="5494" priority="725" operator="containsText" text="Púrpura">
      <formula>NOT(ISERROR(SEARCH("Púrpura",W48)))</formula>
    </cfRule>
    <cfRule type="containsText" dxfId="5493" priority="726" operator="containsText" text="Rosa">
      <formula>NOT(ISERROR(SEARCH("Rosa",W48)))</formula>
    </cfRule>
    <cfRule type="containsText" dxfId="5492" priority="727" operator="containsText" text="Castanho">
      <formula>NOT(ISERROR(SEARCH("Castanho",W48)))</formula>
    </cfRule>
    <cfRule type="containsText" dxfId="5491" priority="728" operator="containsText" text="Verde Água">
      <formula>NOT(ISERROR(SEARCH("Verde Água",W48)))</formula>
    </cfRule>
    <cfRule type="containsText" dxfId="5490" priority="729" operator="containsText" text="Azul Petróleo">
      <formula>NOT(ISERROR(SEARCH("Azul Petróleo",W48)))</formula>
    </cfRule>
    <cfRule type="containsText" dxfId="5489" priority="730" operator="containsText" text="Preto">
      <formula>NOT(ISERROR(SEARCH("Preto",W48)))</formula>
    </cfRule>
    <cfRule type="containsText" priority="731" operator="containsText" text="Branco">
      <formula>NOT(ISERROR(SEARCH("Branco",W48)))</formula>
    </cfRule>
  </conditionalFormatting>
  <conditionalFormatting sqref="M92">
    <cfRule type="containsText" dxfId="5488" priority="713" operator="containsText" text="Escuro">
      <formula>NOT(ISERROR(SEARCH("Escuro",M92)))</formula>
    </cfRule>
    <cfRule type="containsText" dxfId="5487" priority="714" operator="containsText" text="Cinza">
      <formula>NOT(ISERROR(SEARCH("Cinza",M92)))</formula>
    </cfRule>
    <cfRule type="containsText" dxfId="5486" priority="715" operator="containsText" text="Púrpura">
      <formula>NOT(ISERROR(SEARCH("Púrpura",M92)))</formula>
    </cfRule>
    <cfRule type="containsText" dxfId="5485" priority="716" operator="containsText" text="Rosa">
      <formula>NOT(ISERROR(SEARCH("Rosa",M92)))</formula>
    </cfRule>
    <cfRule type="containsText" dxfId="5484" priority="717" operator="containsText" text="Castanho">
      <formula>NOT(ISERROR(SEARCH("Castanho",M92)))</formula>
    </cfRule>
    <cfRule type="containsText" dxfId="5483" priority="718" operator="containsText" text="Verde Água">
      <formula>NOT(ISERROR(SEARCH("Verde Água",M92)))</formula>
    </cfRule>
    <cfRule type="containsText" dxfId="5482" priority="719" operator="containsText" text="Azul Petróleo">
      <formula>NOT(ISERROR(SEARCH("Azul Petróleo",M92)))</formula>
    </cfRule>
    <cfRule type="containsText" dxfId="5481" priority="720" operator="containsText" text="Preto">
      <formula>NOT(ISERROR(SEARCH("Preto",M92)))</formula>
    </cfRule>
    <cfRule type="containsText" priority="721" operator="containsText" text="Branco">
      <formula>NOT(ISERROR(SEARCH("Branco",M92)))</formula>
    </cfRule>
    <cfRule type="containsText" dxfId="5480" priority="722" operator="containsText" text="Bege">
      <formula>NOT(ISERROR(SEARCH("Bege",M92)))</formula>
    </cfRule>
  </conditionalFormatting>
  <conditionalFormatting sqref="M92">
    <cfRule type="containsText" dxfId="5479" priority="704" operator="containsText" text="Cinza">
      <formula>NOT(ISERROR(SEARCH("Cinza",M92)))</formula>
    </cfRule>
    <cfRule type="containsText" dxfId="5478" priority="705" operator="containsText" text="Púrpura">
      <formula>NOT(ISERROR(SEARCH("Púrpura",M92)))</formula>
    </cfRule>
    <cfRule type="containsText" dxfId="5477" priority="706" operator="containsText" text="Rosa">
      <formula>NOT(ISERROR(SEARCH("Rosa",M92)))</formula>
    </cfRule>
    <cfRule type="containsText" dxfId="5476" priority="707" operator="containsText" text="Castanho">
      <formula>NOT(ISERROR(SEARCH("Castanho",M92)))</formula>
    </cfRule>
    <cfRule type="containsText" dxfId="5475" priority="708" operator="containsText" text="Verde Água">
      <formula>NOT(ISERROR(SEARCH("Verde Água",M92)))</formula>
    </cfRule>
    <cfRule type="containsText" dxfId="5474" priority="709" operator="containsText" text="Azul Petróleo">
      <formula>NOT(ISERROR(SEARCH("Azul Petróleo",M92)))</formula>
    </cfRule>
    <cfRule type="containsText" dxfId="5473" priority="710" operator="containsText" text="Preto">
      <formula>NOT(ISERROR(SEARCH("Preto",M92)))</formula>
    </cfRule>
    <cfRule type="containsText" priority="711" operator="containsText" text="Branco">
      <formula>NOT(ISERROR(SEARCH("Branco",M92)))</formula>
    </cfRule>
    <cfRule type="containsText" dxfId="5472" priority="712" operator="containsText" text="Bege">
      <formula>NOT(ISERROR(SEARCH("Bege",M92)))</formula>
    </cfRule>
  </conditionalFormatting>
  <conditionalFormatting sqref="M92">
    <cfRule type="containsText" dxfId="5471" priority="695" operator="containsText" text="Cinza">
      <formula>NOT(ISERROR(SEARCH("Cinza",M92)))</formula>
    </cfRule>
    <cfRule type="containsText" dxfId="5470" priority="696" operator="containsText" text="Púrpura">
      <formula>NOT(ISERROR(SEARCH("Púrpura",M92)))</formula>
    </cfRule>
    <cfRule type="containsText" dxfId="5469" priority="697" operator="containsText" text="Rosa">
      <formula>NOT(ISERROR(SEARCH("Rosa",M92)))</formula>
    </cfRule>
    <cfRule type="containsText" dxfId="5468" priority="698" operator="containsText" text="Castanho">
      <formula>NOT(ISERROR(SEARCH("Castanho",M92)))</formula>
    </cfRule>
    <cfRule type="containsText" dxfId="5467" priority="699" operator="containsText" text="Verde Água">
      <formula>NOT(ISERROR(SEARCH("Verde Água",M92)))</formula>
    </cfRule>
    <cfRule type="containsText" dxfId="5466" priority="700" operator="containsText" text="Azul Petróleo">
      <formula>NOT(ISERROR(SEARCH("Azul Petróleo",M92)))</formula>
    </cfRule>
    <cfRule type="containsText" dxfId="5465" priority="701" operator="containsText" text="Preto">
      <formula>NOT(ISERROR(SEARCH("Preto",M92)))</formula>
    </cfRule>
    <cfRule type="containsText" priority="702" operator="containsText" text="Branco">
      <formula>NOT(ISERROR(SEARCH("Branco",M92)))</formula>
    </cfRule>
    <cfRule type="containsText" dxfId="5464" priority="703" operator="containsText" text="Bege">
      <formula>NOT(ISERROR(SEARCH("Bege",M92)))</formula>
    </cfRule>
  </conditionalFormatting>
  <conditionalFormatting sqref="M92">
    <cfRule type="containsText" dxfId="5463" priority="686" operator="containsText" text="Cinza">
      <formula>NOT(ISERROR(SEARCH("Cinza",M92)))</formula>
    </cfRule>
    <cfRule type="containsText" dxfId="5462" priority="687" operator="containsText" text="Púrpura">
      <formula>NOT(ISERROR(SEARCH("Púrpura",M92)))</formula>
    </cfRule>
    <cfRule type="containsText" dxfId="5461" priority="688" operator="containsText" text="Rosa">
      <formula>NOT(ISERROR(SEARCH("Rosa",M92)))</formula>
    </cfRule>
    <cfRule type="containsText" dxfId="5460" priority="689" operator="containsText" text="Castanho">
      <formula>NOT(ISERROR(SEARCH("Castanho",M92)))</formula>
    </cfRule>
    <cfRule type="containsText" dxfId="5459" priority="690" operator="containsText" text="Verde Água">
      <formula>NOT(ISERROR(SEARCH("Verde Água",M92)))</formula>
    </cfRule>
    <cfRule type="containsText" dxfId="5458" priority="691" operator="containsText" text="Azul Petróleo">
      <formula>NOT(ISERROR(SEARCH("Azul Petróleo",M92)))</formula>
    </cfRule>
    <cfRule type="containsText" dxfId="5457" priority="692" operator="containsText" text="Preto">
      <formula>NOT(ISERROR(SEARCH("Preto",M92)))</formula>
    </cfRule>
    <cfRule type="containsText" priority="693" operator="containsText" text="Branco">
      <formula>NOT(ISERROR(SEARCH("Branco",M92)))</formula>
    </cfRule>
    <cfRule type="containsText" dxfId="5456" priority="694" operator="containsText" text="Bege">
      <formula>NOT(ISERROR(SEARCH("Bege",M92)))</formula>
    </cfRule>
  </conditionalFormatting>
  <conditionalFormatting sqref="M92">
    <cfRule type="containsText" dxfId="5455" priority="677" operator="containsText" text="Cinza">
      <formula>NOT(ISERROR(SEARCH("Cinza",M92)))</formula>
    </cfRule>
    <cfRule type="containsText" dxfId="5454" priority="678" operator="containsText" text="Púrpura">
      <formula>NOT(ISERROR(SEARCH("Púrpura",M92)))</formula>
    </cfRule>
    <cfRule type="containsText" dxfId="5453" priority="679" operator="containsText" text="Rosa">
      <formula>NOT(ISERROR(SEARCH("Rosa",M92)))</formula>
    </cfRule>
    <cfRule type="containsText" dxfId="5452" priority="680" operator="containsText" text="Castanho">
      <formula>NOT(ISERROR(SEARCH("Castanho",M92)))</formula>
    </cfRule>
    <cfRule type="containsText" dxfId="5451" priority="681" operator="containsText" text="Verde Água">
      <formula>NOT(ISERROR(SEARCH("Verde Água",M92)))</formula>
    </cfRule>
    <cfRule type="containsText" dxfId="5450" priority="682" operator="containsText" text="Azul Petróleo">
      <formula>NOT(ISERROR(SEARCH("Azul Petróleo",M92)))</formula>
    </cfRule>
    <cfRule type="containsText" dxfId="5449" priority="683" operator="containsText" text="Preto">
      <formula>NOT(ISERROR(SEARCH("Preto",M92)))</formula>
    </cfRule>
    <cfRule type="containsText" priority="684" operator="containsText" text="Branco">
      <formula>NOT(ISERROR(SEARCH("Branco",M92)))</formula>
    </cfRule>
    <cfRule type="containsText" dxfId="5448" priority="685" operator="containsText" text="Bege">
      <formula>NOT(ISERROR(SEARCH("Bege",M92)))</formula>
    </cfRule>
  </conditionalFormatting>
  <conditionalFormatting sqref="M92">
    <cfRule type="containsText" dxfId="5447" priority="668" operator="containsText" text="Cinza">
      <formula>NOT(ISERROR(SEARCH("Cinza",M92)))</formula>
    </cfRule>
    <cfRule type="containsText" dxfId="5446" priority="669" operator="containsText" text="Púrpura">
      <formula>NOT(ISERROR(SEARCH("Púrpura",M92)))</formula>
    </cfRule>
    <cfRule type="containsText" dxfId="5445" priority="670" operator="containsText" text="Rosa">
      <formula>NOT(ISERROR(SEARCH("Rosa",M92)))</formula>
    </cfRule>
    <cfRule type="containsText" dxfId="5444" priority="671" operator="containsText" text="Castanho">
      <formula>NOT(ISERROR(SEARCH("Castanho",M92)))</formula>
    </cfRule>
    <cfRule type="containsText" dxfId="5443" priority="672" operator="containsText" text="Verde Água">
      <formula>NOT(ISERROR(SEARCH("Verde Água",M92)))</formula>
    </cfRule>
    <cfRule type="containsText" dxfId="5442" priority="673" operator="containsText" text="Azul Petróleo">
      <formula>NOT(ISERROR(SEARCH("Azul Petróleo",M92)))</formula>
    </cfRule>
    <cfRule type="containsText" dxfId="5441" priority="674" operator="containsText" text="Preto">
      <formula>NOT(ISERROR(SEARCH("Preto",M92)))</formula>
    </cfRule>
    <cfRule type="containsText" priority="675" operator="containsText" text="Branco">
      <formula>NOT(ISERROR(SEARCH("Branco",M92)))</formula>
    </cfRule>
    <cfRule type="containsText" dxfId="5440" priority="676" operator="containsText" text="Bege">
      <formula>NOT(ISERROR(SEARCH("Bege",M92)))</formula>
    </cfRule>
  </conditionalFormatting>
  <conditionalFormatting sqref="M92">
    <cfRule type="containsText" dxfId="5439" priority="659" operator="containsText" text="Cinza">
      <formula>NOT(ISERROR(SEARCH("Cinza",M92)))</formula>
    </cfRule>
    <cfRule type="containsText" dxfId="5438" priority="660" operator="containsText" text="Púrpura">
      <formula>NOT(ISERROR(SEARCH("Púrpura",M92)))</formula>
    </cfRule>
    <cfRule type="containsText" dxfId="5437" priority="661" operator="containsText" text="Rosa">
      <formula>NOT(ISERROR(SEARCH("Rosa",M92)))</formula>
    </cfRule>
    <cfRule type="containsText" dxfId="5436" priority="662" operator="containsText" text="Castanho">
      <formula>NOT(ISERROR(SEARCH("Castanho",M92)))</formula>
    </cfRule>
    <cfRule type="containsText" dxfId="5435" priority="663" operator="containsText" text="Verde Água">
      <formula>NOT(ISERROR(SEARCH("Verde Água",M92)))</formula>
    </cfRule>
    <cfRule type="containsText" dxfId="5434" priority="664" operator="containsText" text="Azul Petróleo">
      <formula>NOT(ISERROR(SEARCH("Azul Petróleo",M92)))</formula>
    </cfRule>
    <cfRule type="containsText" dxfId="5433" priority="665" operator="containsText" text="Preto">
      <formula>NOT(ISERROR(SEARCH("Preto",M92)))</formula>
    </cfRule>
    <cfRule type="containsText" priority="666" operator="containsText" text="Branco">
      <formula>NOT(ISERROR(SEARCH("Branco",M92)))</formula>
    </cfRule>
    <cfRule type="containsText" dxfId="5432" priority="667" operator="containsText" text="Bege">
      <formula>NOT(ISERROR(SEARCH("Bege",M92)))</formula>
    </cfRule>
  </conditionalFormatting>
  <conditionalFormatting sqref="M92">
    <cfRule type="containsText" dxfId="5431" priority="650" operator="containsText" text="Cinza">
      <formula>NOT(ISERROR(SEARCH("Cinza",M92)))</formula>
    </cfRule>
    <cfRule type="containsText" dxfId="5430" priority="651" operator="containsText" text="Púrpura">
      <formula>NOT(ISERROR(SEARCH("Púrpura",M92)))</formula>
    </cfRule>
    <cfRule type="containsText" dxfId="5429" priority="652" operator="containsText" text="Rosa">
      <formula>NOT(ISERROR(SEARCH("Rosa",M92)))</formula>
    </cfRule>
    <cfRule type="containsText" dxfId="5428" priority="653" operator="containsText" text="Castanho">
      <formula>NOT(ISERROR(SEARCH("Castanho",M92)))</formula>
    </cfRule>
    <cfRule type="containsText" dxfId="5427" priority="654" operator="containsText" text="Verde Água">
      <formula>NOT(ISERROR(SEARCH("Verde Água",M92)))</formula>
    </cfRule>
    <cfRule type="containsText" dxfId="5426" priority="655" operator="containsText" text="Azul Petróleo">
      <formula>NOT(ISERROR(SEARCH("Azul Petróleo",M92)))</formula>
    </cfRule>
    <cfRule type="containsText" dxfId="5425" priority="656" operator="containsText" text="Preto">
      <formula>NOT(ISERROR(SEARCH("Preto",M92)))</formula>
    </cfRule>
    <cfRule type="containsText" priority="657" operator="containsText" text="Branco">
      <formula>NOT(ISERROR(SEARCH("Branco",M92)))</formula>
    </cfRule>
    <cfRule type="containsText" dxfId="5424" priority="658" operator="containsText" text="Bege">
      <formula>NOT(ISERROR(SEARCH("Bege",M92)))</formula>
    </cfRule>
  </conditionalFormatting>
  <conditionalFormatting sqref="M92">
    <cfRule type="containsText" dxfId="5423" priority="641" operator="containsText" text="Cinza">
      <formula>NOT(ISERROR(SEARCH("Cinza",M92)))</formula>
    </cfRule>
    <cfRule type="containsText" dxfId="5422" priority="642" operator="containsText" text="Púrpura">
      <formula>NOT(ISERROR(SEARCH("Púrpura",M92)))</formula>
    </cfRule>
    <cfRule type="containsText" dxfId="5421" priority="643" operator="containsText" text="Rosa">
      <formula>NOT(ISERROR(SEARCH("Rosa",M92)))</formula>
    </cfRule>
    <cfRule type="containsText" dxfId="5420" priority="644" operator="containsText" text="Castanho">
      <formula>NOT(ISERROR(SEARCH("Castanho",M92)))</formula>
    </cfRule>
    <cfRule type="containsText" dxfId="5419" priority="645" operator="containsText" text="Verde Água">
      <formula>NOT(ISERROR(SEARCH("Verde Água",M92)))</formula>
    </cfRule>
    <cfRule type="containsText" dxfId="5418" priority="646" operator="containsText" text="Azul Petróleo">
      <formula>NOT(ISERROR(SEARCH("Azul Petróleo",M92)))</formula>
    </cfRule>
    <cfRule type="containsText" dxfId="5417" priority="647" operator="containsText" text="Preto">
      <formula>NOT(ISERROR(SEARCH("Preto",M92)))</formula>
    </cfRule>
    <cfRule type="containsText" priority="648" operator="containsText" text="Branco">
      <formula>NOT(ISERROR(SEARCH("Branco",M92)))</formula>
    </cfRule>
    <cfRule type="containsText" dxfId="5416" priority="649" operator="containsText" text="Bege">
      <formula>NOT(ISERROR(SEARCH("Bege",M92)))</formula>
    </cfRule>
  </conditionalFormatting>
  <conditionalFormatting sqref="M92">
    <cfRule type="containsText" dxfId="5415" priority="632" operator="containsText" text="Cinza">
      <formula>NOT(ISERROR(SEARCH("Cinza",M92)))</formula>
    </cfRule>
    <cfRule type="containsText" dxfId="5414" priority="633" operator="containsText" text="Púrpura">
      <formula>NOT(ISERROR(SEARCH("Púrpura",M92)))</formula>
    </cfRule>
    <cfRule type="containsText" dxfId="5413" priority="634" operator="containsText" text="Rosa">
      <formula>NOT(ISERROR(SEARCH("Rosa",M92)))</formula>
    </cfRule>
    <cfRule type="containsText" dxfId="5412" priority="635" operator="containsText" text="Castanho">
      <formula>NOT(ISERROR(SEARCH("Castanho",M92)))</formula>
    </cfRule>
    <cfRule type="containsText" dxfId="5411" priority="636" operator="containsText" text="Verde Água">
      <formula>NOT(ISERROR(SEARCH("Verde Água",M92)))</formula>
    </cfRule>
    <cfRule type="containsText" dxfId="5410" priority="637" operator="containsText" text="Azul Petróleo">
      <formula>NOT(ISERROR(SEARCH("Azul Petróleo",M92)))</formula>
    </cfRule>
    <cfRule type="containsText" dxfId="5409" priority="638" operator="containsText" text="Preto">
      <formula>NOT(ISERROR(SEARCH("Preto",M92)))</formula>
    </cfRule>
    <cfRule type="containsText" priority="639" operator="containsText" text="Branco">
      <formula>NOT(ISERROR(SEARCH("Branco",M92)))</formula>
    </cfRule>
    <cfRule type="containsText" dxfId="5408" priority="640" operator="containsText" text="Bege">
      <formula>NOT(ISERROR(SEARCH("Bege",M92)))</formula>
    </cfRule>
  </conditionalFormatting>
  <conditionalFormatting sqref="M92">
    <cfRule type="containsText" dxfId="5407" priority="623" operator="containsText" text="Cinza">
      <formula>NOT(ISERROR(SEARCH("Cinza",M92)))</formula>
    </cfRule>
    <cfRule type="containsText" dxfId="5406" priority="624" operator="containsText" text="Púrpura">
      <formula>NOT(ISERROR(SEARCH("Púrpura",M92)))</formula>
    </cfRule>
    <cfRule type="containsText" dxfId="5405" priority="625" operator="containsText" text="Rosa">
      <formula>NOT(ISERROR(SEARCH("Rosa",M92)))</formula>
    </cfRule>
    <cfRule type="containsText" dxfId="5404" priority="626" operator="containsText" text="Castanho">
      <formula>NOT(ISERROR(SEARCH("Castanho",M92)))</formula>
    </cfRule>
    <cfRule type="containsText" dxfId="5403" priority="627" operator="containsText" text="Verde Água">
      <formula>NOT(ISERROR(SEARCH("Verde Água",M92)))</formula>
    </cfRule>
    <cfRule type="containsText" dxfId="5402" priority="628" operator="containsText" text="Azul Petróleo">
      <formula>NOT(ISERROR(SEARCH("Azul Petróleo",M92)))</formula>
    </cfRule>
    <cfRule type="containsText" dxfId="5401" priority="629" operator="containsText" text="Preto">
      <formula>NOT(ISERROR(SEARCH("Preto",M92)))</formula>
    </cfRule>
    <cfRule type="containsText" priority="630" operator="containsText" text="Branco">
      <formula>NOT(ISERROR(SEARCH("Branco",M92)))</formula>
    </cfRule>
    <cfRule type="containsText" dxfId="5400" priority="631" operator="containsText" text="Bege">
      <formula>NOT(ISERROR(SEARCH("Bege",M92)))</formula>
    </cfRule>
  </conditionalFormatting>
  <conditionalFormatting sqref="M92">
    <cfRule type="containsText" dxfId="5399" priority="614" operator="containsText" text="Cinza">
      <formula>NOT(ISERROR(SEARCH("Cinza",M92)))</formula>
    </cfRule>
    <cfRule type="containsText" dxfId="5398" priority="615" operator="containsText" text="Púrpura">
      <formula>NOT(ISERROR(SEARCH("Púrpura",M92)))</formula>
    </cfRule>
    <cfRule type="containsText" dxfId="5397" priority="616" operator="containsText" text="Rosa">
      <formula>NOT(ISERROR(SEARCH("Rosa",M92)))</formula>
    </cfRule>
    <cfRule type="containsText" dxfId="5396" priority="617" operator="containsText" text="Castanho">
      <formula>NOT(ISERROR(SEARCH("Castanho",M92)))</formula>
    </cfRule>
    <cfRule type="containsText" dxfId="5395" priority="618" operator="containsText" text="Verde Água">
      <formula>NOT(ISERROR(SEARCH("Verde Água",M92)))</formula>
    </cfRule>
    <cfRule type="containsText" dxfId="5394" priority="619" operator="containsText" text="Azul Petróleo">
      <formula>NOT(ISERROR(SEARCH("Azul Petróleo",M92)))</formula>
    </cfRule>
    <cfRule type="containsText" dxfId="5393" priority="620" operator="containsText" text="Preto">
      <formula>NOT(ISERROR(SEARCH("Preto",M92)))</formula>
    </cfRule>
    <cfRule type="containsText" priority="621" operator="containsText" text="Branco">
      <formula>NOT(ISERROR(SEARCH("Branco",M92)))</formula>
    </cfRule>
    <cfRule type="containsText" dxfId="5392" priority="622" operator="containsText" text="Bege">
      <formula>NOT(ISERROR(SEARCH("Bege",M92)))</formula>
    </cfRule>
  </conditionalFormatting>
  <conditionalFormatting sqref="M92">
    <cfRule type="containsText" dxfId="5391" priority="605" operator="containsText" text="Cinza">
      <formula>NOT(ISERROR(SEARCH("Cinza",M92)))</formula>
    </cfRule>
    <cfRule type="containsText" dxfId="5390" priority="606" operator="containsText" text="Púrpura">
      <formula>NOT(ISERROR(SEARCH("Púrpura",M92)))</formula>
    </cfRule>
    <cfRule type="containsText" dxfId="5389" priority="607" operator="containsText" text="Rosa">
      <formula>NOT(ISERROR(SEARCH("Rosa",M92)))</formula>
    </cfRule>
    <cfRule type="containsText" dxfId="5388" priority="608" operator="containsText" text="Castanho">
      <formula>NOT(ISERROR(SEARCH("Castanho",M92)))</formula>
    </cfRule>
    <cfRule type="containsText" dxfId="5387" priority="609" operator="containsText" text="Verde Água">
      <formula>NOT(ISERROR(SEARCH("Verde Água",M92)))</formula>
    </cfRule>
    <cfRule type="containsText" dxfId="5386" priority="610" operator="containsText" text="Azul Petróleo">
      <formula>NOT(ISERROR(SEARCH("Azul Petróleo",M92)))</formula>
    </cfRule>
    <cfRule type="containsText" dxfId="5385" priority="611" operator="containsText" text="Preto">
      <formula>NOT(ISERROR(SEARCH("Preto",M92)))</formula>
    </cfRule>
    <cfRule type="containsText" priority="612" operator="containsText" text="Branco">
      <formula>NOT(ISERROR(SEARCH("Branco",M92)))</formula>
    </cfRule>
    <cfRule type="containsText" dxfId="5384" priority="613" operator="containsText" text="Bege">
      <formula>NOT(ISERROR(SEARCH("Bege",M92)))</formula>
    </cfRule>
  </conditionalFormatting>
  <conditionalFormatting sqref="M92">
    <cfRule type="containsText" dxfId="5383" priority="596" operator="containsText" text="Cinza">
      <formula>NOT(ISERROR(SEARCH("Cinza",M92)))</formula>
    </cfRule>
    <cfRule type="containsText" dxfId="5382" priority="597" operator="containsText" text="Púrpura">
      <formula>NOT(ISERROR(SEARCH("Púrpura",M92)))</formula>
    </cfRule>
    <cfRule type="containsText" dxfId="5381" priority="598" operator="containsText" text="Rosa">
      <formula>NOT(ISERROR(SEARCH("Rosa",M92)))</formula>
    </cfRule>
    <cfRule type="containsText" dxfId="5380" priority="599" operator="containsText" text="Castanho">
      <formula>NOT(ISERROR(SEARCH("Castanho",M92)))</formula>
    </cfRule>
    <cfRule type="containsText" dxfId="5379" priority="600" operator="containsText" text="Verde Água">
      <formula>NOT(ISERROR(SEARCH("Verde Água",M92)))</formula>
    </cfRule>
    <cfRule type="containsText" dxfId="5378" priority="601" operator="containsText" text="Azul Petróleo">
      <formula>NOT(ISERROR(SEARCH("Azul Petróleo",M92)))</formula>
    </cfRule>
    <cfRule type="containsText" dxfId="5377" priority="602" operator="containsText" text="Preto">
      <formula>NOT(ISERROR(SEARCH("Preto",M92)))</formula>
    </cfRule>
    <cfRule type="containsText" priority="603" operator="containsText" text="Branco">
      <formula>NOT(ISERROR(SEARCH("Branco",M92)))</formula>
    </cfRule>
    <cfRule type="containsText" dxfId="5376" priority="604" operator="containsText" text="Bege">
      <formula>NOT(ISERROR(SEARCH("Bege",M92)))</formula>
    </cfRule>
  </conditionalFormatting>
  <conditionalFormatting sqref="M92">
    <cfRule type="containsText" dxfId="5375" priority="587" operator="containsText" text="Cinza">
      <formula>NOT(ISERROR(SEARCH("Cinza",M92)))</formula>
    </cfRule>
    <cfRule type="containsText" dxfId="5374" priority="588" operator="containsText" text="Púrpura">
      <formula>NOT(ISERROR(SEARCH("Púrpura",M92)))</formula>
    </cfRule>
    <cfRule type="containsText" dxfId="5373" priority="589" operator="containsText" text="Rosa">
      <formula>NOT(ISERROR(SEARCH("Rosa",M92)))</formula>
    </cfRule>
    <cfRule type="containsText" dxfId="5372" priority="590" operator="containsText" text="Castanho">
      <formula>NOT(ISERROR(SEARCH("Castanho",M92)))</formula>
    </cfRule>
    <cfRule type="containsText" dxfId="5371" priority="591" operator="containsText" text="Verde Água">
      <formula>NOT(ISERROR(SEARCH("Verde Água",M92)))</formula>
    </cfRule>
    <cfRule type="containsText" dxfId="5370" priority="592" operator="containsText" text="Azul Petróleo">
      <formula>NOT(ISERROR(SEARCH("Azul Petróleo",M92)))</formula>
    </cfRule>
    <cfRule type="containsText" dxfId="5369" priority="593" operator="containsText" text="Preto">
      <formula>NOT(ISERROR(SEARCH("Preto",M92)))</formula>
    </cfRule>
    <cfRule type="containsText" priority="594" operator="containsText" text="Branco">
      <formula>NOT(ISERROR(SEARCH("Branco",M92)))</formula>
    </cfRule>
    <cfRule type="containsText" dxfId="5368" priority="595" operator="containsText" text="Bege">
      <formula>NOT(ISERROR(SEARCH("Bege",M92)))</formula>
    </cfRule>
  </conditionalFormatting>
  <conditionalFormatting sqref="M92">
    <cfRule type="containsText" dxfId="5367" priority="578" operator="containsText" text="Cinza">
      <formula>NOT(ISERROR(SEARCH("Cinza",M92)))</formula>
    </cfRule>
    <cfRule type="containsText" dxfId="5366" priority="579" operator="containsText" text="Púrpura">
      <formula>NOT(ISERROR(SEARCH("Púrpura",M92)))</formula>
    </cfRule>
    <cfRule type="containsText" dxfId="5365" priority="580" operator="containsText" text="Rosa">
      <formula>NOT(ISERROR(SEARCH("Rosa",M92)))</formula>
    </cfRule>
    <cfRule type="containsText" dxfId="5364" priority="581" operator="containsText" text="Castanho">
      <formula>NOT(ISERROR(SEARCH("Castanho",M92)))</formula>
    </cfRule>
    <cfRule type="containsText" dxfId="5363" priority="582" operator="containsText" text="Verde Água">
      <formula>NOT(ISERROR(SEARCH("Verde Água",M92)))</formula>
    </cfRule>
    <cfRule type="containsText" dxfId="5362" priority="583" operator="containsText" text="Azul Petróleo">
      <formula>NOT(ISERROR(SEARCH("Azul Petróleo",M92)))</formula>
    </cfRule>
    <cfRule type="containsText" dxfId="5361" priority="584" operator="containsText" text="Preto">
      <formula>NOT(ISERROR(SEARCH("Preto",M92)))</formula>
    </cfRule>
    <cfRule type="containsText" priority="585" operator="containsText" text="Branco">
      <formula>NOT(ISERROR(SEARCH("Branco",M92)))</formula>
    </cfRule>
    <cfRule type="containsText" dxfId="5360" priority="586" operator="containsText" text="Bege">
      <formula>NOT(ISERROR(SEARCH("Bege",M92)))</formula>
    </cfRule>
  </conditionalFormatting>
  <conditionalFormatting sqref="M92">
    <cfRule type="containsText" dxfId="5359" priority="569" operator="containsText" text="Cinza">
      <formula>NOT(ISERROR(SEARCH("Cinza",M92)))</formula>
    </cfRule>
    <cfRule type="containsText" dxfId="5358" priority="570" operator="containsText" text="Púrpura">
      <formula>NOT(ISERROR(SEARCH("Púrpura",M92)))</formula>
    </cfRule>
    <cfRule type="containsText" dxfId="5357" priority="571" operator="containsText" text="Rosa">
      <formula>NOT(ISERROR(SEARCH("Rosa",M92)))</formula>
    </cfRule>
    <cfRule type="containsText" dxfId="5356" priority="572" operator="containsText" text="Castanho">
      <formula>NOT(ISERROR(SEARCH("Castanho",M92)))</formula>
    </cfRule>
    <cfRule type="containsText" dxfId="5355" priority="573" operator="containsText" text="Verde Água">
      <formula>NOT(ISERROR(SEARCH("Verde Água",M92)))</formula>
    </cfRule>
    <cfRule type="containsText" dxfId="5354" priority="574" operator="containsText" text="Azul Petróleo">
      <formula>NOT(ISERROR(SEARCH("Azul Petróleo",M92)))</formula>
    </cfRule>
    <cfRule type="containsText" dxfId="5353" priority="575" operator="containsText" text="Preto">
      <formula>NOT(ISERROR(SEARCH("Preto",M92)))</formula>
    </cfRule>
    <cfRule type="containsText" priority="576" operator="containsText" text="Branco">
      <formula>NOT(ISERROR(SEARCH("Branco",M92)))</formula>
    </cfRule>
    <cfRule type="containsText" dxfId="5352" priority="577" operator="containsText" text="Bege">
      <formula>NOT(ISERROR(SEARCH("Bege",M92)))</formula>
    </cfRule>
  </conditionalFormatting>
  <conditionalFormatting sqref="M92">
    <cfRule type="containsText" dxfId="5351" priority="560" operator="containsText" text="Cinza">
      <formula>NOT(ISERROR(SEARCH("Cinza",M92)))</formula>
    </cfRule>
    <cfRule type="containsText" dxfId="5350" priority="561" operator="containsText" text="Púrpura">
      <formula>NOT(ISERROR(SEARCH("Púrpura",M92)))</formula>
    </cfRule>
    <cfRule type="containsText" dxfId="5349" priority="562" operator="containsText" text="Rosa">
      <formula>NOT(ISERROR(SEARCH("Rosa",M92)))</formula>
    </cfRule>
    <cfRule type="containsText" dxfId="5348" priority="563" operator="containsText" text="Castanho">
      <formula>NOT(ISERROR(SEARCH("Castanho",M92)))</formula>
    </cfRule>
    <cfRule type="containsText" dxfId="5347" priority="564" operator="containsText" text="Verde Água">
      <formula>NOT(ISERROR(SEARCH("Verde Água",M92)))</formula>
    </cfRule>
    <cfRule type="containsText" dxfId="5346" priority="565" operator="containsText" text="Azul Petróleo">
      <formula>NOT(ISERROR(SEARCH("Azul Petróleo",M92)))</formula>
    </cfRule>
    <cfRule type="containsText" dxfId="5345" priority="566" operator="containsText" text="Preto">
      <formula>NOT(ISERROR(SEARCH("Preto",M92)))</formula>
    </cfRule>
    <cfRule type="containsText" priority="567" operator="containsText" text="Branco">
      <formula>NOT(ISERROR(SEARCH("Branco",M92)))</formula>
    </cfRule>
    <cfRule type="containsText" dxfId="5344" priority="568" operator="containsText" text="Bege">
      <formula>NOT(ISERROR(SEARCH("Bege",M92)))</formula>
    </cfRule>
  </conditionalFormatting>
  <conditionalFormatting sqref="M92">
    <cfRule type="containsText" dxfId="5343" priority="551" operator="containsText" text="Cinza">
      <formula>NOT(ISERROR(SEARCH("Cinza",M92)))</formula>
    </cfRule>
    <cfRule type="containsText" dxfId="5342" priority="552" operator="containsText" text="Púrpura">
      <formula>NOT(ISERROR(SEARCH("Púrpura",M92)))</formula>
    </cfRule>
    <cfRule type="containsText" dxfId="5341" priority="553" operator="containsText" text="Rosa">
      <formula>NOT(ISERROR(SEARCH("Rosa",M92)))</formula>
    </cfRule>
    <cfRule type="containsText" dxfId="5340" priority="554" operator="containsText" text="Castanho">
      <formula>NOT(ISERROR(SEARCH("Castanho",M92)))</formula>
    </cfRule>
    <cfRule type="containsText" dxfId="5339" priority="555" operator="containsText" text="Verde Água">
      <formula>NOT(ISERROR(SEARCH("Verde Água",M92)))</formula>
    </cfRule>
    <cfRule type="containsText" dxfId="5338" priority="556" operator="containsText" text="Azul Petróleo">
      <formula>NOT(ISERROR(SEARCH("Azul Petróleo",M92)))</formula>
    </cfRule>
    <cfRule type="containsText" dxfId="5337" priority="557" operator="containsText" text="Preto">
      <formula>NOT(ISERROR(SEARCH("Preto",M92)))</formula>
    </cfRule>
    <cfRule type="containsText" priority="558" operator="containsText" text="Branco">
      <formula>NOT(ISERROR(SEARCH("Branco",M92)))</formula>
    </cfRule>
    <cfRule type="containsText" dxfId="5336" priority="559" operator="containsText" text="Bege">
      <formula>NOT(ISERROR(SEARCH("Bege",M92)))</formula>
    </cfRule>
  </conditionalFormatting>
  <conditionalFormatting sqref="M92">
    <cfRule type="containsText" dxfId="5335" priority="542" operator="containsText" text="Cinza">
      <formula>NOT(ISERROR(SEARCH("Cinza",M92)))</formula>
    </cfRule>
    <cfRule type="containsText" dxfId="5334" priority="543" operator="containsText" text="Púrpura">
      <formula>NOT(ISERROR(SEARCH("Púrpura",M92)))</formula>
    </cfRule>
    <cfRule type="containsText" dxfId="5333" priority="544" operator="containsText" text="Rosa">
      <formula>NOT(ISERROR(SEARCH("Rosa",M92)))</formula>
    </cfRule>
    <cfRule type="containsText" dxfId="5332" priority="545" operator="containsText" text="Castanho">
      <formula>NOT(ISERROR(SEARCH("Castanho",M92)))</formula>
    </cfRule>
    <cfRule type="containsText" dxfId="5331" priority="546" operator="containsText" text="Verde Água">
      <formula>NOT(ISERROR(SEARCH("Verde Água",M92)))</formula>
    </cfRule>
    <cfRule type="containsText" dxfId="5330" priority="547" operator="containsText" text="Azul Petróleo">
      <formula>NOT(ISERROR(SEARCH("Azul Petróleo",M92)))</formula>
    </cfRule>
    <cfRule type="containsText" dxfId="5329" priority="548" operator="containsText" text="Preto">
      <formula>NOT(ISERROR(SEARCH("Preto",M92)))</formula>
    </cfRule>
    <cfRule type="containsText" priority="549" operator="containsText" text="Branco">
      <formula>NOT(ISERROR(SEARCH("Branco",M92)))</formula>
    </cfRule>
    <cfRule type="containsText" dxfId="5328" priority="550" operator="containsText" text="Bege">
      <formula>NOT(ISERROR(SEARCH("Bege",M92)))</formula>
    </cfRule>
  </conditionalFormatting>
  <conditionalFormatting sqref="M92">
    <cfRule type="containsText" dxfId="5327" priority="533" operator="containsText" text="Cinza">
      <formula>NOT(ISERROR(SEARCH("Cinza",M92)))</formula>
    </cfRule>
    <cfRule type="containsText" dxfId="5326" priority="534" operator="containsText" text="Púrpura">
      <formula>NOT(ISERROR(SEARCH("Púrpura",M92)))</formula>
    </cfRule>
    <cfRule type="containsText" dxfId="5325" priority="535" operator="containsText" text="Rosa">
      <formula>NOT(ISERROR(SEARCH("Rosa",M92)))</formula>
    </cfRule>
    <cfRule type="containsText" dxfId="5324" priority="536" operator="containsText" text="Castanho">
      <formula>NOT(ISERROR(SEARCH("Castanho",M92)))</formula>
    </cfRule>
    <cfRule type="containsText" dxfId="5323" priority="537" operator="containsText" text="Verde Água">
      <formula>NOT(ISERROR(SEARCH("Verde Água",M92)))</formula>
    </cfRule>
    <cfRule type="containsText" dxfId="5322" priority="538" operator="containsText" text="Azul Petróleo">
      <formula>NOT(ISERROR(SEARCH("Azul Petróleo",M92)))</formula>
    </cfRule>
    <cfRule type="containsText" dxfId="5321" priority="539" operator="containsText" text="Preto">
      <formula>NOT(ISERROR(SEARCH("Preto",M92)))</formula>
    </cfRule>
    <cfRule type="containsText" priority="540" operator="containsText" text="Branco">
      <formula>NOT(ISERROR(SEARCH("Branco",M92)))</formula>
    </cfRule>
    <cfRule type="containsText" dxfId="5320" priority="541" operator="containsText" text="Bege">
      <formula>NOT(ISERROR(SEARCH("Bege",M92)))</formula>
    </cfRule>
  </conditionalFormatting>
  <conditionalFormatting sqref="M92">
    <cfRule type="containsText" dxfId="5319" priority="524" operator="containsText" text="Cinza">
      <formula>NOT(ISERROR(SEARCH("Cinza",M92)))</formula>
    </cfRule>
    <cfRule type="containsText" dxfId="5318" priority="525" operator="containsText" text="Púrpura">
      <formula>NOT(ISERROR(SEARCH("Púrpura",M92)))</formula>
    </cfRule>
    <cfRule type="containsText" dxfId="5317" priority="526" operator="containsText" text="Rosa">
      <formula>NOT(ISERROR(SEARCH("Rosa",M92)))</formula>
    </cfRule>
    <cfRule type="containsText" dxfId="5316" priority="527" operator="containsText" text="Castanho">
      <formula>NOT(ISERROR(SEARCH("Castanho",M92)))</formula>
    </cfRule>
    <cfRule type="containsText" dxfId="5315" priority="528" operator="containsText" text="Verde Água">
      <formula>NOT(ISERROR(SEARCH("Verde Água",M92)))</formula>
    </cfRule>
    <cfRule type="containsText" dxfId="5314" priority="529" operator="containsText" text="Azul Petróleo">
      <formula>NOT(ISERROR(SEARCH("Azul Petróleo",M92)))</formula>
    </cfRule>
    <cfRule type="containsText" dxfId="5313" priority="530" operator="containsText" text="Preto">
      <formula>NOT(ISERROR(SEARCH("Preto",M92)))</formula>
    </cfRule>
    <cfRule type="containsText" priority="531" operator="containsText" text="Branco">
      <formula>NOT(ISERROR(SEARCH("Branco",M92)))</formula>
    </cfRule>
    <cfRule type="containsText" dxfId="5312" priority="532" operator="containsText" text="Bege">
      <formula>NOT(ISERROR(SEARCH("Bege",M92)))</formula>
    </cfRule>
  </conditionalFormatting>
  <conditionalFormatting sqref="M92">
    <cfRule type="containsText" dxfId="5311" priority="515" operator="containsText" text="Cinza">
      <formula>NOT(ISERROR(SEARCH("Cinza",M92)))</formula>
    </cfRule>
    <cfRule type="containsText" dxfId="5310" priority="516" operator="containsText" text="Púrpura">
      <formula>NOT(ISERROR(SEARCH("Púrpura",M92)))</formula>
    </cfRule>
    <cfRule type="containsText" dxfId="5309" priority="517" operator="containsText" text="Rosa">
      <formula>NOT(ISERROR(SEARCH("Rosa",M92)))</formula>
    </cfRule>
    <cfRule type="containsText" dxfId="5308" priority="518" operator="containsText" text="Castanho">
      <formula>NOT(ISERROR(SEARCH("Castanho",M92)))</formula>
    </cfRule>
    <cfRule type="containsText" dxfId="5307" priority="519" operator="containsText" text="Verde Água">
      <formula>NOT(ISERROR(SEARCH("Verde Água",M92)))</formula>
    </cfRule>
    <cfRule type="containsText" dxfId="5306" priority="520" operator="containsText" text="Azul Petróleo">
      <formula>NOT(ISERROR(SEARCH("Azul Petróleo",M92)))</formula>
    </cfRule>
    <cfRule type="containsText" dxfId="5305" priority="521" operator="containsText" text="Preto">
      <formula>NOT(ISERROR(SEARCH("Preto",M92)))</formula>
    </cfRule>
    <cfRule type="containsText" priority="522" operator="containsText" text="Branco">
      <formula>NOT(ISERROR(SEARCH("Branco",M92)))</formula>
    </cfRule>
    <cfRule type="containsText" dxfId="5304" priority="523" operator="containsText" text="Bege">
      <formula>NOT(ISERROR(SEARCH("Bege",M92)))</formula>
    </cfRule>
  </conditionalFormatting>
  <conditionalFormatting sqref="M92">
    <cfRule type="containsText" dxfId="5303" priority="506" operator="containsText" text="Cinza">
      <formula>NOT(ISERROR(SEARCH("Cinza",M92)))</formula>
    </cfRule>
    <cfRule type="containsText" dxfId="5302" priority="507" operator="containsText" text="Púrpura">
      <formula>NOT(ISERROR(SEARCH("Púrpura",M92)))</formula>
    </cfRule>
    <cfRule type="containsText" dxfId="5301" priority="508" operator="containsText" text="Rosa">
      <formula>NOT(ISERROR(SEARCH("Rosa",M92)))</formula>
    </cfRule>
    <cfRule type="containsText" dxfId="5300" priority="509" operator="containsText" text="Castanho">
      <formula>NOT(ISERROR(SEARCH("Castanho",M92)))</formula>
    </cfRule>
    <cfRule type="containsText" dxfId="5299" priority="510" operator="containsText" text="Verde Água">
      <formula>NOT(ISERROR(SEARCH("Verde Água",M92)))</formula>
    </cfRule>
    <cfRule type="containsText" dxfId="5298" priority="511" operator="containsText" text="Azul Petróleo">
      <formula>NOT(ISERROR(SEARCH("Azul Petróleo",M92)))</formula>
    </cfRule>
    <cfRule type="containsText" dxfId="5297" priority="512" operator="containsText" text="Preto">
      <formula>NOT(ISERROR(SEARCH("Preto",M92)))</formula>
    </cfRule>
    <cfRule type="containsText" priority="513" operator="containsText" text="Branco">
      <formula>NOT(ISERROR(SEARCH("Branco",M92)))</formula>
    </cfRule>
    <cfRule type="containsText" dxfId="5296" priority="514" operator="containsText" text="Bege">
      <formula>NOT(ISERROR(SEARCH("Bege",M92)))</formula>
    </cfRule>
  </conditionalFormatting>
  <conditionalFormatting sqref="M92">
    <cfRule type="containsText" dxfId="5295" priority="497" operator="containsText" text="Cinza">
      <formula>NOT(ISERROR(SEARCH("Cinza",M92)))</formula>
    </cfRule>
    <cfRule type="containsText" dxfId="5294" priority="498" operator="containsText" text="Púrpura">
      <formula>NOT(ISERROR(SEARCH("Púrpura",M92)))</formula>
    </cfRule>
    <cfRule type="containsText" dxfId="5293" priority="499" operator="containsText" text="Rosa">
      <formula>NOT(ISERROR(SEARCH("Rosa",M92)))</formula>
    </cfRule>
    <cfRule type="containsText" dxfId="5292" priority="500" operator="containsText" text="Castanho">
      <formula>NOT(ISERROR(SEARCH("Castanho",M92)))</formula>
    </cfRule>
    <cfRule type="containsText" dxfId="5291" priority="501" operator="containsText" text="Verde Água">
      <formula>NOT(ISERROR(SEARCH("Verde Água",M92)))</formula>
    </cfRule>
    <cfRule type="containsText" dxfId="5290" priority="502" operator="containsText" text="Azul Petróleo">
      <formula>NOT(ISERROR(SEARCH("Azul Petróleo",M92)))</formula>
    </cfRule>
    <cfRule type="containsText" dxfId="5289" priority="503" operator="containsText" text="Preto">
      <formula>NOT(ISERROR(SEARCH("Preto",M92)))</formula>
    </cfRule>
    <cfRule type="containsText" priority="504" operator="containsText" text="Branco">
      <formula>NOT(ISERROR(SEARCH("Branco",M92)))</formula>
    </cfRule>
    <cfRule type="containsText" dxfId="5288" priority="505" operator="containsText" text="Bege">
      <formula>NOT(ISERROR(SEARCH("Bege",M92)))</formula>
    </cfRule>
  </conditionalFormatting>
  <conditionalFormatting sqref="M92">
    <cfRule type="containsText" dxfId="5287" priority="488" operator="containsText" text="Cinza">
      <formula>NOT(ISERROR(SEARCH("Cinza",M92)))</formula>
    </cfRule>
    <cfRule type="containsText" dxfId="5286" priority="489" operator="containsText" text="Púrpura">
      <formula>NOT(ISERROR(SEARCH("Púrpura",M92)))</formula>
    </cfRule>
    <cfRule type="containsText" dxfId="5285" priority="490" operator="containsText" text="Rosa">
      <formula>NOT(ISERROR(SEARCH("Rosa",M92)))</formula>
    </cfRule>
    <cfRule type="containsText" dxfId="5284" priority="491" operator="containsText" text="Castanho">
      <formula>NOT(ISERROR(SEARCH("Castanho",M92)))</formula>
    </cfRule>
    <cfRule type="containsText" dxfId="5283" priority="492" operator="containsText" text="Verde Água">
      <formula>NOT(ISERROR(SEARCH("Verde Água",M92)))</formula>
    </cfRule>
    <cfRule type="containsText" dxfId="5282" priority="493" operator="containsText" text="Azul Petróleo">
      <formula>NOT(ISERROR(SEARCH("Azul Petróleo",M92)))</formula>
    </cfRule>
    <cfRule type="containsText" dxfId="5281" priority="494" operator="containsText" text="Preto">
      <formula>NOT(ISERROR(SEARCH("Preto",M92)))</formula>
    </cfRule>
    <cfRule type="containsText" priority="495" operator="containsText" text="Branco">
      <formula>NOT(ISERROR(SEARCH("Branco",M92)))</formula>
    </cfRule>
    <cfRule type="containsText" dxfId="5280" priority="496" operator="containsText" text="Bege">
      <formula>NOT(ISERROR(SEARCH("Bege",M92)))</formula>
    </cfRule>
  </conditionalFormatting>
  <conditionalFormatting sqref="M92">
    <cfRule type="containsText" dxfId="5279" priority="479" operator="containsText" text="Cinza">
      <formula>NOT(ISERROR(SEARCH("Cinza",M92)))</formula>
    </cfRule>
    <cfRule type="containsText" dxfId="5278" priority="480" operator="containsText" text="Púrpura">
      <formula>NOT(ISERROR(SEARCH("Púrpura",M92)))</formula>
    </cfRule>
    <cfRule type="containsText" dxfId="5277" priority="481" operator="containsText" text="Rosa">
      <formula>NOT(ISERROR(SEARCH("Rosa",M92)))</formula>
    </cfRule>
    <cfRule type="containsText" dxfId="5276" priority="482" operator="containsText" text="Castanho">
      <formula>NOT(ISERROR(SEARCH("Castanho",M92)))</formula>
    </cfRule>
    <cfRule type="containsText" dxfId="5275" priority="483" operator="containsText" text="Verde Água">
      <formula>NOT(ISERROR(SEARCH("Verde Água",M92)))</formula>
    </cfRule>
    <cfRule type="containsText" dxfId="5274" priority="484" operator="containsText" text="Azul Petróleo">
      <formula>NOT(ISERROR(SEARCH("Azul Petróleo",M92)))</formula>
    </cfRule>
    <cfRule type="containsText" dxfId="5273" priority="485" operator="containsText" text="Preto">
      <formula>NOT(ISERROR(SEARCH("Preto",M92)))</formula>
    </cfRule>
    <cfRule type="containsText" priority="486" operator="containsText" text="Branco">
      <formula>NOT(ISERROR(SEARCH("Branco",M92)))</formula>
    </cfRule>
    <cfRule type="containsText" dxfId="5272" priority="487" operator="containsText" text="Bege">
      <formula>NOT(ISERROR(SEARCH("Bege",M92)))</formula>
    </cfRule>
  </conditionalFormatting>
  <conditionalFormatting sqref="M92">
    <cfRule type="containsText" dxfId="5271" priority="470" operator="containsText" text="Cinza">
      <formula>NOT(ISERROR(SEARCH("Cinza",M92)))</formula>
    </cfRule>
    <cfRule type="containsText" dxfId="5270" priority="471" operator="containsText" text="Púrpura">
      <formula>NOT(ISERROR(SEARCH("Púrpura",M92)))</formula>
    </cfRule>
    <cfRule type="containsText" dxfId="5269" priority="472" operator="containsText" text="Rosa">
      <formula>NOT(ISERROR(SEARCH("Rosa",M92)))</formula>
    </cfRule>
    <cfRule type="containsText" dxfId="5268" priority="473" operator="containsText" text="Castanho">
      <formula>NOT(ISERROR(SEARCH("Castanho",M92)))</formula>
    </cfRule>
    <cfRule type="containsText" dxfId="5267" priority="474" operator="containsText" text="Verde Água">
      <formula>NOT(ISERROR(SEARCH("Verde Água",M92)))</formula>
    </cfRule>
    <cfRule type="containsText" dxfId="5266" priority="475" operator="containsText" text="Azul Petróleo">
      <formula>NOT(ISERROR(SEARCH("Azul Petróleo",M92)))</formula>
    </cfRule>
    <cfRule type="containsText" dxfId="5265" priority="476" operator="containsText" text="Preto">
      <formula>NOT(ISERROR(SEARCH("Preto",M92)))</formula>
    </cfRule>
    <cfRule type="containsText" priority="477" operator="containsText" text="Branco">
      <formula>NOT(ISERROR(SEARCH("Branco",M92)))</formula>
    </cfRule>
    <cfRule type="containsText" dxfId="5264" priority="478" operator="containsText" text="Bege">
      <formula>NOT(ISERROR(SEARCH("Bege",M92)))</formula>
    </cfRule>
  </conditionalFormatting>
  <conditionalFormatting sqref="M92">
    <cfRule type="containsText" dxfId="5263" priority="461" operator="containsText" text="Cinza">
      <formula>NOT(ISERROR(SEARCH("Cinza",M92)))</formula>
    </cfRule>
    <cfRule type="containsText" dxfId="5262" priority="462" operator="containsText" text="Púrpura">
      <formula>NOT(ISERROR(SEARCH("Púrpura",M92)))</formula>
    </cfRule>
    <cfRule type="containsText" dxfId="5261" priority="463" operator="containsText" text="Rosa">
      <formula>NOT(ISERROR(SEARCH("Rosa",M92)))</formula>
    </cfRule>
    <cfRule type="containsText" dxfId="5260" priority="464" operator="containsText" text="Castanho">
      <formula>NOT(ISERROR(SEARCH("Castanho",M92)))</formula>
    </cfRule>
    <cfRule type="containsText" dxfId="5259" priority="465" operator="containsText" text="Verde Água">
      <formula>NOT(ISERROR(SEARCH("Verde Água",M92)))</formula>
    </cfRule>
    <cfRule type="containsText" dxfId="5258" priority="466" operator="containsText" text="Azul Petróleo">
      <formula>NOT(ISERROR(SEARCH("Azul Petróleo",M92)))</formula>
    </cfRule>
    <cfRule type="containsText" dxfId="5257" priority="467" operator="containsText" text="Preto">
      <formula>NOT(ISERROR(SEARCH("Preto",M92)))</formula>
    </cfRule>
    <cfRule type="containsText" priority="468" operator="containsText" text="Branco">
      <formula>NOT(ISERROR(SEARCH("Branco",M92)))</formula>
    </cfRule>
    <cfRule type="containsText" dxfId="5256" priority="469" operator="containsText" text="Bege">
      <formula>NOT(ISERROR(SEARCH("Bege",M92)))</formula>
    </cfRule>
  </conditionalFormatting>
  <conditionalFormatting sqref="M92">
    <cfRule type="containsText" dxfId="5255" priority="452" operator="containsText" text="Cinza">
      <formula>NOT(ISERROR(SEARCH("Cinza",M92)))</formula>
    </cfRule>
    <cfRule type="containsText" dxfId="5254" priority="453" operator="containsText" text="Púrpura">
      <formula>NOT(ISERROR(SEARCH("Púrpura",M92)))</formula>
    </cfRule>
    <cfRule type="containsText" dxfId="5253" priority="454" operator="containsText" text="Rosa">
      <formula>NOT(ISERROR(SEARCH("Rosa",M92)))</formula>
    </cfRule>
    <cfRule type="containsText" dxfId="5252" priority="455" operator="containsText" text="Castanho">
      <formula>NOT(ISERROR(SEARCH("Castanho",M92)))</formula>
    </cfRule>
    <cfRule type="containsText" dxfId="5251" priority="456" operator="containsText" text="Verde Água">
      <formula>NOT(ISERROR(SEARCH("Verde Água",M92)))</formula>
    </cfRule>
    <cfRule type="containsText" dxfId="5250" priority="457" operator="containsText" text="Azul Petróleo">
      <formula>NOT(ISERROR(SEARCH("Azul Petróleo",M92)))</formula>
    </cfRule>
    <cfRule type="containsText" dxfId="5249" priority="458" operator="containsText" text="Preto">
      <formula>NOT(ISERROR(SEARCH("Preto",M92)))</formula>
    </cfRule>
    <cfRule type="containsText" priority="459" operator="containsText" text="Branco">
      <formula>NOT(ISERROR(SEARCH("Branco",M92)))</formula>
    </cfRule>
    <cfRule type="containsText" dxfId="5248" priority="460" operator="containsText" text="Bege">
      <formula>NOT(ISERROR(SEARCH("Bege",M92)))</formula>
    </cfRule>
  </conditionalFormatting>
  <conditionalFormatting sqref="M92">
    <cfRule type="containsText" dxfId="5247" priority="443" operator="containsText" text="Cinza">
      <formula>NOT(ISERROR(SEARCH("Cinza",M92)))</formula>
    </cfRule>
    <cfRule type="containsText" dxfId="5246" priority="444" operator="containsText" text="Púrpura">
      <formula>NOT(ISERROR(SEARCH("Púrpura",M92)))</formula>
    </cfRule>
    <cfRule type="containsText" dxfId="5245" priority="445" operator="containsText" text="Rosa">
      <formula>NOT(ISERROR(SEARCH("Rosa",M92)))</formula>
    </cfRule>
    <cfRule type="containsText" dxfId="5244" priority="446" operator="containsText" text="Castanho">
      <formula>NOT(ISERROR(SEARCH("Castanho",M92)))</formula>
    </cfRule>
    <cfRule type="containsText" dxfId="5243" priority="447" operator="containsText" text="Verde Água">
      <formula>NOT(ISERROR(SEARCH("Verde Água",M92)))</formula>
    </cfRule>
    <cfRule type="containsText" dxfId="5242" priority="448" operator="containsText" text="Azul Petróleo">
      <formula>NOT(ISERROR(SEARCH("Azul Petróleo",M92)))</formula>
    </cfRule>
    <cfRule type="containsText" dxfId="5241" priority="449" operator="containsText" text="Preto">
      <formula>NOT(ISERROR(SEARCH("Preto",M92)))</formula>
    </cfRule>
    <cfRule type="containsText" priority="450" operator="containsText" text="Branco">
      <formula>NOT(ISERROR(SEARCH("Branco",M92)))</formula>
    </cfRule>
    <cfRule type="containsText" dxfId="5240" priority="451" operator="containsText" text="Bege">
      <formula>NOT(ISERROR(SEARCH("Bege",M92)))</formula>
    </cfRule>
  </conditionalFormatting>
  <conditionalFormatting sqref="M92">
    <cfRule type="containsText" dxfId="5239" priority="434" operator="containsText" text="Cinza">
      <formula>NOT(ISERROR(SEARCH("Cinza",M92)))</formula>
    </cfRule>
    <cfRule type="containsText" dxfId="5238" priority="435" operator="containsText" text="Púrpura">
      <formula>NOT(ISERROR(SEARCH("Púrpura",M92)))</formula>
    </cfRule>
    <cfRule type="containsText" dxfId="5237" priority="436" operator="containsText" text="Rosa">
      <formula>NOT(ISERROR(SEARCH("Rosa",M92)))</formula>
    </cfRule>
    <cfRule type="containsText" dxfId="5236" priority="437" operator="containsText" text="Castanho">
      <formula>NOT(ISERROR(SEARCH("Castanho",M92)))</formula>
    </cfRule>
    <cfRule type="containsText" dxfId="5235" priority="438" operator="containsText" text="Verde Água">
      <formula>NOT(ISERROR(SEARCH("Verde Água",M92)))</formula>
    </cfRule>
    <cfRule type="containsText" dxfId="5234" priority="439" operator="containsText" text="Azul Petróleo">
      <formula>NOT(ISERROR(SEARCH("Azul Petróleo",M92)))</formula>
    </cfRule>
    <cfRule type="containsText" dxfId="5233" priority="440" operator="containsText" text="Preto">
      <formula>NOT(ISERROR(SEARCH("Preto",M92)))</formula>
    </cfRule>
    <cfRule type="containsText" priority="441" operator="containsText" text="Branco">
      <formula>NOT(ISERROR(SEARCH("Branco",M92)))</formula>
    </cfRule>
    <cfRule type="containsText" dxfId="5232" priority="442" operator="containsText" text="Bege">
      <formula>NOT(ISERROR(SEARCH("Bege",M92)))</formula>
    </cfRule>
  </conditionalFormatting>
  <conditionalFormatting sqref="M92">
    <cfRule type="containsText" dxfId="5231" priority="425" operator="containsText" text="Escuro">
      <formula>NOT(ISERROR(SEARCH("Escuro",M92)))</formula>
    </cfRule>
    <cfRule type="containsText" dxfId="5230" priority="426" operator="containsText" text="Cinza">
      <formula>NOT(ISERROR(SEARCH("Cinza",M92)))</formula>
    </cfRule>
    <cfRule type="containsText" dxfId="5229" priority="427" operator="containsText" text="Púrpura">
      <formula>NOT(ISERROR(SEARCH("Púrpura",M92)))</formula>
    </cfRule>
    <cfRule type="containsText" dxfId="5228" priority="428" operator="containsText" text="Rosa">
      <formula>NOT(ISERROR(SEARCH("Rosa",M92)))</formula>
    </cfRule>
    <cfRule type="containsText" dxfId="5227" priority="429" operator="containsText" text="Castanho">
      <formula>NOT(ISERROR(SEARCH("Castanho",M92)))</formula>
    </cfRule>
    <cfRule type="containsText" dxfId="5226" priority="430" operator="containsText" text="Verde Água">
      <formula>NOT(ISERROR(SEARCH("Verde Água",M92)))</formula>
    </cfRule>
    <cfRule type="containsText" dxfId="5225" priority="431" operator="containsText" text="Azul Petróleo">
      <formula>NOT(ISERROR(SEARCH("Azul Petróleo",M92)))</formula>
    </cfRule>
    <cfRule type="containsText" dxfId="5224" priority="432" operator="containsText" text="Preto">
      <formula>NOT(ISERROR(SEARCH("Preto",M92)))</formula>
    </cfRule>
    <cfRule type="containsText" priority="433" operator="containsText" text="Branco">
      <formula>NOT(ISERROR(SEARCH("Branco",M92)))</formula>
    </cfRule>
  </conditionalFormatting>
  <conditionalFormatting sqref="M92">
    <cfRule type="containsText" dxfId="5223" priority="415" operator="containsText" text="Escuro">
      <formula>NOT(ISERROR(SEARCH("Escuro",M92)))</formula>
    </cfRule>
    <cfRule type="containsText" dxfId="5222" priority="416" operator="containsText" text="Cinza">
      <formula>NOT(ISERROR(SEARCH("Cinza",M92)))</formula>
    </cfRule>
    <cfRule type="containsText" dxfId="5221" priority="417" operator="containsText" text="Púrpura">
      <formula>NOT(ISERROR(SEARCH("Púrpura",M92)))</formula>
    </cfRule>
    <cfRule type="containsText" dxfId="5220" priority="418" operator="containsText" text="Rosa">
      <formula>NOT(ISERROR(SEARCH("Rosa",M92)))</formula>
    </cfRule>
    <cfRule type="containsText" dxfId="5219" priority="419" operator="containsText" text="Castanho">
      <formula>NOT(ISERROR(SEARCH("Castanho",M92)))</formula>
    </cfRule>
    <cfRule type="containsText" dxfId="5218" priority="420" operator="containsText" text="Verde Água">
      <formula>NOT(ISERROR(SEARCH("Verde Água",M92)))</formula>
    </cfRule>
    <cfRule type="containsText" dxfId="5217" priority="421" operator="containsText" text="Azul Petróleo">
      <formula>NOT(ISERROR(SEARCH("Azul Petróleo",M92)))</formula>
    </cfRule>
    <cfRule type="containsText" dxfId="5216" priority="422" operator="containsText" text="Preto">
      <formula>NOT(ISERROR(SEARCH("Preto",M92)))</formula>
    </cfRule>
    <cfRule type="containsText" priority="423" operator="containsText" text="Branco">
      <formula>NOT(ISERROR(SEARCH("Branco",M92)))</formula>
    </cfRule>
    <cfRule type="containsText" dxfId="5215" priority="424" operator="containsText" text="Bege">
      <formula>NOT(ISERROR(SEARCH("Bege",M92)))</formula>
    </cfRule>
  </conditionalFormatting>
  <conditionalFormatting sqref="M92">
    <cfRule type="containsText" dxfId="5214" priority="406" operator="containsText" text="Cinza">
      <formula>NOT(ISERROR(SEARCH("Cinza",M92)))</formula>
    </cfRule>
    <cfRule type="containsText" dxfId="5213" priority="407" operator="containsText" text="Púrpura">
      <formula>NOT(ISERROR(SEARCH("Púrpura",M92)))</formula>
    </cfRule>
    <cfRule type="containsText" dxfId="5212" priority="408" operator="containsText" text="Rosa">
      <formula>NOT(ISERROR(SEARCH("Rosa",M92)))</formula>
    </cfRule>
    <cfRule type="containsText" dxfId="5211" priority="409" operator="containsText" text="Castanho">
      <formula>NOT(ISERROR(SEARCH("Castanho",M92)))</formula>
    </cfRule>
    <cfRule type="containsText" dxfId="5210" priority="410" operator="containsText" text="Verde Água">
      <formula>NOT(ISERROR(SEARCH("Verde Água",M92)))</formula>
    </cfRule>
    <cfRule type="containsText" dxfId="5209" priority="411" operator="containsText" text="Azul Petróleo">
      <formula>NOT(ISERROR(SEARCH("Azul Petróleo",M92)))</formula>
    </cfRule>
    <cfRule type="containsText" dxfId="5208" priority="412" operator="containsText" text="Preto">
      <formula>NOT(ISERROR(SEARCH("Preto",M92)))</formula>
    </cfRule>
    <cfRule type="containsText" priority="413" operator="containsText" text="Branco">
      <formula>NOT(ISERROR(SEARCH("Branco",M92)))</formula>
    </cfRule>
    <cfRule type="containsText" dxfId="5207" priority="414" operator="containsText" text="Bege">
      <formula>NOT(ISERROR(SEARCH("Bege",M92)))</formula>
    </cfRule>
  </conditionalFormatting>
  <conditionalFormatting sqref="M92">
    <cfRule type="containsText" dxfId="5206" priority="397" operator="containsText" text="Cinza">
      <formula>NOT(ISERROR(SEARCH("Cinza",M92)))</formula>
    </cfRule>
    <cfRule type="containsText" dxfId="5205" priority="398" operator="containsText" text="Púrpura">
      <formula>NOT(ISERROR(SEARCH("Púrpura",M92)))</formula>
    </cfRule>
    <cfRule type="containsText" dxfId="5204" priority="399" operator="containsText" text="Rosa">
      <formula>NOT(ISERROR(SEARCH("Rosa",M92)))</formula>
    </cfRule>
    <cfRule type="containsText" dxfId="5203" priority="400" operator="containsText" text="Castanho">
      <formula>NOT(ISERROR(SEARCH("Castanho",M92)))</formula>
    </cfRule>
    <cfRule type="containsText" dxfId="5202" priority="401" operator="containsText" text="Verde Água">
      <formula>NOT(ISERROR(SEARCH("Verde Água",M92)))</formula>
    </cfRule>
    <cfRule type="containsText" dxfId="5201" priority="402" operator="containsText" text="Azul Petróleo">
      <formula>NOT(ISERROR(SEARCH("Azul Petróleo",M92)))</formula>
    </cfRule>
    <cfRule type="containsText" dxfId="5200" priority="403" operator="containsText" text="Preto">
      <formula>NOT(ISERROR(SEARCH("Preto",M92)))</formula>
    </cfRule>
    <cfRule type="containsText" priority="404" operator="containsText" text="Branco">
      <formula>NOT(ISERROR(SEARCH("Branco",M92)))</formula>
    </cfRule>
    <cfRule type="containsText" dxfId="5199" priority="405" operator="containsText" text="Bege">
      <formula>NOT(ISERROR(SEARCH("Bege",M92)))</formula>
    </cfRule>
  </conditionalFormatting>
  <conditionalFormatting sqref="M92">
    <cfRule type="containsText" dxfId="5198" priority="388" operator="containsText" text="Cinza">
      <formula>NOT(ISERROR(SEARCH("Cinza",M92)))</formula>
    </cfRule>
    <cfRule type="containsText" dxfId="5197" priority="389" operator="containsText" text="Púrpura">
      <formula>NOT(ISERROR(SEARCH("Púrpura",M92)))</formula>
    </cfRule>
    <cfRule type="containsText" dxfId="5196" priority="390" operator="containsText" text="Rosa">
      <formula>NOT(ISERROR(SEARCH("Rosa",M92)))</formula>
    </cfRule>
    <cfRule type="containsText" dxfId="5195" priority="391" operator="containsText" text="Castanho">
      <formula>NOT(ISERROR(SEARCH("Castanho",M92)))</formula>
    </cfRule>
    <cfRule type="containsText" dxfId="5194" priority="392" operator="containsText" text="Verde Água">
      <formula>NOT(ISERROR(SEARCH("Verde Água",M92)))</formula>
    </cfRule>
    <cfRule type="containsText" dxfId="5193" priority="393" operator="containsText" text="Azul Petróleo">
      <formula>NOT(ISERROR(SEARCH("Azul Petróleo",M92)))</formula>
    </cfRule>
    <cfRule type="containsText" dxfId="5192" priority="394" operator="containsText" text="Preto">
      <formula>NOT(ISERROR(SEARCH("Preto",M92)))</formula>
    </cfRule>
    <cfRule type="containsText" priority="395" operator="containsText" text="Branco">
      <formula>NOT(ISERROR(SEARCH("Branco",M92)))</formula>
    </cfRule>
    <cfRule type="containsText" dxfId="5191" priority="396" operator="containsText" text="Bege">
      <formula>NOT(ISERROR(SEARCH("Bege",M92)))</formula>
    </cfRule>
  </conditionalFormatting>
  <conditionalFormatting sqref="M92">
    <cfRule type="containsText" dxfId="5190" priority="379" operator="containsText" text="Cinza">
      <formula>NOT(ISERROR(SEARCH("Cinza",M92)))</formula>
    </cfRule>
    <cfRule type="containsText" dxfId="5189" priority="380" operator="containsText" text="Púrpura">
      <formula>NOT(ISERROR(SEARCH("Púrpura",M92)))</formula>
    </cfRule>
    <cfRule type="containsText" dxfId="5188" priority="381" operator="containsText" text="Rosa">
      <formula>NOT(ISERROR(SEARCH("Rosa",M92)))</formula>
    </cfRule>
    <cfRule type="containsText" dxfId="5187" priority="382" operator="containsText" text="Castanho">
      <formula>NOT(ISERROR(SEARCH("Castanho",M92)))</formula>
    </cfRule>
    <cfRule type="containsText" dxfId="5186" priority="383" operator="containsText" text="Verde Água">
      <formula>NOT(ISERROR(SEARCH("Verde Água",M92)))</formula>
    </cfRule>
    <cfRule type="containsText" dxfId="5185" priority="384" operator="containsText" text="Azul Petróleo">
      <formula>NOT(ISERROR(SEARCH("Azul Petróleo",M92)))</formula>
    </cfRule>
    <cfRule type="containsText" dxfId="5184" priority="385" operator="containsText" text="Preto">
      <formula>NOT(ISERROR(SEARCH("Preto",M92)))</formula>
    </cfRule>
    <cfRule type="containsText" priority="386" operator="containsText" text="Branco">
      <formula>NOT(ISERROR(SEARCH("Branco",M92)))</formula>
    </cfRule>
    <cfRule type="containsText" dxfId="5183" priority="387" operator="containsText" text="Bege">
      <formula>NOT(ISERROR(SEARCH("Bege",M92)))</formula>
    </cfRule>
  </conditionalFormatting>
  <conditionalFormatting sqref="M92">
    <cfRule type="containsText" dxfId="5182" priority="370" operator="containsText" text="Cinza">
      <formula>NOT(ISERROR(SEARCH("Cinza",M92)))</formula>
    </cfRule>
    <cfRule type="containsText" dxfId="5181" priority="371" operator="containsText" text="Púrpura">
      <formula>NOT(ISERROR(SEARCH("Púrpura",M92)))</formula>
    </cfRule>
    <cfRule type="containsText" dxfId="5180" priority="372" operator="containsText" text="Rosa">
      <formula>NOT(ISERROR(SEARCH("Rosa",M92)))</formula>
    </cfRule>
    <cfRule type="containsText" dxfId="5179" priority="373" operator="containsText" text="Castanho">
      <formula>NOT(ISERROR(SEARCH("Castanho",M92)))</formula>
    </cfRule>
    <cfRule type="containsText" dxfId="5178" priority="374" operator="containsText" text="Verde Água">
      <formula>NOT(ISERROR(SEARCH("Verde Água",M92)))</formula>
    </cfRule>
    <cfRule type="containsText" dxfId="5177" priority="375" operator="containsText" text="Azul Petróleo">
      <formula>NOT(ISERROR(SEARCH("Azul Petróleo",M92)))</formula>
    </cfRule>
    <cfRule type="containsText" dxfId="5176" priority="376" operator="containsText" text="Preto">
      <formula>NOT(ISERROR(SEARCH("Preto",M92)))</formula>
    </cfRule>
    <cfRule type="containsText" priority="377" operator="containsText" text="Branco">
      <formula>NOT(ISERROR(SEARCH("Branco",M92)))</formula>
    </cfRule>
    <cfRule type="containsText" dxfId="5175" priority="378" operator="containsText" text="Bege">
      <formula>NOT(ISERROR(SEARCH("Bege",M92)))</formula>
    </cfRule>
  </conditionalFormatting>
  <conditionalFormatting sqref="M92">
    <cfRule type="containsText" dxfId="5174" priority="361" operator="containsText" text="Cinza">
      <formula>NOT(ISERROR(SEARCH("Cinza",M92)))</formula>
    </cfRule>
    <cfRule type="containsText" dxfId="5173" priority="362" operator="containsText" text="Púrpura">
      <formula>NOT(ISERROR(SEARCH("Púrpura",M92)))</formula>
    </cfRule>
    <cfRule type="containsText" dxfId="5172" priority="363" operator="containsText" text="Rosa">
      <formula>NOT(ISERROR(SEARCH("Rosa",M92)))</formula>
    </cfRule>
    <cfRule type="containsText" dxfId="5171" priority="364" operator="containsText" text="Castanho">
      <formula>NOT(ISERROR(SEARCH("Castanho",M92)))</formula>
    </cfRule>
    <cfRule type="containsText" dxfId="5170" priority="365" operator="containsText" text="Verde Água">
      <formula>NOT(ISERROR(SEARCH("Verde Água",M92)))</formula>
    </cfRule>
    <cfRule type="containsText" dxfId="5169" priority="366" operator="containsText" text="Azul Petróleo">
      <formula>NOT(ISERROR(SEARCH("Azul Petróleo",M92)))</formula>
    </cfRule>
    <cfRule type="containsText" dxfId="5168" priority="367" operator="containsText" text="Preto">
      <formula>NOT(ISERROR(SEARCH("Preto",M92)))</formula>
    </cfRule>
    <cfRule type="containsText" priority="368" operator="containsText" text="Branco">
      <formula>NOT(ISERROR(SEARCH("Branco",M92)))</formula>
    </cfRule>
    <cfRule type="containsText" dxfId="5167" priority="369" operator="containsText" text="Bege">
      <formula>NOT(ISERROR(SEARCH("Bege",M92)))</formula>
    </cfRule>
  </conditionalFormatting>
  <conditionalFormatting sqref="M92">
    <cfRule type="containsText" dxfId="5166" priority="352" operator="containsText" text="Cinza">
      <formula>NOT(ISERROR(SEARCH("Cinza",M92)))</formula>
    </cfRule>
    <cfRule type="containsText" dxfId="5165" priority="353" operator="containsText" text="Púrpura">
      <formula>NOT(ISERROR(SEARCH("Púrpura",M92)))</formula>
    </cfRule>
    <cfRule type="containsText" dxfId="5164" priority="354" operator="containsText" text="Rosa">
      <formula>NOT(ISERROR(SEARCH("Rosa",M92)))</formula>
    </cfRule>
    <cfRule type="containsText" dxfId="5163" priority="355" operator="containsText" text="Castanho">
      <formula>NOT(ISERROR(SEARCH("Castanho",M92)))</formula>
    </cfRule>
    <cfRule type="containsText" dxfId="5162" priority="356" operator="containsText" text="Verde Água">
      <formula>NOT(ISERROR(SEARCH("Verde Água",M92)))</formula>
    </cfRule>
    <cfRule type="containsText" dxfId="5161" priority="357" operator="containsText" text="Azul Petróleo">
      <formula>NOT(ISERROR(SEARCH("Azul Petróleo",M92)))</formula>
    </cfRule>
    <cfRule type="containsText" dxfId="5160" priority="358" operator="containsText" text="Preto">
      <formula>NOT(ISERROR(SEARCH("Preto",M92)))</formula>
    </cfRule>
    <cfRule type="containsText" priority="359" operator="containsText" text="Branco">
      <formula>NOT(ISERROR(SEARCH("Branco",M92)))</formula>
    </cfRule>
    <cfRule type="containsText" dxfId="5159" priority="360" operator="containsText" text="Bege">
      <formula>NOT(ISERROR(SEARCH("Bege",M92)))</formula>
    </cfRule>
  </conditionalFormatting>
  <conditionalFormatting sqref="M92">
    <cfRule type="containsText" dxfId="5158" priority="343" operator="containsText" text="Cinza">
      <formula>NOT(ISERROR(SEARCH("Cinza",M92)))</formula>
    </cfRule>
    <cfRule type="containsText" dxfId="5157" priority="344" operator="containsText" text="Púrpura">
      <formula>NOT(ISERROR(SEARCH("Púrpura",M92)))</formula>
    </cfRule>
    <cfRule type="containsText" dxfId="5156" priority="345" operator="containsText" text="Rosa">
      <formula>NOT(ISERROR(SEARCH("Rosa",M92)))</formula>
    </cfRule>
    <cfRule type="containsText" dxfId="5155" priority="346" operator="containsText" text="Castanho">
      <formula>NOT(ISERROR(SEARCH("Castanho",M92)))</formula>
    </cfRule>
    <cfRule type="containsText" dxfId="5154" priority="347" operator="containsText" text="Verde Água">
      <formula>NOT(ISERROR(SEARCH("Verde Água",M92)))</formula>
    </cfRule>
    <cfRule type="containsText" dxfId="5153" priority="348" operator="containsText" text="Azul Petróleo">
      <formula>NOT(ISERROR(SEARCH("Azul Petróleo",M92)))</formula>
    </cfRule>
    <cfRule type="containsText" dxfId="5152" priority="349" operator="containsText" text="Preto">
      <formula>NOT(ISERROR(SEARCH("Preto",M92)))</formula>
    </cfRule>
    <cfRule type="containsText" priority="350" operator="containsText" text="Branco">
      <formula>NOT(ISERROR(SEARCH("Branco",M92)))</formula>
    </cfRule>
    <cfRule type="containsText" dxfId="5151" priority="351" operator="containsText" text="Bege">
      <formula>NOT(ISERROR(SEARCH("Bege",M92)))</formula>
    </cfRule>
  </conditionalFormatting>
  <conditionalFormatting sqref="M92">
    <cfRule type="containsText" dxfId="5150" priority="334" operator="containsText" text="Cinza">
      <formula>NOT(ISERROR(SEARCH("Cinza",M92)))</formula>
    </cfRule>
    <cfRule type="containsText" dxfId="5149" priority="335" operator="containsText" text="Púrpura">
      <formula>NOT(ISERROR(SEARCH("Púrpura",M92)))</formula>
    </cfRule>
    <cfRule type="containsText" dxfId="5148" priority="336" operator="containsText" text="Rosa">
      <formula>NOT(ISERROR(SEARCH("Rosa",M92)))</formula>
    </cfRule>
    <cfRule type="containsText" dxfId="5147" priority="337" operator="containsText" text="Castanho">
      <formula>NOT(ISERROR(SEARCH("Castanho",M92)))</formula>
    </cfRule>
    <cfRule type="containsText" dxfId="5146" priority="338" operator="containsText" text="Verde Água">
      <formula>NOT(ISERROR(SEARCH("Verde Água",M92)))</formula>
    </cfRule>
    <cfRule type="containsText" dxfId="5145" priority="339" operator="containsText" text="Azul Petróleo">
      <formula>NOT(ISERROR(SEARCH("Azul Petróleo",M92)))</formula>
    </cfRule>
    <cfRule type="containsText" dxfId="5144" priority="340" operator="containsText" text="Preto">
      <formula>NOT(ISERROR(SEARCH("Preto",M92)))</formula>
    </cfRule>
    <cfRule type="containsText" priority="341" operator="containsText" text="Branco">
      <formula>NOT(ISERROR(SEARCH("Branco",M92)))</formula>
    </cfRule>
    <cfRule type="containsText" dxfId="5143" priority="342" operator="containsText" text="Bege">
      <formula>NOT(ISERROR(SEARCH("Bege",M92)))</formula>
    </cfRule>
  </conditionalFormatting>
  <conditionalFormatting sqref="M92">
    <cfRule type="containsText" dxfId="5142" priority="325" operator="containsText" text="Cinza">
      <formula>NOT(ISERROR(SEARCH("Cinza",M92)))</formula>
    </cfRule>
    <cfRule type="containsText" dxfId="5141" priority="326" operator="containsText" text="Púrpura">
      <formula>NOT(ISERROR(SEARCH("Púrpura",M92)))</formula>
    </cfRule>
    <cfRule type="containsText" dxfId="5140" priority="327" operator="containsText" text="Rosa">
      <formula>NOT(ISERROR(SEARCH("Rosa",M92)))</formula>
    </cfRule>
    <cfRule type="containsText" dxfId="5139" priority="328" operator="containsText" text="Castanho">
      <formula>NOT(ISERROR(SEARCH("Castanho",M92)))</formula>
    </cfRule>
    <cfRule type="containsText" dxfId="5138" priority="329" operator="containsText" text="Verde Água">
      <formula>NOT(ISERROR(SEARCH("Verde Água",M92)))</formula>
    </cfRule>
    <cfRule type="containsText" dxfId="5137" priority="330" operator="containsText" text="Azul Petróleo">
      <formula>NOT(ISERROR(SEARCH("Azul Petróleo",M92)))</formula>
    </cfRule>
    <cfRule type="containsText" dxfId="5136" priority="331" operator="containsText" text="Preto">
      <formula>NOT(ISERROR(SEARCH("Preto",M92)))</formula>
    </cfRule>
    <cfRule type="containsText" priority="332" operator="containsText" text="Branco">
      <formula>NOT(ISERROR(SEARCH("Branco",M92)))</formula>
    </cfRule>
    <cfRule type="containsText" dxfId="5135" priority="333" operator="containsText" text="Bege">
      <formula>NOT(ISERROR(SEARCH("Bege",M92)))</formula>
    </cfRule>
  </conditionalFormatting>
  <conditionalFormatting sqref="M92">
    <cfRule type="containsText" dxfId="5134" priority="316" operator="containsText" text="Cinza">
      <formula>NOT(ISERROR(SEARCH("Cinza",M92)))</formula>
    </cfRule>
    <cfRule type="containsText" dxfId="5133" priority="317" operator="containsText" text="Púrpura">
      <formula>NOT(ISERROR(SEARCH("Púrpura",M92)))</formula>
    </cfRule>
    <cfRule type="containsText" dxfId="5132" priority="318" operator="containsText" text="Rosa">
      <formula>NOT(ISERROR(SEARCH("Rosa",M92)))</formula>
    </cfRule>
    <cfRule type="containsText" dxfId="5131" priority="319" operator="containsText" text="Castanho">
      <formula>NOT(ISERROR(SEARCH("Castanho",M92)))</formula>
    </cfRule>
    <cfRule type="containsText" dxfId="5130" priority="320" operator="containsText" text="Verde Água">
      <formula>NOT(ISERROR(SEARCH("Verde Água",M92)))</formula>
    </cfRule>
    <cfRule type="containsText" dxfId="5129" priority="321" operator="containsText" text="Azul Petróleo">
      <formula>NOT(ISERROR(SEARCH("Azul Petróleo",M92)))</formula>
    </cfRule>
    <cfRule type="containsText" dxfId="5128" priority="322" operator="containsText" text="Preto">
      <formula>NOT(ISERROR(SEARCH("Preto",M92)))</formula>
    </cfRule>
    <cfRule type="containsText" priority="323" operator="containsText" text="Branco">
      <formula>NOT(ISERROR(SEARCH("Branco",M92)))</formula>
    </cfRule>
    <cfRule type="containsText" dxfId="5127" priority="324" operator="containsText" text="Bege">
      <formula>NOT(ISERROR(SEARCH("Bege",M92)))</formula>
    </cfRule>
  </conditionalFormatting>
  <conditionalFormatting sqref="M92">
    <cfRule type="containsText" dxfId="5126" priority="307" operator="containsText" text="Cinza">
      <formula>NOT(ISERROR(SEARCH("Cinza",M92)))</formula>
    </cfRule>
    <cfRule type="containsText" dxfId="5125" priority="308" operator="containsText" text="Púrpura">
      <formula>NOT(ISERROR(SEARCH("Púrpura",M92)))</formula>
    </cfRule>
    <cfRule type="containsText" dxfId="5124" priority="309" operator="containsText" text="Rosa">
      <formula>NOT(ISERROR(SEARCH("Rosa",M92)))</formula>
    </cfRule>
    <cfRule type="containsText" dxfId="5123" priority="310" operator="containsText" text="Castanho">
      <formula>NOT(ISERROR(SEARCH("Castanho",M92)))</formula>
    </cfRule>
    <cfRule type="containsText" dxfId="5122" priority="311" operator="containsText" text="Verde Água">
      <formula>NOT(ISERROR(SEARCH("Verde Água",M92)))</formula>
    </cfRule>
    <cfRule type="containsText" dxfId="5121" priority="312" operator="containsText" text="Azul Petróleo">
      <formula>NOT(ISERROR(SEARCH("Azul Petróleo",M92)))</formula>
    </cfRule>
    <cfRule type="containsText" dxfId="5120" priority="313" operator="containsText" text="Preto">
      <formula>NOT(ISERROR(SEARCH("Preto",M92)))</formula>
    </cfRule>
    <cfRule type="containsText" priority="314" operator="containsText" text="Branco">
      <formula>NOT(ISERROR(SEARCH("Branco",M92)))</formula>
    </cfRule>
    <cfRule type="containsText" dxfId="5119" priority="315" operator="containsText" text="Bege">
      <formula>NOT(ISERROR(SEARCH("Bege",M92)))</formula>
    </cfRule>
  </conditionalFormatting>
  <conditionalFormatting sqref="M92">
    <cfRule type="containsText" dxfId="5118" priority="298" operator="containsText" text="Cinza">
      <formula>NOT(ISERROR(SEARCH("Cinza",M92)))</formula>
    </cfRule>
    <cfRule type="containsText" dxfId="5117" priority="299" operator="containsText" text="Púrpura">
      <formula>NOT(ISERROR(SEARCH("Púrpura",M92)))</formula>
    </cfRule>
    <cfRule type="containsText" dxfId="5116" priority="300" operator="containsText" text="Rosa">
      <formula>NOT(ISERROR(SEARCH("Rosa",M92)))</formula>
    </cfRule>
    <cfRule type="containsText" dxfId="5115" priority="301" operator="containsText" text="Castanho">
      <formula>NOT(ISERROR(SEARCH("Castanho",M92)))</formula>
    </cfRule>
    <cfRule type="containsText" dxfId="5114" priority="302" operator="containsText" text="Verde Água">
      <formula>NOT(ISERROR(SEARCH("Verde Água",M92)))</formula>
    </cfRule>
    <cfRule type="containsText" dxfId="5113" priority="303" operator="containsText" text="Azul Petróleo">
      <formula>NOT(ISERROR(SEARCH("Azul Petróleo",M92)))</formula>
    </cfRule>
    <cfRule type="containsText" dxfId="5112" priority="304" operator="containsText" text="Preto">
      <formula>NOT(ISERROR(SEARCH("Preto",M92)))</formula>
    </cfRule>
    <cfRule type="containsText" priority="305" operator="containsText" text="Branco">
      <formula>NOT(ISERROR(SEARCH("Branco",M92)))</formula>
    </cfRule>
    <cfRule type="containsText" dxfId="5111" priority="306" operator="containsText" text="Bege">
      <formula>NOT(ISERROR(SEARCH("Bege",M92)))</formula>
    </cfRule>
  </conditionalFormatting>
  <conditionalFormatting sqref="M92">
    <cfRule type="containsText" dxfId="5110" priority="289" operator="containsText" text="Cinza">
      <formula>NOT(ISERROR(SEARCH("Cinza",M92)))</formula>
    </cfRule>
    <cfRule type="containsText" dxfId="5109" priority="290" operator="containsText" text="Púrpura">
      <formula>NOT(ISERROR(SEARCH("Púrpura",M92)))</formula>
    </cfRule>
    <cfRule type="containsText" dxfId="5108" priority="291" operator="containsText" text="Rosa">
      <formula>NOT(ISERROR(SEARCH("Rosa",M92)))</formula>
    </cfRule>
    <cfRule type="containsText" dxfId="5107" priority="292" operator="containsText" text="Castanho">
      <formula>NOT(ISERROR(SEARCH("Castanho",M92)))</formula>
    </cfRule>
    <cfRule type="containsText" dxfId="5106" priority="293" operator="containsText" text="Verde Água">
      <formula>NOT(ISERROR(SEARCH("Verde Água",M92)))</formula>
    </cfRule>
    <cfRule type="containsText" dxfId="5105" priority="294" operator="containsText" text="Azul Petróleo">
      <formula>NOT(ISERROR(SEARCH("Azul Petróleo",M92)))</formula>
    </cfRule>
    <cfRule type="containsText" dxfId="5104" priority="295" operator="containsText" text="Preto">
      <formula>NOT(ISERROR(SEARCH("Preto",M92)))</formula>
    </cfRule>
    <cfRule type="containsText" priority="296" operator="containsText" text="Branco">
      <formula>NOT(ISERROR(SEARCH("Branco",M92)))</formula>
    </cfRule>
    <cfRule type="containsText" dxfId="5103" priority="297" operator="containsText" text="Bege">
      <formula>NOT(ISERROR(SEARCH("Bege",M92)))</formula>
    </cfRule>
  </conditionalFormatting>
  <conditionalFormatting sqref="M92">
    <cfRule type="containsText" dxfId="5102" priority="280" operator="containsText" text="Cinza">
      <formula>NOT(ISERROR(SEARCH("Cinza",M92)))</formula>
    </cfRule>
    <cfRule type="containsText" dxfId="5101" priority="281" operator="containsText" text="Púrpura">
      <formula>NOT(ISERROR(SEARCH("Púrpura",M92)))</formula>
    </cfRule>
    <cfRule type="containsText" dxfId="5100" priority="282" operator="containsText" text="Rosa">
      <formula>NOT(ISERROR(SEARCH("Rosa",M92)))</formula>
    </cfRule>
    <cfRule type="containsText" dxfId="5099" priority="283" operator="containsText" text="Castanho">
      <formula>NOT(ISERROR(SEARCH("Castanho",M92)))</formula>
    </cfRule>
    <cfRule type="containsText" dxfId="5098" priority="284" operator="containsText" text="Verde Água">
      <formula>NOT(ISERROR(SEARCH("Verde Água",M92)))</formula>
    </cfRule>
    <cfRule type="containsText" dxfId="5097" priority="285" operator="containsText" text="Azul Petróleo">
      <formula>NOT(ISERROR(SEARCH("Azul Petróleo",M92)))</formula>
    </cfRule>
    <cfRule type="containsText" dxfId="5096" priority="286" operator="containsText" text="Preto">
      <formula>NOT(ISERROR(SEARCH("Preto",M92)))</formula>
    </cfRule>
    <cfRule type="containsText" priority="287" operator="containsText" text="Branco">
      <formula>NOT(ISERROR(SEARCH("Branco",M92)))</formula>
    </cfRule>
    <cfRule type="containsText" dxfId="5095" priority="288" operator="containsText" text="Bege">
      <formula>NOT(ISERROR(SEARCH("Bege",M92)))</formula>
    </cfRule>
  </conditionalFormatting>
  <conditionalFormatting sqref="M92">
    <cfRule type="containsText" dxfId="5094" priority="271" operator="containsText" text="Cinza">
      <formula>NOT(ISERROR(SEARCH("Cinza",M92)))</formula>
    </cfRule>
    <cfRule type="containsText" dxfId="5093" priority="272" operator="containsText" text="Púrpura">
      <formula>NOT(ISERROR(SEARCH("Púrpura",M92)))</formula>
    </cfRule>
    <cfRule type="containsText" dxfId="5092" priority="273" operator="containsText" text="Rosa">
      <formula>NOT(ISERROR(SEARCH("Rosa",M92)))</formula>
    </cfRule>
    <cfRule type="containsText" dxfId="5091" priority="274" operator="containsText" text="Castanho">
      <formula>NOT(ISERROR(SEARCH("Castanho",M92)))</formula>
    </cfRule>
    <cfRule type="containsText" dxfId="5090" priority="275" operator="containsText" text="Verde Água">
      <formula>NOT(ISERROR(SEARCH("Verde Água",M92)))</formula>
    </cfRule>
    <cfRule type="containsText" dxfId="5089" priority="276" operator="containsText" text="Azul Petróleo">
      <formula>NOT(ISERROR(SEARCH("Azul Petróleo",M92)))</formula>
    </cfRule>
    <cfRule type="containsText" dxfId="5088" priority="277" operator="containsText" text="Preto">
      <formula>NOT(ISERROR(SEARCH("Preto",M92)))</formula>
    </cfRule>
    <cfRule type="containsText" priority="278" operator="containsText" text="Branco">
      <formula>NOT(ISERROR(SEARCH("Branco",M92)))</formula>
    </cfRule>
    <cfRule type="containsText" dxfId="5087" priority="279" operator="containsText" text="Bege">
      <formula>NOT(ISERROR(SEARCH("Bege",M92)))</formula>
    </cfRule>
  </conditionalFormatting>
  <conditionalFormatting sqref="M92">
    <cfRule type="containsText" dxfId="5086" priority="262" operator="containsText" text="Cinza">
      <formula>NOT(ISERROR(SEARCH("Cinza",M92)))</formula>
    </cfRule>
    <cfRule type="containsText" dxfId="5085" priority="263" operator="containsText" text="Púrpura">
      <formula>NOT(ISERROR(SEARCH("Púrpura",M92)))</formula>
    </cfRule>
    <cfRule type="containsText" dxfId="5084" priority="264" operator="containsText" text="Rosa">
      <formula>NOT(ISERROR(SEARCH("Rosa",M92)))</formula>
    </cfRule>
    <cfRule type="containsText" dxfId="5083" priority="265" operator="containsText" text="Castanho">
      <formula>NOT(ISERROR(SEARCH("Castanho",M92)))</formula>
    </cfRule>
    <cfRule type="containsText" dxfId="5082" priority="266" operator="containsText" text="Verde Água">
      <formula>NOT(ISERROR(SEARCH("Verde Água",M92)))</formula>
    </cfRule>
    <cfRule type="containsText" dxfId="5081" priority="267" operator="containsText" text="Azul Petróleo">
      <formula>NOT(ISERROR(SEARCH("Azul Petróleo",M92)))</formula>
    </cfRule>
    <cfRule type="containsText" dxfId="5080" priority="268" operator="containsText" text="Preto">
      <formula>NOT(ISERROR(SEARCH("Preto",M92)))</formula>
    </cfRule>
    <cfRule type="containsText" priority="269" operator="containsText" text="Branco">
      <formula>NOT(ISERROR(SEARCH("Branco",M92)))</formula>
    </cfRule>
    <cfRule type="containsText" dxfId="5079" priority="270" operator="containsText" text="Bege">
      <formula>NOT(ISERROR(SEARCH("Bege",M92)))</formula>
    </cfRule>
  </conditionalFormatting>
  <conditionalFormatting sqref="M92">
    <cfRule type="containsText" dxfId="5078" priority="253" operator="containsText" text="Cinza">
      <formula>NOT(ISERROR(SEARCH("Cinza",M92)))</formula>
    </cfRule>
    <cfRule type="containsText" dxfId="5077" priority="254" operator="containsText" text="Púrpura">
      <formula>NOT(ISERROR(SEARCH("Púrpura",M92)))</formula>
    </cfRule>
    <cfRule type="containsText" dxfId="5076" priority="255" operator="containsText" text="Rosa">
      <formula>NOT(ISERROR(SEARCH("Rosa",M92)))</formula>
    </cfRule>
    <cfRule type="containsText" dxfId="5075" priority="256" operator="containsText" text="Castanho">
      <formula>NOT(ISERROR(SEARCH("Castanho",M92)))</formula>
    </cfRule>
    <cfRule type="containsText" dxfId="5074" priority="257" operator="containsText" text="Verde Água">
      <formula>NOT(ISERROR(SEARCH("Verde Água",M92)))</formula>
    </cfRule>
    <cfRule type="containsText" dxfId="5073" priority="258" operator="containsText" text="Azul Petróleo">
      <formula>NOT(ISERROR(SEARCH("Azul Petróleo",M92)))</formula>
    </cfRule>
    <cfRule type="containsText" dxfId="5072" priority="259" operator="containsText" text="Preto">
      <formula>NOT(ISERROR(SEARCH("Preto",M92)))</formula>
    </cfRule>
    <cfRule type="containsText" priority="260" operator="containsText" text="Branco">
      <formula>NOT(ISERROR(SEARCH("Branco",M92)))</formula>
    </cfRule>
    <cfRule type="containsText" dxfId="5071" priority="261" operator="containsText" text="Bege">
      <formula>NOT(ISERROR(SEARCH("Bege",M92)))</formula>
    </cfRule>
  </conditionalFormatting>
  <conditionalFormatting sqref="M92">
    <cfRule type="containsText" dxfId="5070" priority="244" operator="containsText" text="Cinza">
      <formula>NOT(ISERROR(SEARCH("Cinza",M92)))</formula>
    </cfRule>
    <cfRule type="containsText" dxfId="5069" priority="245" operator="containsText" text="Púrpura">
      <formula>NOT(ISERROR(SEARCH("Púrpura",M92)))</formula>
    </cfRule>
    <cfRule type="containsText" dxfId="5068" priority="246" operator="containsText" text="Rosa">
      <formula>NOT(ISERROR(SEARCH("Rosa",M92)))</formula>
    </cfRule>
    <cfRule type="containsText" dxfId="5067" priority="247" operator="containsText" text="Castanho">
      <formula>NOT(ISERROR(SEARCH("Castanho",M92)))</formula>
    </cfRule>
    <cfRule type="containsText" dxfId="5066" priority="248" operator="containsText" text="Verde Água">
      <formula>NOT(ISERROR(SEARCH("Verde Água",M92)))</formula>
    </cfRule>
    <cfRule type="containsText" dxfId="5065" priority="249" operator="containsText" text="Azul Petróleo">
      <formula>NOT(ISERROR(SEARCH("Azul Petróleo",M92)))</formula>
    </cfRule>
    <cfRule type="containsText" dxfId="5064" priority="250" operator="containsText" text="Preto">
      <formula>NOT(ISERROR(SEARCH("Preto",M92)))</formula>
    </cfRule>
    <cfRule type="containsText" priority="251" operator="containsText" text="Branco">
      <formula>NOT(ISERROR(SEARCH("Branco",M92)))</formula>
    </cfRule>
    <cfRule type="containsText" dxfId="5063" priority="252" operator="containsText" text="Bege">
      <formula>NOT(ISERROR(SEARCH("Bege",M92)))</formula>
    </cfRule>
  </conditionalFormatting>
  <conditionalFormatting sqref="M92">
    <cfRule type="containsText" dxfId="5062" priority="235" operator="containsText" text="Cinza">
      <formula>NOT(ISERROR(SEARCH("Cinza",M92)))</formula>
    </cfRule>
    <cfRule type="containsText" dxfId="5061" priority="236" operator="containsText" text="Púrpura">
      <formula>NOT(ISERROR(SEARCH("Púrpura",M92)))</formula>
    </cfRule>
    <cfRule type="containsText" dxfId="5060" priority="237" operator="containsText" text="Rosa">
      <formula>NOT(ISERROR(SEARCH("Rosa",M92)))</formula>
    </cfRule>
    <cfRule type="containsText" dxfId="5059" priority="238" operator="containsText" text="Castanho">
      <formula>NOT(ISERROR(SEARCH("Castanho",M92)))</formula>
    </cfRule>
    <cfRule type="containsText" dxfId="5058" priority="239" operator="containsText" text="Verde Água">
      <formula>NOT(ISERROR(SEARCH("Verde Água",M92)))</formula>
    </cfRule>
    <cfRule type="containsText" dxfId="5057" priority="240" operator="containsText" text="Azul Petróleo">
      <formula>NOT(ISERROR(SEARCH("Azul Petróleo",M92)))</formula>
    </cfRule>
    <cfRule type="containsText" dxfId="5056" priority="241" operator="containsText" text="Preto">
      <formula>NOT(ISERROR(SEARCH("Preto",M92)))</formula>
    </cfRule>
    <cfRule type="containsText" priority="242" operator="containsText" text="Branco">
      <formula>NOT(ISERROR(SEARCH("Branco",M92)))</formula>
    </cfRule>
    <cfRule type="containsText" dxfId="5055" priority="243" operator="containsText" text="Bege">
      <formula>NOT(ISERROR(SEARCH("Bege",M92)))</formula>
    </cfRule>
  </conditionalFormatting>
  <conditionalFormatting sqref="M92">
    <cfRule type="containsText" dxfId="5054" priority="226" operator="containsText" text="Cinza">
      <formula>NOT(ISERROR(SEARCH("Cinza",M92)))</formula>
    </cfRule>
    <cfRule type="containsText" dxfId="5053" priority="227" operator="containsText" text="Púrpura">
      <formula>NOT(ISERROR(SEARCH("Púrpura",M92)))</formula>
    </cfRule>
    <cfRule type="containsText" dxfId="5052" priority="228" operator="containsText" text="Rosa">
      <formula>NOT(ISERROR(SEARCH("Rosa",M92)))</formula>
    </cfRule>
    <cfRule type="containsText" dxfId="5051" priority="229" operator="containsText" text="Castanho">
      <formula>NOT(ISERROR(SEARCH("Castanho",M92)))</formula>
    </cfRule>
    <cfRule type="containsText" dxfId="5050" priority="230" operator="containsText" text="Verde Água">
      <formula>NOT(ISERROR(SEARCH("Verde Água",M92)))</formula>
    </cfRule>
    <cfRule type="containsText" dxfId="5049" priority="231" operator="containsText" text="Azul Petróleo">
      <formula>NOT(ISERROR(SEARCH("Azul Petróleo",M92)))</formula>
    </cfRule>
    <cfRule type="containsText" dxfId="5048" priority="232" operator="containsText" text="Preto">
      <formula>NOT(ISERROR(SEARCH("Preto",M92)))</formula>
    </cfRule>
    <cfRule type="containsText" priority="233" operator="containsText" text="Branco">
      <formula>NOT(ISERROR(SEARCH("Branco",M92)))</formula>
    </cfRule>
    <cfRule type="containsText" dxfId="5047" priority="234" operator="containsText" text="Bege">
      <formula>NOT(ISERROR(SEARCH("Bege",M92)))</formula>
    </cfRule>
  </conditionalFormatting>
  <conditionalFormatting sqref="M92">
    <cfRule type="containsText" dxfId="5046" priority="217" operator="containsText" text="Cinza">
      <formula>NOT(ISERROR(SEARCH("Cinza",M92)))</formula>
    </cfRule>
    <cfRule type="containsText" dxfId="5045" priority="218" operator="containsText" text="Púrpura">
      <formula>NOT(ISERROR(SEARCH("Púrpura",M92)))</formula>
    </cfRule>
    <cfRule type="containsText" dxfId="5044" priority="219" operator="containsText" text="Rosa">
      <formula>NOT(ISERROR(SEARCH("Rosa",M92)))</formula>
    </cfRule>
    <cfRule type="containsText" dxfId="5043" priority="220" operator="containsText" text="Castanho">
      <formula>NOT(ISERROR(SEARCH("Castanho",M92)))</formula>
    </cfRule>
    <cfRule type="containsText" dxfId="5042" priority="221" operator="containsText" text="Verde Água">
      <formula>NOT(ISERROR(SEARCH("Verde Água",M92)))</formula>
    </cfRule>
    <cfRule type="containsText" dxfId="5041" priority="222" operator="containsText" text="Azul Petróleo">
      <formula>NOT(ISERROR(SEARCH("Azul Petróleo",M92)))</formula>
    </cfRule>
    <cfRule type="containsText" dxfId="5040" priority="223" operator="containsText" text="Preto">
      <formula>NOT(ISERROR(SEARCH("Preto",M92)))</formula>
    </cfRule>
    <cfRule type="containsText" priority="224" operator="containsText" text="Branco">
      <formula>NOT(ISERROR(SEARCH("Branco",M92)))</formula>
    </cfRule>
    <cfRule type="containsText" dxfId="5039" priority="225" operator="containsText" text="Bege">
      <formula>NOT(ISERROR(SEARCH("Bege",M92)))</formula>
    </cfRule>
  </conditionalFormatting>
  <conditionalFormatting sqref="M92">
    <cfRule type="containsText" dxfId="5038" priority="208" operator="containsText" text="Cinza">
      <formula>NOT(ISERROR(SEARCH("Cinza",M92)))</formula>
    </cfRule>
    <cfRule type="containsText" dxfId="5037" priority="209" operator="containsText" text="Púrpura">
      <formula>NOT(ISERROR(SEARCH("Púrpura",M92)))</formula>
    </cfRule>
    <cfRule type="containsText" dxfId="5036" priority="210" operator="containsText" text="Rosa">
      <formula>NOT(ISERROR(SEARCH("Rosa",M92)))</formula>
    </cfRule>
    <cfRule type="containsText" dxfId="5035" priority="211" operator="containsText" text="Castanho">
      <formula>NOT(ISERROR(SEARCH("Castanho",M92)))</formula>
    </cfRule>
    <cfRule type="containsText" dxfId="5034" priority="212" operator="containsText" text="Verde Água">
      <formula>NOT(ISERROR(SEARCH("Verde Água",M92)))</formula>
    </cfRule>
    <cfRule type="containsText" dxfId="5033" priority="213" operator="containsText" text="Azul Petróleo">
      <formula>NOT(ISERROR(SEARCH("Azul Petróleo",M92)))</formula>
    </cfRule>
    <cfRule type="containsText" dxfId="5032" priority="214" operator="containsText" text="Preto">
      <formula>NOT(ISERROR(SEARCH("Preto",M92)))</formula>
    </cfRule>
    <cfRule type="containsText" priority="215" operator="containsText" text="Branco">
      <formula>NOT(ISERROR(SEARCH("Branco",M92)))</formula>
    </cfRule>
    <cfRule type="containsText" dxfId="5031" priority="216" operator="containsText" text="Bege">
      <formula>NOT(ISERROR(SEARCH("Bege",M92)))</formula>
    </cfRule>
  </conditionalFormatting>
  <conditionalFormatting sqref="M92">
    <cfRule type="containsText" dxfId="5030" priority="199" operator="containsText" text="Cinza">
      <formula>NOT(ISERROR(SEARCH("Cinza",M92)))</formula>
    </cfRule>
    <cfRule type="containsText" dxfId="5029" priority="200" operator="containsText" text="Púrpura">
      <formula>NOT(ISERROR(SEARCH("Púrpura",M92)))</formula>
    </cfRule>
    <cfRule type="containsText" dxfId="5028" priority="201" operator="containsText" text="Rosa">
      <formula>NOT(ISERROR(SEARCH("Rosa",M92)))</formula>
    </cfRule>
    <cfRule type="containsText" dxfId="5027" priority="202" operator="containsText" text="Castanho">
      <formula>NOT(ISERROR(SEARCH("Castanho",M92)))</formula>
    </cfRule>
    <cfRule type="containsText" dxfId="5026" priority="203" operator="containsText" text="Verde Água">
      <formula>NOT(ISERROR(SEARCH("Verde Água",M92)))</formula>
    </cfRule>
    <cfRule type="containsText" dxfId="5025" priority="204" operator="containsText" text="Azul Petróleo">
      <formula>NOT(ISERROR(SEARCH("Azul Petróleo",M92)))</formula>
    </cfRule>
    <cfRule type="containsText" dxfId="5024" priority="205" operator="containsText" text="Preto">
      <formula>NOT(ISERROR(SEARCH("Preto",M92)))</formula>
    </cfRule>
    <cfRule type="containsText" priority="206" operator="containsText" text="Branco">
      <formula>NOT(ISERROR(SEARCH("Branco",M92)))</formula>
    </cfRule>
    <cfRule type="containsText" dxfId="5023" priority="207" operator="containsText" text="Bege">
      <formula>NOT(ISERROR(SEARCH("Bege",M92)))</formula>
    </cfRule>
  </conditionalFormatting>
  <conditionalFormatting sqref="M92">
    <cfRule type="containsText" dxfId="5022" priority="190" operator="containsText" text="Cinza">
      <formula>NOT(ISERROR(SEARCH("Cinza",M92)))</formula>
    </cfRule>
    <cfRule type="containsText" dxfId="5021" priority="191" operator="containsText" text="Púrpura">
      <formula>NOT(ISERROR(SEARCH("Púrpura",M92)))</formula>
    </cfRule>
    <cfRule type="containsText" dxfId="5020" priority="192" operator="containsText" text="Rosa">
      <formula>NOT(ISERROR(SEARCH("Rosa",M92)))</formula>
    </cfRule>
    <cfRule type="containsText" dxfId="5019" priority="193" operator="containsText" text="Castanho">
      <formula>NOT(ISERROR(SEARCH("Castanho",M92)))</formula>
    </cfRule>
    <cfRule type="containsText" dxfId="5018" priority="194" operator="containsText" text="Verde Água">
      <formula>NOT(ISERROR(SEARCH("Verde Água",M92)))</formula>
    </cfRule>
    <cfRule type="containsText" dxfId="5017" priority="195" operator="containsText" text="Azul Petróleo">
      <formula>NOT(ISERROR(SEARCH("Azul Petróleo",M92)))</formula>
    </cfRule>
    <cfRule type="containsText" dxfId="5016" priority="196" operator="containsText" text="Preto">
      <formula>NOT(ISERROR(SEARCH("Preto",M92)))</formula>
    </cfRule>
    <cfRule type="containsText" priority="197" operator="containsText" text="Branco">
      <formula>NOT(ISERROR(SEARCH("Branco",M92)))</formula>
    </cfRule>
    <cfRule type="containsText" dxfId="5015" priority="198" operator="containsText" text="Bege">
      <formula>NOT(ISERROR(SEARCH("Bege",M92)))</formula>
    </cfRule>
  </conditionalFormatting>
  <conditionalFormatting sqref="M92">
    <cfRule type="containsText" dxfId="5014" priority="181" operator="containsText" text="Cinza">
      <formula>NOT(ISERROR(SEARCH("Cinza",M92)))</formula>
    </cfRule>
    <cfRule type="containsText" dxfId="5013" priority="182" operator="containsText" text="Púrpura">
      <formula>NOT(ISERROR(SEARCH("Púrpura",M92)))</formula>
    </cfRule>
    <cfRule type="containsText" dxfId="5012" priority="183" operator="containsText" text="Rosa">
      <formula>NOT(ISERROR(SEARCH("Rosa",M92)))</formula>
    </cfRule>
    <cfRule type="containsText" dxfId="5011" priority="184" operator="containsText" text="Castanho">
      <formula>NOT(ISERROR(SEARCH("Castanho",M92)))</formula>
    </cfRule>
    <cfRule type="containsText" dxfId="5010" priority="185" operator="containsText" text="Verde Água">
      <formula>NOT(ISERROR(SEARCH("Verde Água",M92)))</formula>
    </cfRule>
    <cfRule type="containsText" dxfId="5009" priority="186" operator="containsText" text="Azul Petróleo">
      <formula>NOT(ISERROR(SEARCH("Azul Petróleo",M92)))</formula>
    </cfRule>
    <cfRule type="containsText" dxfId="5008" priority="187" operator="containsText" text="Preto">
      <formula>NOT(ISERROR(SEARCH("Preto",M92)))</formula>
    </cfRule>
    <cfRule type="containsText" priority="188" operator="containsText" text="Branco">
      <formula>NOT(ISERROR(SEARCH("Branco",M92)))</formula>
    </cfRule>
    <cfRule type="containsText" dxfId="5007" priority="189" operator="containsText" text="Bege">
      <formula>NOT(ISERROR(SEARCH("Bege",M92)))</formula>
    </cfRule>
  </conditionalFormatting>
  <conditionalFormatting sqref="M92">
    <cfRule type="containsText" dxfId="5006" priority="172" operator="containsText" text="Cinza">
      <formula>NOT(ISERROR(SEARCH("Cinza",M92)))</formula>
    </cfRule>
    <cfRule type="containsText" dxfId="5005" priority="173" operator="containsText" text="Púrpura">
      <formula>NOT(ISERROR(SEARCH("Púrpura",M92)))</formula>
    </cfRule>
    <cfRule type="containsText" dxfId="5004" priority="174" operator="containsText" text="Rosa">
      <formula>NOT(ISERROR(SEARCH("Rosa",M92)))</formula>
    </cfRule>
    <cfRule type="containsText" dxfId="5003" priority="175" operator="containsText" text="Castanho">
      <formula>NOT(ISERROR(SEARCH("Castanho",M92)))</formula>
    </cfRule>
    <cfRule type="containsText" dxfId="5002" priority="176" operator="containsText" text="Verde Água">
      <formula>NOT(ISERROR(SEARCH("Verde Água",M92)))</formula>
    </cfRule>
    <cfRule type="containsText" dxfId="5001" priority="177" operator="containsText" text="Azul Petróleo">
      <formula>NOT(ISERROR(SEARCH("Azul Petróleo",M92)))</formula>
    </cfRule>
    <cfRule type="containsText" dxfId="5000" priority="178" operator="containsText" text="Preto">
      <formula>NOT(ISERROR(SEARCH("Preto",M92)))</formula>
    </cfRule>
    <cfRule type="containsText" priority="179" operator="containsText" text="Branco">
      <formula>NOT(ISERROR(SEARCH("Branco",M92)))</formula>
    </cfRule>
    <cfRule type="containsText" dxfId="4999" priority="180" operator="containsText" text="Bege">
      <formula>NOT(ISERROR(SEARCH("Bege",M92)))</formula>
    </cfRule>
  </conditionalFormatting>
  <conditionalFormatting sqref="M92">
    <cfRule type="containsText" dxfId="4998" priority="163" operator="containsText" text="Cinza">
      <formula>NOT(ISERROR(SEARCH("Cinza",M92)))</formula>
    </cfRule>
    <cfRule type="containsText" dxfId="4997" priority="164" operator="containsText" text="Púrpura">
      <formula>NOT(ISERROR(SEARCH("Púrpura",M92)))</formula>
    </cfRule>
    <cfRule type="containsText" dxfId="4996" priority="165" operator="containsText" text="Rosa">
      <formula>NOT(ISERROR(SEARCH("Rosa",M92)))</formula>
    </cfRule>
    <cfRule type="containsText" dxfId="4995" priority="166" operator="containsText" text="Castanho">
      <formula>NOT(ISERROR(SEARCH("Castanho",M92)))</formula>
    </cfRule>
    <cfRule type="containsText" dxfId="4994" priority="167" operator="containsText" text="Verde Água">
      <formula>NOT(ISERROR(SEARCH("Verde Água",M92)))</formula>
    </cfRule>
    <cfRule type="containsText" dxfId="4993" priority="168" operator="containsText" text="Azul Petróleo">
      <formula>NOT(ISERROR(SEARCH("Azul Petróleo",M92)))</formula>
    </cfRule>
    <cfRule type="containsText" dxfId="4992" priority="169" operator="containsText" text="Preto">
      <formula>NOT(ISERROR(SEARCH("Preto",M92)))</formula>
    </cfRule>
    <cfRule type="containsText" priority="170" operator="containsText" text="Branco">
      <formula>NOT(ISERROR(SEARCH("Branco",M92)))</formula>
    </cfRule>
    <cfRule type="containsText" dxfId="4991" priority="171" operator="containsText" text="Bege">
      <formula>NOT(ISERROR(SEARCH("Bege",M92)))</formula>
    </cfRule>
  </conditionalFormatting>
  <conditionalFormatting sqref="M92">
    <cfRule type="containsText" dxfId="4990" priority="154" operator="containsText" text="Cinza">
      <formula>NOT(ISERROR(SEARCH("Cinza",M92)))</formula>
    </cfRule>
    <cfRule type="containsText" dxfId="4989" priority="155" operator="containsText" text="Púrpura">
      <formula>NOT(ISERROR(SEARCH("Púrpura",M92)))</formula>
    </cfRule>
    <cfRule type="containsText" dxfId="4988" priority="156" operator="containsText" text="Rosa">
      <formula>NOT(ISERROR(SEARCH("Rosa",M92)))</formula>
    </cfRule>
    <cfRule type="containsText" dxfId="4987" priority="157" operator="containsText" text="Castanho">
      <formula>NOT(ISERROR(SEARCH("Castanho",M92)))</formula>
    </cfRule>
    <cfRule type="containsText" dxfId="4986" priority="158" operator="containsText" text="Verde Água">
      <formula>NOT(ISERROR(SEARCH("Verde Água",M92)))</formula>
    </cfRule>
    <cfRule type="containsText" dxfId="4985" priority="159" operator="containsText" text="Azul Petróleo">
      <formula>NOT(ISERROR(SEARCH("Azul Petróleo",M92)))</formula>
    </cfRule>
    <cfRule type="containsText" dxfId="4984" priority="160" operator="containsText" text="Preto">
      <formula>NOT(ISERROR(SEARCH("Preto",M92)))</formula>
    </cfRule>
    <cfRule type="containsText" priority="161" operator="containsText" text="Branco">
      <formula>NOT(ISERROR(SEARCH("Branco",M92)))</formula>
    </cfRule>
    <cfRule type="containsText" dxfId="4983" priority="162" operator="containsText" text="Bege">
      <formula>NOT(ISERROR(SEARCH("Bege",M92)))</formula>
    </cfRule>
  </conditionalFormatting>
  <conditionalFormatting sqref="M92">
    <cfRule type="containsText" dxfId="4982" priority="145" operator="containsText" text="Cinza">
      <formula>NOT(ISERROR(SEARCH("Cinza",M92)))</formula>
    </cfRule>
    <cfRule type="containsText" dxfId="4981" priority="146" operator="containsText" text="Púrpura">
      <formula>NOT(ISERROR(SEARCH("Púrpura",M92)))</formula>
    </cfRule>
    <cfRule type="containsText" dxfId="4980" priority="147" operator="containsText" text="Rosa">
      <formula>NOT(ISERROR(SEARCH("Rosa",M92)))</formula>
    </cfRule>
    <cfRule type="containsText" dxfId="4979" priority="148" operator="containsText" text="Castanho">
      <formula>NOT(ISERROR(SEARCH("Castanho",M92)))</formula>
    </cfRule>
    <cfRule type="containsText" dxfId="4978" priority="149" operator="containsText" text="Verde Água">
      <formula>NOT(ISERROR(SEARCH("Verde Água",M92)))</formula>
    </cfRule>
    <cfRule type="containsText" dxfId="4977" priority="150" operator="containsText" text="Azul Petróleo">
      <formula>NOT(ISERROR(SEARCH("Azul Petróleo",M92)))</formula>
    </cfRule>
    <cfRule type="containsText" dxfId="4976" priority="151" operator="containsText" text="Preto">
      <formula>NOT(ISERROR(SEARCH("Preto",M92)))</formula>
    </cfRule>
    <cfRule type="containsText" priority="152" operator="containsText" text="Branco">
      <formula>NOT(ISERROR(SEARCH("Branco",M92)))</formula>
    </cfRule>
    <cfRule type="containsText" dxfId="4975" priority="153" operator="containsText" text="Bege">
      <formula>NOT(ISERROR(SEARCH("Bege",M92)))</formula>
    </cfRule>
  </conditionalFormatting>
  <conditionalFormatting sqref="M92">
    <cfRule type="containsText" dxfId="4974" priority="136" operator="containsText" text="Cinza">
      <formula>NOT(ISERROR(SEARCH("Cinza",M92)))</formula>
    </cfRule>
    <cfRule type="containsText" dxfId="4973" priority="137" operator="containsText" text="Púrpura">
      <formula>NOT(ISERROR(SEARCH("Púrpura",M92)))</formula>
    </cfRule>
    <cfRule type="containsText" dxfId="4972" priority="138" operator="containsText" text="Rosa">
      <formula>NOT(ISERROR(SEARCH("Rosa",M92)))</formula>
    </cfRule>
    <cfRule type="containsText" dxfId="4971" priority="139" operator="containsText" text="Castanho">
      <formula>NOT(ISERROR(SEARCH("Castanho",M92)))</formula>
    </cfRule>
    <cfRule type="containsText" dxfId="4970" priority="140" operator="containsText" text="Verde Água">
      <formula>NOT(ISERROR(SEARCH("Verde Água",M92)))</formula>
    </cfRule>
    <cfRule type="containsText" dxfId="4969" priority="141" operator="containsText" text="Azul Petróleo">
      <formula>NOT(ISERROR(SEARCH("Azul Petróleo",M92)))</formula>
    </cfRule>
    <cfRule type="containsText" dxfId="4968" priority="142" operator="containsText" text="Preto">
      <formula>NOT(ISERROR(SEARCH("Preto",M92)))</formula>
    </cfRule>
    <cfRule type="containsText" priority="143" operator="containsText" text="Branco">
      <formula>NOT(ISERROR(SEARCH("Branco",M92)))</formula>
    </cfRule>
    <cfRule type="containsText" dxfId="4967" priority="144" operator="containsText" text="Bege">
      <formula>NOT(ISERROR(SEARCH("Bege",M92)))</formula>
    </cfRule>
  </conditionalFormatting>
  <conditionalFormatting sqref="M92">
    <cfRule type="containsText" dxfId="4966" priority="127" operator="containsText" text="Escuro">
      <formula>NOT(ISERROR(SEARCH("Escuro",M92)))</formula>
    </cfRule>
    <cfRule type="containsText" dxfId="4965" priority="128" operator="containsText" text="Cinza">
      <formula>NOT(ISERROR(SEARCH("Cinza",M92)))</formula>
    </cfRule>
    <cfRule type="containsText" dxfId="4964" priority="129" operator="containsText" text="Púrpura">
      <formula>NOT(ISERROR(SEARCH("Púrpura",M92)))</formula>
    </cfRule>
    <cfRule type="containsText" dxfId="4963" priority="130" operator="containsText" text="Rosa">
      <formula>NOT(ISERROR(SEARCH("Rosa",M92)))</formula>
    </cfRule>
    <cfRule type="containsText" dxfId="4962" priority="131" operator="containsText" text="Castanho">
      <formula>NOT(ISERROR(SEARCH("Castanho",M92)))</formula>
    </cfRule>
    <cfRule type="containsText" dxfId="4961" priority="132" operator="containsText" text="Verde Água">
      <formula>NOT(ISERROR(SEARCH("Verde Água",M92)))</formula>
    </cfRule>
    <cfRule type="containsText" dxfId="4960" priority="133" operator="containsText" text="Azul Petróleo">
      <formula>NOT(ISERROR(SEARCH("Azul Petróleo",M92)))</formula>
    </cfRule>
    <cfRule type="containsText" dxfId="4959" priority="134" operator="containsText" text="Preto">
      <formula>NOT(ISERROR(SEARCH("Preto",M92)))</formula>
    </cfRule>
    <cfRule type="containsText" priority="135" operator="containsText" text="Branco">
      <formula>NOT(ISERROR(SEARCH("Branco",M92)))</formula>
    </cfRule>
  </conditionalFormatting>
  <conditionalFormatting sqref="W34">
    <cfRule type="containsText" dxfId="4958" priority="118" operator="containsText" text="Cinza">
      <formula>NOT(ISERROR(SEARCH("Cinza",W34)))</formula>
    </cfRule>
    <cfRule type="containsText" dxfId="4957" priority="119" operator="containsText" text="Púrpura">
      <formula>NOT(ISERROR(SEARCH("Púrpura",W34)))</formula>
    </cfRule>
    <cfRule type="containsText" dxfId="4956" priority="120" operator="containsText" text="Rosa">
      <formula>NOT(ISERROR(SEARCH("Rosa",W34)))</formula>
    </cfRule>
    <cfRule type="containsText" dxfId="4955" priority="121" operator="containsText" text="Castanho">
      <formula>NOT(ISERROR(SEARCH("Castanho",W34)))</formula>
    </cfRule>
    <cfRule type="containsText" dxfId="4954" priority="122" operator="containsText" text="Verde Água">
      <formula>NOT(ISERROR(SEARCH("Verde Água",W34)))</formula>
    </cfRule>
    <cfRule type="containsText" dxfId="4953" priority="123" operator="containsText" text="Azul Petróleo">
      <formula>NOT(ISERROR(SEARCH("Azul Petróleo",W34)))</formula>
    </cfRule>
    <cfRule type="containsText" dxfId="4952" priority="124" operator="containsText" text="Preto">
      <formula>NOT(ISERROR(SEARCH("Preto",W34)))</formula>
    </cfRule>
    <cfRule type="containsText" priority="125" operator="containsText" text="Branco">
      <formula>NOT(ISERROR(SEARCH("Branco",W34)))</formula>
    </cfRule>
    <cfRule type="containsText" dxfId="4951" priority="126" operator="containsText" text="Bege">
      <formula>NOT(ISERROR(SEARCH("Bege",W34)))</formula>
    </cfRule>
  </conditionalFormatting>
  <conditionalFormatting sqref="W34">
    <cfRule type="containsText" dxfId="4950" priority="109" operator="containsText" text="Escuro">
      <formula>NOT(ISERROR(SEARCH("Escuro",W34)))</formula>
    </cfRule>
    <cfRule type="containsText" dxfId="4949" priority="110" operator="containsText" text="Cinza">
      <formula>NOT(ISERROR(SEARCH("Cinza",W34)))</formula>
    </cfRule>
    <cfRule type="containsText" dxfId="4948" priority="111" operator="containsText" text="Púrpura">
      <formula>NOT(ISERROR(SEARCH("Púrpura",W34)))</formula>
    </cfRule>
    <cfRule type="containsText" dxfId="4947" priority="112" operator="containsText" text="Rosa">
      <formula>NOT(ISERROR(SEARCH("Rosa",W34)))</formula>
    </cfRule>
    <cfRule type="containsText" dxfId="4946" priority="113" operator="containsText" text="Castanho">
      <formula>NOT(ISERROR(SEARCH("Castanho",W34)))</formula>
    </cfRule>
    <cfRule type="containsText" dxfId="4945" priority="114" operator="containsText" text="Verde Água">
      <formula>NOT(ISERROR(SEARCH("Verde Água",W34)))</formula>
    </cfRule>
    <cfRule type="containsText" dxfId="4944" priority="115" operator="containsText" text="Azul Petróleo">
      <formula>NOT(ISERROR(SEARCH("Azul Petróleo",W34)))</formula>
    </cfRule>
    <cfRule type="containsText" dxfId="4943" priority="116" operator="containsText" text="Preto">
      <formula>NOT(ISERROR(SEARCH("Preto",W34)))</formula>
    </cfRule>
    <cfRule type="containsText" priority="117" operator="containsText" text="Branco">
      <formula>NOT(ISERROR(SEARCH("Branco",W34)))</formula>
    </cfRule>
  </conditionalFormatting>
  <conditionalFormatting sqref="W13">
    <cfRule type="containsText" dxfId="4942" priority="98" operator="containsText" text="Cinza">
      <formula>NOT(ISERROR(SEARCH("Cinza",W13)))</formula>
    </cfRule>
    <cfRule type="containsText" dxfId="4941" priority="99" operator="containsText" text="Púrpura">
      <formula>NOT(ISERROR(SEARCH("Púrpura",W13)))</formula>
    </cfRule>
    <cfRule type="containsText" dxfId="4940" priority="100" operator="containsText" text="Rosa">
      <formula>NOT(ISERROR(SEARCH("Rosa",W13)))</formula>
    </cfRule>
    <cfRule type="containsText" dxfId="4939" priority="101" operator="containsText" text="Castanho">
      <formula>NOT(ISERROR(SEARCH("Castanho",W13)))</formula>
    </cfRule>
    <cfRule type="containsText" dxfId="4938" priority="102" operator="containsText" text="Verde Água">
      <formula>NOT(ISERROR(SEARCH("Verde Água",W13)))</formula>
    </cfRule>
    <cfRule type="containsText" dxfId="4937" priority="103" operator="containsText" text="Azul Petróleo">
      <formula>NOT(ISERROR(SEARCH("Azul Petróleo",W13)))</formula>
    </cfRule>
    <cfRule type="containsText" dxfId="4936" priority="104" operator="containsText" text="Preto">
      <formula>NOT(ISERROR(SEARCH("Preto",W13)))</formula>
    </cfRule>
    <cfRule type="containsText" priority="105" operator="containsText" text="Branco">
      <formula>NOT(ISERROR(SEARCH("Branco",W13)))</formula>
    </cfRule>
    <cfRule type="containsText" dxfId="4935" priority="106" operator="containsText" text="Bege">
      <formula>NOT(ISERROR(SEARCH("Bege",W13)))</formula>
    </cfRule>
  </conditionalFormatting>
  <conditionalFormatting sqref="W13">
    <cfRule type="containsText" dxfId="4934" priority="89" operator="containsText" text="Escuro">
      <formula>NOT(ISERROR(SEARCH("Escuro",W13)))</formula>
    </cfRule>
    <cfRule type="containsText" dxfId="4933" priority="90" operator="containsText" text="Cinza">
      <formula>NOT(ISERROR(SEARCH("Cinza",W13)))</formula>
    </cfRule>
    <cfRule type="containsText" dxfId="4932" priority="91" operator="containsText" text="Púrpura">
      <formula>NOT(ISERROR(SEARCH("Púrpura",W13)))</formula>
    </cfRule>
    <cfRule type="containsText" dxfId="4931" priority="92" operator="containsText" text="Rosa">
      <formula>NOT(ISERROR(SEARCH("Rosa",W13)))</formula>
    </cfRule>
    <cfRule type="containsText" dxfId="4930" priority="93" operator="containsText" text="Castanho">
      <formula>NOT(ISERROR(SEARCH("Castanho",W13)))</formula>
    </cfRule>
    <cfRule type="containsText" dxfId="4929" priority="94" operator="containsText" text="Verde Água">
      <formula>NOT(ISERROR(SEARCH("Verde Água",W13)))</formula>
    </cfRule>
    <cfRule type="containsText" dxfId="4928" priority="95" operator="containsText" text="Azul Petróleo">
      <formula>NOT(ISERROR(SEARCH("Azul Petróleo",W13)))</formula>
    </cfRule>
    <cfRule type="containsText" dxfId="4927" priority="96" operator="containsText" text="Preto">
      <formula>NOT(ISERROR(SEARCH("Preto",W13)))</formula>
    </cfRule>
    <cfRule type="containsText" priority="97" operator="containsText" text="Branco">
      <formula>NOT(ISERROR(SEARCH("Branco",W13)))</formula>
    </cfRule>
  </conditionalFormatting>
  <conditionalFormatting sqref="G55">
    <cfRule type="containsText" dxfId="4926" priority="87" operator="containsText" text="petróleo">
      <formula>NOT(ISERROR(SEARCH("petróleo",G55)))</formula>
    </cfRule>
    <cfRule type="containsText" dxfId="4925" priority="88" operator="containsText" text="Turquesa">
      <formula>NOT(ISERROR(SEARCH("Turquesa",G55)))</formula>
    </cfRule>
  </conditionalFormatting>
  <conditionalFormatting sqref="W23">
    <cfRule type="containsText" dxfId="4924" priority="78" operator="containsText" text="Cinza">
      <formula>NOT(ISERROR(SEARCH("Cinza",W23)))</formula>
    </cfRule>
    <cfRule type="containsText" dxfId="4923" priority="79" operator="containsText" text="Púrpura">
      <formula>NOT(ISERROR(SEARCH("Púrpura",W23)))</formula>
    </cfRule>
    <cfRule type="containsText" dxfId="4922" priority="80" operator="containsText" text="Rosa">
      <formula>NOT(ISERROR(SEARCH("Rosa",W23)))</formula>
    </cfRule>
    <cfRule type="containsText" dxfId="4921" priority="81" operator="containsText" text="Castanho">
      <formula>NOT(ISERROR(SEARCH("Castanho",W23)))</formula>
    </cfRule>
    <cfRule type="containsText" dxfId="4920" priority="82" operator="containsText" text="Verde Água">
      <formula>NOT(ISERROR(SEARCH("Verde Água",W23)))</formula>
    </cfRule>
    <cfRule type="containsText" dxfId="4919" priority="83" operator="containsText" text="Azul Petróleo">
      <formula>NOT(ISERROR(SEARCH("Azul Petróleo",W23)))</formula>
    </cfRule>
    <cfRule type="containsText" dxfId="4918" priority="84" operator="containsText" text="Preto">
      <formula>NOT(ISERROR(SEARCH("Preto",W23)))</formula>
    </cfRule>
    <cfRule type="containsText" priority="85" operator="containsText" text="Branco">
      <formula>NOT(ISERROR(SEARCH("Branco",W23)))</formula>
    </cfRule>
    <cfRule type="containsText" dxfId="4917" priority="86" operator="containsText" text="Bege">
      <formula>NOT(ISERROR(SEARCH("Bege",W23)))</formula>
    </cfRule>
  </conditionalFormatting>
  <conditionalFormatting sqref="W23">
    <cfRule type="containsText" dxfId="4916" priority="69" operator="containsText" text="Escuro">
      <formula>NOT(ISERROR(SEARCH("Escuro",W23)))</formula>
    </cfRule>
    <cfRule type="containsText" dxfId="4915" priority="70" operator="containsText" text="Cinza">
      <formula>NOT(ISERROR(SEARCH("Cinza",W23)))</formula>
    </cfRule>
    <cfRule type="containsText" dxfId="4914" priority="71" operator="containsText" text="Púrpura">
      <formula>NOT(ISERROR(SEARCH("Púrpura",W23)))</formula>
    </cfRule>
    <cfRule type="containsText" dxfId="4913" priority="72" operator="containsText" text="Rosa">
      <formula>NOT(ISERROR(SEARCH("Rosa",W23)))</formula>
    </cfRule>
    <cfRule type="containsText" dxfId="4912" priority="73" operator="containsText" text="Castanho">
      <formula>NOT(ISERROR(SEARCH("Castanho",W23)))</formula>
    </cfRule>
    <cfRule type="containsText" dxfId="4911" priority="74" operator="containsText" text="Verde Água">
      <formula>NOT(ISERROR(SEARCH("Verde Água",W23)))</formula>
    </cfRule>
    <cfRule type="containsText" dxfId="4910" priority="75" operator="containsText" text="Azul Petróleo">
      <formula>NOT(ISERROR(SEARCH("Azul Petróleo",W23)))</formula>
    </cfRule>
    <cfRule type="containsText" dxfId="4909" priority="76" operator="containsText" text="Preto">
      <formula>NOT(ISERROR(SEARCH("Preto",W23)))</formula>
    </cfRule>
    <cfRule type="containsText" priority="77" operator="containsText" text="Branco">
      <formula>NOT(ISERROR(SEARCH("Branco",W23)))</formula>
    </cfRule>
  </conditionalFormatting>
  <conditionalFormatting sqref="W23">
    <cfRule type="containsText" dxfId="4908" priority="60" operator="containsText" text="Cinza">
      <formula>NOT(ISERROR(SEARCH("Cinza",W23)))</formula>
    </cfRule>
    <cfRule type="containsText" dxfId="4907" priority="61" operator="containsText" text="Púrpura">
      <formula>NOT(ISERROR(SEARCH("Púrpura",W23)))</formula>
    </cfRule>
    <cfRule type="containsText" dxfId="4906" priority="62" operator="containsText" text="Rosa">
      <formula>NOT(ISERROR(SEARCH("Rosa",W23)))</formula>
    </cfRule>
    <cfRule type="containsText" dxfId="4905" priority="63" operator="containsText" text="Castanho">
      <formula>NOT(ISERROR(SEARCH("Castanho",W23)))</formula>
    </cfRule>
    <cfRule type="containsText" dxfId="4904" priority="64" operator="containsText" text="Verde Água">
      <formula>NOT(ISERROR(SEARCH("Verde Água",W23)))</formula>
    </cfRule>
    <cfRule type="containsText" dxfId="4903" priority="65" operator="containsText" text="Azul Petróleo">
      <formula>NOT(ISERROR(SEARCH("Azul Petróleo",W23)))</formula>
    </cfRule>
    <cfRule type="containsText" dxfId="4902" priority="66" operator="containsText" text="Preto">
      <formula>NOT(ISERROR(SEARCH("Preto",W23)))</formula>
    </cfRule>
    <cfRule type="containsText" priority="67" operator="containsText" text="Branco">
      <formula>NOT(ISERROR(SEARCH("Branco",W23)))</formula>
    </cfRule>
    <cfRule type="containsText" dxfId="4901" priority="68" operator="containsText" text="Bege">
      <formula>NOT(ISERROR(SEARCH("Bege",W23)))</formula>
    </cfRule>
  </conditionalFormatting>
  <conditionalFormatting sqref="W23">
    <cfRule type="containsText" dxfId="4900" priority="51" operator="containsText" text="Escuro">
      <formula>NOT(ISERROR(SEARCH("Escuro",W23)))</formula>
    </cfRule>
    <cfRule type="containsText" dxfId="4899" priority="52" operator="containsText" text="Cinza">
      <formula>NOT(ISERROR(SEARCH("Cinza",W23)))</formula>
    </cfRule>
    <cfRule type="containsText" dxfId="4898" priority="53" operator="containsText" text="Púrpura">
      <formula>NOT(ISERROR(SEARCH("Púrpura",W23)))</formula>
    </cfRule>
    <cfRule type="containsText" dxfId="4897" priority="54" operator="containsText" text="Rosa">
      <formula>NOT(ISERROR(SEARCH("Rosa",W23)))</formula>
    </cfRule>
    <cfRule type="containsText" dxfId="4896" priority="55" operator="containsText" text="Castanho">
      <formula>NOT(ISERROR(SEARCH("Castanho",W23)))</formula>
    </cfRule>
    <cfRule type="containsText" dxfId="4895" priority="56" operator="containsText" text="Verde Água">
      <formula>NOT(ISERROR(SEARCH("Verde Água",W23)))</formula>
    </cfRule>
    <cfRule type="containsText" dxfId="4894" priority="57" operator="containsText" text="Azul Petróleo">
      <formula>NOT(ISERROR(SEARCH("Azul Petróleo",W23)))</formula>
    </cfRule>
    <cfRule type="containsText" dxfId="4893" priority="58" operator="containsText" text="Preto">
      <formula>NOT(ISERROR(SEARCH("Preto",W23)))</formula>
    </cfRule>
    <cfRule type="containsText" priority="59" operator="containsText" text="Branco">
      <formula>NOT(ISERROR(SEARCH("Branco",W23)))</formula>
    </cfRule>
  </conditionalFormatting>
  <conditionalFormatting sqref="W23">
    <cfRule type="containsText" dxfId="4892" priority="49" operator="containsText" text="petróleo">
      <formula>NOT(ISERROR(SEARCH("petróleo",W23)))</formula>
    </cfRule>
    <cfRule type="containsText" dxfId="4891" priority="50" operator="containsText" text="Turquesa">
      <formula>NOT(ISERROR(SEARCH("Turquesa",W23)))</formula>
    </cfRule>
  </conditionalFormatting>
  <conditionalFormatting sqref="AF76">
    <cfRule type="containsText" dxfId="4890" priority="40" operator="containsText" text="Cinza">
      <formula>NOT(ISERROR(SEARCH("Cinza",AF76)))</formula>
    </cfRule>
    <cfRule type="containsText" dxfId="4889" priority="41" operator="containsText" text="Púrpura">
      <formula>NOT(ISERROR(SEARCH("Púrpura",AF76)))</formula>
    </cfRule>
    <cfRule type="containsText" dxfId="4888" priority="42" operator="containsText" text="Rosa">
      <formula>NOT(ISERROR(SEARCH("Rosa",AF76)))</formula>
    </cfRule>
    <cfRule type="containsText" dxfId="4887" priority="43" operator="containsText" text="Castanho">
      <formula>NOT(ISERROR(SEARCH("Castanho",AF76)))</formula>
    </cfRule>
    <cfRule type="containsText" dxfId="4886" priority="44" operator="containsText" text="Verde Água">
      <formula>NOT(ISERROR(SEARCH("Verde Água",AF76)))</formula>
    </cfRule>
    <cfRule type="containsText" dxfId="4885" priority="45" operator="containsText" text="Azul Petróleo">
      <formula>NOT(ISERROR(SEARCH("Azul Petróleo",AF76)))</formula>
    </cfRule>
    <cfRule type="containsText" dxfId="4884" priority="46" operator="containsText" text="Preto">
      <formula>NOT(ISERROR(SEARCH("Preto",AF76)))</formula>
    </cfRule>
    <cfRule type="containsText" priority="47" operator="containsText" text="Branco">
      <formula>NOT(ISERROR(SEARCH("Branco",AF76)))</formula>
    </cfRule>
    <cfRule type="containsText" dxfId="4883" priority="48" operator="containsText" text="Bege">
      <formula>NOT(ISERROR(SEARCH("Bege",AF76)))</formula>
    </cfRule>
  </conditionalFormatting>
  <conditionalFormatting sqref="AF76">
    <cfRule type="containsText" dxfId="4882" priority="31" operator="containsText" text="Escuro">
      <formula>NOT(ISERROR(SEARCH("Escuro",AF76)))</formula>
    </cfRule>
    <cfRule type="containsText" dxfId="4881" priority="32" operator="containsText" text="Cinza">
      <formula>NOT(ISERROR(SEARCH("Cinza",AF76)))</formula>
    </cfRule>
    <cfRule type="containsText" dxfId="4880" priority="33" operator="containsText" text="Púrpura">
      <formula>NOT(ISERROR(SEARCH("Púrpura",AF76)))</formula>
    </cfRule>
    <cfRule type="containsText" dxfId="4879" priority="34" operator="containsText" text="Rosa">
      <formula>NOT(ISERROR(SEARCH("Rosa",AF76)))</formula>
    </cfRule>
    <cfRule type="containsText" dxfId="4878" priority="35" operator="containsText" text="Castanho">
      <formula>NOT(ISERROR(SEARCH("Castanho",AF76)))</formula>
    </cfRule>
    <cfRule type="containsText" dxfId="4877" priority="36" operator="containsText" text="Verde Água">
      <formula>NOT(ISERROR(SEARCH("Verde Água",AF76)))</formula>
    </cfRule>
    <cfRule type="containsText" dxfId="4876" priority="37" operator="containsText" text="Azul Petróleo">
      <formula>NOT(ISERROR(SEARCH("Azul Petróleo",AF76)))</formula>
    </cfRule>
    <cfRule type="containsText" dxfId="4875" priority="38" operator="containsText" text="Preto">
      <formula>NOT(ISERROR(SEARCH("Preto",AF76)))</formula>
    </cfRule>
    <cfRule type="containsText" priority="39" operator="containsText" text="Branco">
      <formula>NOT(ISERROR(SEARCH("Branco",AF76)))</formula>
    </cfRule>
  </conditionalFormatting>
  <conditionalFormatting sqref="AF76">
    <cfRule type="containsText" dxfId="4874" priority="29" operator="containsText" text="petróleo">
      <formula>NOT(ISERROR(SEARCH("petróleo",AF76)))</formula>
    </cfRule>
    <cfRule type="containsText" dxfId="4873" priority="30" operator="containsText" text="Turquesa">
      <formula>NOT(ISERROR(SEARCH("Turquesa",AF76)))</formula>
    </cfRule>
  </conditionalFormatting>
  <conditionalFormatting sqref="AG76">
    <cfRule type="containsText" dxfId="4872" priority="20" operator="containsText" text="Cinza">
      <formula>NOT(ISERROR(SEARCH("Cinza",AG76)))</formula>
    </cfRule>
    <cfRule type="containsText" dxfId="4871" priority="21" operator="containsText" text="Púrpura">
      <formula>NOT(ISERROR(SEARCH("Púrpura",AG76)))</formula>
    </cfRule>
    <cfRule type="containsText" dxfId="4870" priority="22" operator="containsText" text="Rosa">
      <formula>NOT(ISERROR(SEARCH("Rosa",AG76)))</formula>
    </cfRule>
    <cfRule type="containsText" dxfId="4869" priority="23" operator="containsText" text="Castanho">
      <formula>NOT(ISERROR(SEARCH("Castanho",AG76)))</formula>
    </cfRule>
    <cfRule type="containsText" dxfId="4868" priority="24" operator="containsText" text="Verde Água">
      <formula>NOT(ISERROR(SEARCH("Verde Água",AG76)))</formula>
    </cfRule>
    <cfRule type="containsText" dxfId="4867" priority="25" operator="containsText" text="Azul Petróleo">
      <formula>NOT(ISERROR(SEARCH("Azul Petróleo",AG76)))</formula>
    </cfRule>
    <cfRule type="containsText" dxfId="4866" priority="26" operator="containsText" text="Preto">
      <formula>NOT(ISERROR(SEARCH("Preto",AG76)))</formula>
    </cfRule>
    <cfRule type="containsText" priority="27" operator="containsText" text="Branco">
      <formula>NOT(ISERROR(SEARCH("Branco",AG76)))</formula>
    </cfRule>
    <cfRule type="containsText" dxfId="4865" priority="28" operator="containsText" text="Bege">
      <formula>NOT(ISERROR(SEARCH("Bege",AG76)))</formula>
    </cfRule>
  </conditionalFormatting>
  <conditionalFormatting sqref="AG76">
    <cfRule type="containsText" dxfId="4864" priority="11" operator="containsText" text="Escuro">
      <formula>NOT(ISERROR(SEARCH("Escuro",AG76)))</formula>
    </cfRule>
    <cfRule type="containsText" dxfId="4863" priority="12" operator="containsText" text="Cinza">
      <formula>NOT(ISERROR(SEARCH("Cinza",AG76)))</formula>
    </cfRule>
    <cfRule type="containsText" dxfId="4862" priority="13" operator="containsText" text="Púrpura">
      <formula>NOT(ISERROR(SEARCH("Púrpura",AG76)))</formula>
    </cfRule>
    <cfRule type="containsText" dxfId="4861" priority="14" operator="containsText" text="Rosa">
      <formula>NOT(ISERROR(SEARCH("Rosa",AG76)))</formula>
    </cfRule>
    <cfRule type="containsText" dxfId="4860" priority="15" operator="containsText" text="Castanho">
      <formula>NOT(ISERROR(SEARCH("Castanho",AG76)))</formula>
    </cfRule>
    <cfRule type="containsText" dxfId="4859" priority="16" operator="containsText" text="Verde Água">
      <formula>NOT(ISERROR(SEARCH("Verde Água",AG76)))</formula>
    </cfRule>
    <cfRule type="containsText" dxfId="4858" priority="17" operator="containsText" text="Azul Petróleo">
      <formula>NOT(ISERROR(SEARCH("Azul Petróleo",AG76)))</formula>
    </cfRule>
    <cfRule type="containsText" dxfId="4857" priority="18" operator="containsText" text="Preto">
      <formula>NOT(ISERROR(SEARCH("Preto",AG76)))</formula>
    </cfRule>
    <cfRule type="containsText" priority="19" operator="containsText" text="Branco">
      <formula>NOT(ISERROR(SEARCH("Branco",AG76)))</formula>
    </cfRule>
  </conditionalFormatting>
  <conditionalFormatting sqref="AG76">
    <cfRule type="containsText" dxfId="4856" priority="9" operator="containsText" text="petróleo">
      <formula>NOT(ISERROR(SEARCH("petróleo",AG76)))</formula>
    </cfRule>
    <cfRule type="containsText" dxfId="4855" priority="10" operator="containsText" text="Turquesa">
      <formula>NOT(ISERROR(SEARCH("Turquesa",AG76)))</formula>
    </cfRule>
  </conditionalFormatting>
  <conditionalFormatting sqref="V13:V28 V34:V49 V55:V70 V76:V83 AE76:AE83 F13:F20 F26:F33 F39:F46 F78:F85 F91:F98 F104:F111 F52:F59 F65:F72">
    <cfRule type="containsText" dxfId="4854" priority="8" stopIfTrue="1" operator="containsText" text="Petróleo">
      <formula>NOT(ISERROR(SEARCH("Petróleo",F13)))</formula>
    </cfRule>
  </conditionalFormatting>
  <conditionalFormatting sqref="V13:V28 V34:V49 V55:V70 V76:V83 AE76:AE83 F13:F20 F26:F33 F39:F46 F78:F85 F91:F98 F104:F111 F52:F59 F65:F72">
    <cfRule type="containsText" dxfId="4853" priority="1" operator="containsText" text="Turquesa">
      <formula>NOT(ISERROR(SEARCH("Turquesa",F13)))</formula>
    </cfRule>
    <cfRule type="containsText" dxfId="4852" priority="2" operator="containsText" text="Escuro">
      <formula>NOT(ISERROR(SEARCH("Escuro",F13)))</formula>
    </cfRule>
    <cfRule type="containsText" dxfId="4851" priority="3" operator="containsText" text="Bege">
      <formula>NOT(ISERROR(SEARCH("Bege",F13)))</formula>
    </cfRule>
    <cfRule type="containsText" dxfId="4850" priority="4" operator="containsText" text="Rosa">
      <formula>NOT(ISERROR(SEARCH("Rosa",F13)))</formula>
    </cfRule>
    <cfRule type="containsText" dxfId="4849" priority="5" operator="containsText" text="Cinza">
      <formula>NOT(ISERROR(SEARCH("Cinza",F13)))</formula>
    </cfRule>
    <cfRule type="containsText" priority="6" operator="containsText" text="Branco">
      <formula>NOT(ISERROR(SEARCH("Branco",F13)))</formula>
    </cfRule>
    <cfRule type="containsText" dxfId="4848" priority="7" operator="containsText" text="Verde">
      <formula>NOT(ISERROR(SEARCH("Verde",F13)))</formula>
    </cfRule>
  </conditionalFormatting>
  <dataValidations count="1">
    <dataValidation type="whole" allowBlank="1" showInputMessage="1" showErrorMessage="1" errorTitle="Erro de Conteúdo." error="Introduza um número de 1 a 100." sqref="X55:Y70">
      <formula1>1</formula1>
      <formula2>100</formula2>
    </dataValidation>
  </dataValidations>
  <pageMargins left="0.7" right="0.7" top="0.75" bottom="0.75" header="0.3" footer="0.3"/>
  <pageSetup paperSize="9" scale="10" orientation="portrait" horizontalDpi="4294967295" verticalDpi="4294967295" r:id="rId1"/>
  <colBreaks count="1" manualBreakCount="1">
    <brk id="39" max="84" man="1"/>
  </colBreaks>
  <drawing r:id="rId2"/>
  <legacyDrawing r:id="rId3"/>
  <controls>
    <mc:AlternateContent xmlns:mc="http://schemas.openxmlformats.org/markup-compatibility/2006">
      <mc:Choice Requires="x14">
        <control shapeId="3031041" r:id="rId4" name="CommandButton1">
          <controlPr defaultSize="0" autoLine="0" r:id="rId5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476250</xdr:colOff>
                <xdr:row>8</xdr:row>
                <xdr:rowOff>19050</xdr:rowOff>
              </to>
            </anchor>
          </controlPr>
        </control>
      </mc:Choice>
      <mc:Fallback>
        <control shapeId="3031041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8" operator="containsText" id="{80C3D0A6-2043-41A2-AF3A-AD3A9F93E77E}">
            <xm:f>NOT(ISERROR(SEARCH("-",D8)))</xm:f>
            <xm:f>"-"</xm:f>
            <x14:dxf/>
          </x14:cfRule>
          <xm:sqref>K8 D10 K13:K21 D23 D36 K39:K47 D49 D62 K65:K73 D114 H117:H125 K26:K34 K52:K60</xm:sqref>
        </x14:conditionalFormatting>
        <x14:conditionalFormatting xmlns:xm="http://schemas.microsoft.com/office/excel/2006/main">
          <x14:cfRule type="containsText" priority="107" operator="containsText" id="{0561614A-3B64-4420-8AFC-36A569690142}">
            <xm:f>NOT(ISERROR(SEARCH("-",D75)))</xm:f>
            <xm:f>"-"</xm:f>
            <x14:dxf/>
          </x14:cfRule>
          <xm:sqref>D75 D88 K91:K99 D101 K104:K112 K78:K86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Listas!$E$26:$E$33</xm:f>
          </x14:formula1>
          <xm:sqref>AJ76:AK83</xm:sqref>
        </x14:dataValidation>
        <x14:dataValidation type="list" allowBlank="1" showInputMessage="1" showErrorMessage="1">
          <x14:formula1>
            <xm:f>Listas!$A$3:$A$5</xm:f>
          </x14:formula1>
          <xm:sqref>P2</xm:sqref>
        </x14:dataValidation>
        <x14:dataValidation type="list" allowBlank="1" showInputMessage="1" showErrorMessage="1">
          <x14:formula1>
            <xm:f>Listas!$E$3:$E$9</xm:f>
          </x14:formula1>
          <xm:sqref>U177:U179 U133:U138 U140 U159:U171 U146:U153</xm:sqref>
        </x14:dataValidation>
        <x14:dataValidation type="list" allowBlank="1" showInputMessage="1" showErrorMessage="1">
          <x14:formula1>
            <xm:f>Listas!$B$3:$B$6</xm:f>
          </x14:formula1>
          <xm:sqref>N2</xm:sqref>
        </x14:dataValidation>
        <x14:dataValidation type="list" allowBlank="1" showInputMessage="1" showErrorMessage="1">
          <x14:formula1>
            <xm:f>Listas!$H$17:$H$22</xm:f>
          </x14:formula1>
          <xm:sqref>U13:U28 U34:U49</xm:sqref>
        </x14:dataValidation>
        <x14:dataValidation type="list" allowBlank="1" showInputMessage="1" showErrorMessage="1">
          <x14:formula1>
            <xm:f>Listas!$F$15:$F$17</xm:f>
          </x14:formula1>
          <xm:sqref>W55:W70</xm:sqref>
        </x14:dataValidation>
        <x14:dataValidation type="list" allowBlank="1" showInputMessage="1" showErrorMessage="1">
          <x14:formula1>
            <xm:f>Listas!$C$3:$C$16</xm:f>
          </x14:formula1>
          <xm:sqref>E91:E98 E13:E19 V177:W179 E104:E111 E26:E33 E65:E72 E52:E59 E78:E85 E41:E46 E39</xm:sqref>
        </x14:dataValidation>
        <x14:dataValidation type="list" allowBlank="1" showInputMessage="1" showErrorMessage="1">
          <x14:formula1>
            <xm:f>Listas!$C$3:$C$20</xm:f>
          </x14:formula1>
          <xm:sqref>V133:W140 V146:W153</xm:sqref>
        </x14:dataValidation>
        <x14:dataValidation type="list" allowBlank="1" showInputMessage="1" showErrorMessage="1">
          <x14:formula1>
            <xm:f>Listas!$C$3:$C$18</xm:f>
          </x14:formula1>
          <xm:sqref>X148:X151</xm:sqref>
        </x14:dataValidation>
        <x14:dataValidation type="list" allowBlank="1" showInputMessage="1" showErrorMessage="1">
          <x14:formula1>
            <xm:f>Listas!$C$3:$C$26</xm:f>
          </x14:formula1>
          <xm:sqref>V159:W171</xm:sqref>
        </x14:dataValidation>
        <x14:dataValidation type="list" allowBlank="1" showInputMessage="1" showErrorMessage="1">
          <x14:formula1>
            <xm:f>Listas!$H$3:$H$20</xm:f>
          </x14:formula1>
          <xm:sqref>AD76:AD83</xm:sqref>
        </x14:dataValidation>
        <x14:dataValidation type="list" allowBlank="1" showInputMessage="1" showErrorMessage="1">
          <x14:formula1>
            <xm:f>Listas!$H$3:$H$22</xm:f>
          </x14:formula1>
          <xm:sqref>U76:U83</xm:sqref>
        </x14:dataValidation>
        <x14:dataValidation type="list" allowBlank="1" showInputMessage="1" showErrorMessage="1">
          <x14:formula1>
            <xm:f>Listas!$H$3:$H$16</xm:f>
          </x14:formula1>
          <xm:sqref>U55:U70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653"/>
  <dimension ref="A1:AX338"/>
  <sheetViews>
    <sheetView showGridLines="0" topLeftCell="P1" zoomScale="80" zoomScaleNormal="80" zoomScaleSheetLayoutView="100" zoomScalePageLayoutView="70" workbookViewId="0">
      <selection activeCell="X61" sqref="X61"/>
    </sheetView>
  </sheetViews>
  <sheetFormatPr defaultRowHeight="15"/>
  <cols>
    <col min="1" max="1" width="2.28515625" style="39" customWidth="1"/>
    <col min="2" max="2" width="3.7109375" style="39" customWidth="1"/>
    <col min="3" max="3" width="13.140625" style="39" customWidth="1"/>
    <col min="4" max="4" width="16.28515625" style="39" bestFit="1" customWidth="1"/>
    <col min="5" max="5" width="12.7109375" style="39" customWidth="1"/>
    <col min="6" max="6" width="12.140625" style="39" customWidth="1"/>
    <col min="7" max="9" width="10.7109375" style="39" customWidth="1"/>
    <col min="10" max="10" width="8.42578125" style="39" bestFit="1" customWidth="1"/>
    <col min="11" max="11" width="12.7109375" style="39" customWidth="1"/>
    <col min="12" max="12" width="24" style="39" customWidth="1"/>
    <col min="13" max="13" width="12.42578125" style="39" customWidth="1"/>
    <col min="14" max="14" width="11.140625" style="39" customWidth="1"/>
    <col min="15" max="15" width="11" style="39" bestFit="1" customWidth="1"/>
    <col min="16" max="16" width="9.140625" style="39"/>
    <col min="17" max="17" width="15.140625" style="39" customWidth="1"/>
    <col min="18" max="18" width="2.140625" style="203" customWidth="1"/>
    <col min="19" max="19" width="2.140625" style="39" customWidth="1"/>
    <col min="20" max="20" width="5.7109375" style="39" customWidth="1"/>
    <col min="21" max="22" width="15.7109375" style="39" customWidth="1"/>
    <col min="23" max="38" width="10.7109375" style="39" customWidth="1"/>
    <col min="39" max="39" width="3.140625" style="30" customWidth="1"/>
    <col min="40" max="40" width="9.140625" style="30"/>
    <col min="41" max="50" width="9.140625" style="134"/>
    <col min="51" max="16384" width="9.140625" style="2"/>
  </cols>
  <sheetData>
    <row r="1" spans="1:50" ht="15" customHeight="1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133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</row>
    <row r="2" spans="1:50" ht="21">
      <c r="A2" s="30"/>
      <c r="B2" s="30"/>
      <c r="C2" s="30"/>
      <c r="D2" s="30"/>
      <c r="E2" s="222" t="s">
        <v>67</v>
      </c>
      <c r="F2" s="135"/>
      <c r="G2" s="135"/>
      <c r="H2" s="135"/>
      <c r="I2" s="135"/>
      <c r="J2" s="136"/>
      <c r="K2" s="137" t="s">
        <v>70</v>
      </c>
      <c r="L2" s="31">
        <v>43710</v>
      </c>
      <c r="M2" s="137" t="s">
        <v>71</v>
      </c>
      <c r="N2" s="138" t="s">
        <v>10</v>
      </c>
      <c r="O2" s="137" t="s">
        <v>72</v>
      </c>
      <c r="P2" s="139">
        <v>2</v>
      </c>
      <c r="Q2" s="30"/>
      <c r="R2" s="133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133"/>
      <c r="AE2" s="133"/>
      <c r="AF2" s="133"/>
      <c r="AG2" s="133"/>
      <c r="AH2" s="133"/>
      <c r="AI2" s="133"/>
      <c r="AJ2" s="133"/>
      <c r="AK2" s="133"/>
      <c r="AL2" s="30"/>
    </row>
    <row r="3" spans="1:50" ht="15" customHeight="1" thickBot="1">
      <c r="A3" s="30"/>
      <c r="B3" s="30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30"/>
      <c r="AM3" s="133"/>
    </row>
    <row r="4" spans="1:50" s="146" customFormat="1" ht="9.9499999999999993" customHeight="1">
      <c r="A4" s="30"/>
      <c r="B4" s="140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141"/>
      <c r="R4" s="142"/>
      <c r="S4" s="143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5"/>
      <c r="AM4" s="133"/>
      <c r="AN4" s="30"/>
      <c r="AO4" s="134"/>
      <c r="AP4" s="134"/>
      <c r="AQ4" s="134"/>
      <c r="AR4" s="134"/>
      <c r="AS4" s="134"/>
      <c r="AT4" s="134"/>
      <c r="AU4" s="134"/>
      <c r="AV4" s="134"/>
      <c r="AW4" s="134"/>
      <c r="AX4" s="134"/>
    </row>
    <row r="5" spans="1:50" s="146" customFormat="1" ht="15.75">
      <c r="A5" s="30"/>
      <c r="B5" s="147"/>
      <c r="C5" s="40" t="s">
        <v>66</v>
      </c>
      <c r="D5" s="34"/>
      <c r="E5" s="34"/>
      <c r="F5" s="34"/>
      <c r="G5" s="34"/>
      <c r="H5" s="34"/>
      <c r="I5" s="34"/>
      <c r="J5" s="34"/>
      <c r="K5" s="34"/>
      <c r="L5" s="34"/>
      <c r="M5" s="148"/>
      <c r="N5" s="148"/>
      <c r="O5" s="148"/>
      <c r="P5" s="148"/>
      <c r="Q5" s="149"/>
      <c r="R5" s="142"/>
      <c r="S5" s="150"/>
      <c r="T5" s="204" t="s">
        <v>65</v>
      </c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2"/>
      <c r="AJ5" s="152"/>
      <c r="AK5" s="152"/>
      <c r="AL5" s="153"/>
      <c r="AM5" s="133"/>
      <c r="AN5" s="30"/>
      <c r="AO5" s="134"/>
      <c r="AP5" s="134"/>
      <c r="AQ5" s="134"/>
      <c r="AR5" s="134"/>
      <c r="AS5" s="134"/>
      <c r="AT5" s="134"/>
      <c r="AU5" s="134"/>
      <c r="AV5" s="134"/>
      <c r="AW5" s="134"/>
      <c r="AX5" s="134"/>
    </row>
    <row r="6" spans="1:50" ht="15" customHeight="1" thickBot="1">
      <c r="A6" s="30"/>
      <c r="B6" s="147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154"/>
      <c r="R6" s="155"/>
      <c r="S6" s="156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8"/>
      <c r="AM6" s="133"/>
    </row>
    <row r="7" spans="1:50" ht="18.75" customHeight="1">
      <c r="A7" s="30"/>
      <c r="B7" s="147"/>
      <c r="C7" s="35"/>
      <c r="D7" s="35"/>
      <c r="E7" s="305" t="s">
        <v>101</v>
      </c>
      <c r="F7" s="306"/>
      <c r="G7" s="159" t="s">
        <v>0</v>
      </c>
      <c r="H7" s="160" t="s">
        <v>1</v>
      </c>
      <c r="I7" s="160" t="s">
        <v>18</v>
      </c>
      <c r="J7" s="160" t="s">
        <v>68</v>
      </c>
      <c r="K7" s="160" t="s">
        <v>74</v>
      </c>
      <c r="L7" s="113" t="s">
        <v>75</v>
      </c>
      <c r="M7" s="35"/>
      <c r="N7" s="35"/>
      <c r="O7" s="35"/>
      <c r="P7" s="35"/>
      <c r="Q7" s="154"/>
      <c r="R7" s="133"/>
      <c r="S7" s="156"/>
      <c r="T7" s="157"/>
      <c r="U7" s="157"/>
      <c r="V7" s="161"/>
      <c r="W7" s="305" t="s">
        <v>100</v>
      </c>
      <c r="X7" s="306"/>
      <c r="Y7" s="309"/>
      <c r="Z7" s="52" t="s">
        <v>19</v>
      </c>
      <c r="AA7" s="68" t="s">
        <v>52</v>
      </c>
      <c r="AB7" s="51" t="s">
        <v>50</v>
      </c>
      <c r="AC7" s="68" t="s">
        <v>51</v>
      </c>
      <c r="AD7" s="68" t="s">
        <v>96</v>
      </c>
      <c r="AE7" s="53" t="s">
        <v>97</v>
      </c>
      <c r="AF7" s="311" t="s">
        <v>73</v>
      </c>
      <c r="AG7" s="312"/>
      <c r="AH7" s="157"/>
      <c r="AI7" s="157"/>
      <c r="AJ7" s="157"/>
      <c r="AK7" s="157"/>
      <c r="AL7" s="158"/>
      <c r="AM7" s="133"/>
    </row>
    <row r="8" spans="1:50" ht="21.75" thickBot="1">
      <c r="A8" s="30"/>
      <c r="B8" s="147"/>
      <c r="C8" s="35"/>
      <c r="D8" s="35"/>
      <c r="E8" s="307"/>
      <c r="F8" s="308"/>
      <c r="G8" s="162">
        <f>G21+G34+G47+G60+G73+G86+G99+G112</f>
        <v>46440</v>
      </c>
      <c r="H8" s="163">
        <f>H21+H34+H47+H60+H73+H86+H99+H112</f>
        <v>2079</v>
      </c>
      <c r="I8" s="217">
        <f>I21+I34+I47+I60+I73+I86+I99+I112</f>
        <v>671</v>
      </c>
      <c r="J8" s="163">
        <f>+I8+H8+G8</f>
        <v>49190</v>
      </c>
      <c r="K8" s="114">
        <f>IF(J8&lt;&gt;0,G8/J8,0)</f>
        <v>0.94409432811547067</v>
      </c>
      <c r="L8" s="115">
        <v>0.96</v>
      </c>
      <c r="M8" s="35"/>
      <c r="N8" s="35"/>
      <c r="O8" s="35"/>
      <c r="P8" s="35"/>
      <c r="Q8" s="154"/>
      <c r="R8" s="133"/>
      <c r="S8" s="156"/>
      <c r="T8" s="157"/>
      <c r="U8" s="157"/>
      <c r="V8" s="161"/>
      <c r="W8" s="307"/>
      <c r="X8" s="308"/>
      <c r="Y8" s="310"/>
      <c r="Z8" s="93">
        <f>Y29+Y50</f>
        <v>918</v>
      </c>
      <c r="AA8" s="164">
        <f>Z8*18</f>
        <v>16524</v>
      </c>
      <c r="AB8" s="94">
        <f>+AB71</f>
        <v>15988</v>
      </c>
      <c r="AC8" s="95">
        <f>+AC71</f>
        <v>10296</v>
      </c>
      <c r="AD8" s="95">
        <f>+X84</f>
        <v>0</v>
      </c>
      <c r="AE8" s="96">
        <f>+AG84</f>
        <v>0</v>
      </c>
      <c r="AF8" s="313">
        <f>+SUM(AA8:AD8)</f>
        <v>42808</v>
      </c>
      <c r="AG8" s="314"/>
      <c r="AH8" s="157"/>
      <c r="AI8" s="157"/>
      <c r="AJ8" s="157"/>
      <c r="AK8" s="157"/>
      <c r="AL8" s="158"/>
      <c r="AM8" s="133"/>
    </row>
    <row r="9" spans="1:50" ht="21.75" thickBot="1">
      <c r="A9" s="30"/>
      <c r="B9" s="147"/>
      <c r="C9" s="35"/>
      <c r="D9" s="35"/>
      <c r="E9" s="19"/>
      <c r="F9" s="19"/>
      <c r="G9" s="165"/>
      <c r="H9" s="165"/>
      <c r="I9" s="165"/>
      <c r="J9" s="165"/>
      <c r="K9" s="43"/>
      <c r="L9" s="44"/>
      <c r="M9" s="35"/>
      <c r="N9" s="35"/>
      <c r="O9" s="35"/>
      <c r="P9" s="35"/>
      <c r="Q9" s="154"/>
      <c r="R9" s="133"/>
      <c r="S9" s="156"/>
      <c r="T9" s="157"/>
      <c r="U9" s="157"/>
      <c r="V9" s="21"/>
      <c r="W9" s="21"/>
      <c r="X9" s="21"/>
      <c r="Y9" s="166"/>
      <c r="Z9" s="167"/>
      <c r="AA9" s="167"/>
      <c r="AB9" s="166"/>
      <c r="AC9" s="166"/>
      <c r="AD9" s="166"/>
      <c r="AE9" s="22"/>
      <c r="AF9" s="22"/>
      <c r="AG9" s="22"/>
      <c r="AH9" s="157"/>
      <c r="AI9" s="157"/>
      <c r="AJ9" s="157"/>
      <c r="AK9" s="157"/>
      <c r="AL9" s="158"/>
      <c r="AM9" s="133"/>
    </row>
    <row r="10" spans="1:50" ht="19.5" customHeight="1">
      <c r="A10" s="30"/>
      <c r="B10" s="147"/>
      <c r="C10" s="253">
        <v>1</v>
      </c>
      <c r="D10" s="255">
        <f>K21</f>
        <v>0.89783167952958476</v>
      </c>
      <c r="E10" s="19"/>
      <c r="F10" s="19"/>
      <c r="G10" s="168"/>
      <c r="H10" s="168"/>
      <c r="I10" s="168"/>
      <c r="J10" s="168"/>
      <c r="K10" s="169"/>
      <c r="L10" s="20"/>
      <c r="M10" s="35"/>
      <c r="N10" s="35"/>
      <c r="O10" s="35"/>
      <c r="P10" s="35"/>
      <c r="Q10" s="154"/>
      <c r="R10" s="133"/>
      <c r="S10" s="156"/>
      <c r="T10" s="282" t="s">
        <v>114</v>
      </c>
      <c r="U10" s="283"/>
      <c r="V10" s="284"/>
      <c r="W10" s="21"/>
      <c r="X10" s="21"/>
      <c r="Y10" s="167"/>
      <c r="Z10" s="167"/>
      <c r="AA10" s="167"/>
      <c r="AB10" s="167"/>
      <c r="AC10" s="166"/>
      <c r="AD10" s="166"/>
      <c r="AE10" s="22"/>
      <c r="AF10" s="22"/>
      <c r="AG10" s="22"/>
      <c r="AH10" s="157"/>
      <c r="AI10" s="157"/>
      <c r="AJ10" s="157"/>
      <c r="AK10" s="157"/>
      <c r="AL10" s="158"/>
      <c r="AM10" s="133"/>
    </row>
    <row r="11" spans="1:50" ht="15" customHeight="1" thickBot="1">
      <c r="A11" s="30"/>
      <c r="B11" s="147"/>
      <c r="C11" s="254"/>
      <c r="D11" s="256"/>
      <c r="E11" s="131"/>
      <c r="F11" s="131"/>
      <c r="G11" s="131"/>
      <c r="H11" s="131"/>
      <c r="I11" s="131"/>
      <c r="J11" s="131"/>
      <c r="K11" s="131"/>
      <c r="L11" s="35"/>
      <c r="M11" s="35"/>
      <c r="N11" s="35"/>
      <c r="O11" s="35"/>
      <c r="P11" s="35"/>
      <c r="Q11" s="154"/>
      <c r="R11" s="133"/>
      <c r="S11" s="156"/>
      <c r="T11" s="285"/>
      <c r="U11" s="286"/>
      <c r="V11" s="287"/>
      <c r="W11" s="170"/>
      <c r="X11" s="170"/>
      <c r="Y11" s="170"/>
      <c r="Z11" s="170"/>
      <c r="AA11" s="170"/>
      <c r="AB11" s="170"/>
      <c r="AC11" s="170"/>
      <c r="AD11" s="170"/>
      <c r="AE11" s="157"/>
      <c r="AF11" s="157"/>
      <c r="AG11" s="157"/>
      <c r="AH11" s="157"/>
      <c r="AI11" s="157"/>
      <c r="AJ11" s="157"/>
      <c r="AK11" s="157"/>
      <c r="AL11" s="158"/>
      <c r="AM11" s="133"/>
    </row>
    <row r="12" spans="1:50" ht="15" customHeight="1">
      <c r="A12" s="30"/>
      <c r="B12" s="147"/>
      <c r="C12" s="29" t="s">
        <v>2</v>
      </c>
      <c r="D12" s="23" t="s">
        <v>6</v>
      </c>
      <c r="E12" s="23" t="s">
        <v>3</v>
      </c>
      <c r="F12" s="23" t="s">
        <v>58</v>
      </c>
      <c r="G12" s="231" t="s">
        <v>0</v>
      </c>
      <c r="H12" s="231" t="s">
        <v>1</v>
      </c>
      <c r="I12" s="231" t="s">
        <v>18</v>
      </c>
      <c r="J12" s="231" t="s">
        <v>5</v>
      </c>
      <c r="K12" s="23" t="s">
        <v>13</v>
      </c>
      <c r="L12" s="23" t="s">
        <v>17</v>
      </c>
      <c r="M12" s="23" t="s">
        <v>9</v>
      </c>
      <c r="N12" s="240" t="s">
        <v>77</v>
      </c>
      <c r="O12" s="24" t="s">
        <v>12</v>
      </c>
      <c r="P12" s="35"/>
      <c r="Q12" s="154"/>
      <c r="R12" s="133"/>
      <c r="S12" s="156"/>
      <c r="T12" s="45" t="s">
        <v>2</v>
      </c>
      <c r="U12" s="46" t="s">
        <v>24</v>
      </c>
      <c r="V12" s="46" t="s">
        <v>4</v>
      </c>
      <c r="W12" s="23" t="s">
        <v>82</v>
      </c>
      <c r="X12" s="46" t="s">
        <v>45</v>
      </c>
      <c r="Y12" s="46" t="s">
        <v>25</v>
      </c>
      <c r="Z12" s="46" t="s">
        <v>26</v>
      </c>
      <c r="AA12" s="46" t="s">
        <v>84</v>
      </c>
      <c r="AB12" s="46" t="s">
        <v>102</v>
      </c>
      <c r="AC12" s="46" t="s">
        <v>76</v>
      </c>
      <c r="AD12" s="299" t="s">
        <v>78</v>
      </c>
      <c r="AE12" s="299"/>
      <c r="AF12" s="300"/>
      <c r="AG12" s="157"/>
      <c r="AH12" s="157"/>
      <c r="AI12" s="157"/>
      <c r="AJ12" s="157"/>
      <c r="AK12" s="157"/>
      <c r="AL12" s="158"/>
      <c r="AM12" s="133"/>
    </row>
    <row r="13" spans="1:50" ht="15" customHeight="1">
      <c r="A13" s="30"/>
      <c r="B13" s="147"/>
      <c r="C13" s="232">
        <v>1</v>
      </c>
      <c r="D13" s="210" t="s">
        <v>128</v>
      </c>
      <c r="E13" s="210" t="s">
        <v>36</v>
      </c>
      <c r="F13" s="100" t="s">
        <v>116</v>
      </c>
      <c r="G13" s="124">
        <v>140</v>
      </c>
      <c r="H13" s="125">
        <v>210</v>
      </c>
      <c r="I13" s="126">
        <v>11</v>
      </c>
      <c r="J13" s="234">
        <f t="shared" ref="J13:J20" si="0">SUM(G13:I13)</f>
        <v>361</v>
      </c>
      <c r="K13" s="171">
        <f t="shared" ref="K13:K21" si="1">IF(J13&lt;&gt;0,G13/J13,0)</f>
        <v>0.38781163434903049</v>
      </c>
      <c r="L13" s="213" t="s">
        <v>166</v>
      </c>
      <c r="M13" s="213">
        <v>15</v>
      </c>
      <c r="N13" s="223">
        <v>51</v>
      </c>
      <c r="O13" s="210"/>
      <c r="P13" s="35"/>
      <c r="Q13" s="154"/>
      <c r="R13" s="133"/>
      <c r="S13" s="156" t="s">
        <v>56</v>
      </c>
      <c r="T13" s="293">
        <v>1</v>
      </c>
      <c r="U13" s="211"/>
      <c r="V13" s="211"/>
      <c r="W13" s="211"/>
      <c r="X13" s="211"/>
      <c r="Y13" s="234">
        <f>IF(U13&lt;&gt;"",X13*VLOOKUP(U13,Listas!$H$3:$L$23,3,0),0)</f>
        <v>0</v>
      </c>
      <c r="Z13" s="234">
        <f>Y13*18</f>
        <v>0</v>
      </c>
      <c r="AA13" s="272">
        <f>+SUM(Z13:Z14)</f>
        <v>0</v>
      </c>
      <c r="AB13" s="234" t="str">
        <f>IF(U13&lt;&gt;"",VLOOKUP(U13,Listas!$N$3:$O$10,2,FALSE),"")</f>
        <v/>
      </c>
      <c r="AC13" s="301"/>
      <c r="AD13" s="274"/>
      <c r="AE13" s="275"/>
      <c r="AF13" s="276"/>
      <c r="AG13" s="157"/>
      <c r="AH13" s="157"/>
      <c r="AI13" s="157"/>
      <c r="AJ13" s="157"/>
      <c r="AK13" s="157"/>
      <c r="AL13" s="158"/>
      <c r="AM13" s="133"/>
    </row>
    <row r="14" spans="1:50" ht="15" customHeight="1">
      <c r="A14" s="30"/>
      <c r="B14" s="147"/>
      <c r="C14" s="28">
        <v>2</v>
      </c>
      <c r="D14" s="210" t="s">
        <v>128</v>
      </c>
      <c r="E14" s="210" t="s">
        <v>37</v>
      </c>
      <c r="F14" s="100" t="s">
        <v>118</v>
      </c>
      <c r="G14" s="124">
        <v>840</v>
      </c>
      <c r="H14" s="125">
        <v>30</v>
      </c>
      <c r="I14" s="126">
        <v>7</v>
      </c>
      <c r="J14" s="26">
        <f t="shared" si="0"/>
        <v>877</v>
      </c>
      <c r="K14" s="172">
        <f t="shared" si="1"/>
        <v>0.95781071835803877</v>
      </c>
      <c r="L14" s="213" t="s">
        <v>157</v>
      </c>
      <c r="M14" s="213"/>
      <c r="N14" s="223"/>
      <c r="O14" s="210"/>
      <c r="P14" s="35"/>
      <c r="Q14" s="154"/>
      <c r="R14" s="133"/>
      <c r="S14" s="156"/>
      <c r="T14" s="288"/>
      <c r="U14" s="104"/>
      <c r="V14" s="116"/>
      <c r="W14" s="104"/>
      <c r="X14" s="104"/>
      <c r="Y14" s="235">
        <f>IF(U14&lt;&gt;"",X14*VLOOKUP(U14,Listas!$H$3:$L$23,3,0),0)</f>
        <v>0</v>
      </c>
      <c r="Z14" s="235">
        <f>Y14*18</f>
        <v>0</v>
      </c>
      <c r="AA14" s="289"/>
      <c r="AB14" s="235" t="str">
        <f>IF(U14&lt;&gt;"",VLOOKUP(U14,Listas!$N$3:$O$10,2,FALSE),"")</f>
        <v/>
      </c>
      <c r="AC14" s="302"/>
      <c r="AD14" s="290"/>
      <c r="AE14" s="291"/>
      <c r="AF14" s="292"/>
      <c r="AG14" s="157"/>
      <c r="AH14" s="157"/>
      <c r="AI14" s="157"/>
      <c r="AJ14" s="157"/>
      <c r="AK14" s="157"/>
      <c r="AL14" s="158"/>
      <c r="AM14" s="133"/>
    </row>
    <row r="15" spans="1:50" ht="15" customHeight="1">
      <c r="A15" s="30"/>
      <c r="B15" s="147"/>
      <c r="C15" s="28">
        <v>3</v>
      </c>
      <c r="D15" s="210" t="s">
        <v>126</v>
      </c>
      <c r="E15" s="210" t="s">
        <v>37</v>
      </c>
      <c r="F15" s="100" t="s">
        <v>118</v>
      </c>
      <c r="G15" s="124">
        <v>420</v>
      </c>
      <c r="H15" s="125">
        <v>50</v>
      </c>
      <c r="I15" s="126">
        <v>3</v>
      </c>
      <c r="J15" s="26">
        <f t="shared" si="0"/>
        <v>473</v>
      </c>
      <c r="K15" s="172">
        <f t="shared" si="1"/>
        <v>0.88794926004228325</v>
      </c>
      <c r="L15" s="213" t="s">
        <v>157</v>
      </c>
      <c r="M15" s="213"/>
      <c r="N15" s="223"/>
      <c r="O15" s="210"/>
      <c r="P15" s="35"/>
      <c r="Q15" s="154"/>
      <c r="R15" s="133"/>
      <c r="S15" s="156"/>
      <c r="T15" s="270">
        <v>2</v>
      </c>
      <c r="U15" s="211"/>
      <c r="V15" s="211"/>
      <c r="W15" s="210"/>
      <c r="X15" s="211"/>
      <c r="Y15" s="237">
        <f>IF(U15&lt;&gt;"",X15*VLOOKUP(U15,Listas!$H$3:$L$23,3,0),0)</f>
        <v>0</v>
      </c>
      <c r="Z15" s="237">
        <f t="shared" ref="Z15:Z28" si="2">Y15*18</f>
        <v>0</v>
      </c>
      <c r="AA15" s="303">
        <f>+SUM(Z15:Z16)</f>
        <v>0</v>
      </c>
      <c r="AB15" s="237" t="str">
        <f>IF(U15&lt;&gt;"",VLOOKUP(U15,Listas!$N$3:$O$10,2,FALSE),"")</f>
        <v/>
      </c>
      <c r="AC15" s="301"/>
      <c r="AD15" s="274"/>
      <c r="AE15" s="275"/>
      <c r="AF15" s="276"/>
      <c r="AG15" s="157"/>
      <c r="AH15" s="157"/>
      <c r="AI15" s="157"/>
      <c r="AJ15" s="157"/>
      <c r="AK15" s="157"/>
      <c r="AL15" s="158"/>
      <c r="AM15" s="133"/>
    </row>
    <row r="16" spans="1:50" ht="15" customHeight="1">
      <c r="A16" s="30"/>
      <c r="B16" s="147"/>
      <c r="C16" s="28">
        <v>4</v>
      </c>
      <c r="D16" s="210" t="s">
        <v>126</v>
      </c>
      <c r="E16" s="210" t="s">
        <v>37</v>
      </c>
      <c r="F16" s="100" t="s">
        <v>118</v>
      </c>
      <c r="G16" s="124">
        <v>840</v>
      </c>
      <c r="H16" s="125">
        <v>50</v>
      </c>
      <c r="I16" s="126">
        <v>11</v>
      </c>
      <c r="J16" s="26">
        <f t="shared" si="0"/>
        <v>901</v>
      </c>
      <c r="K16" s="172">
        <f t="shared" si="1"/>
        <v>0.93229744728079911</v>
      </c>
      <c r="L16" s="213" t="s">
        <v>157</v>
      </c>
      <c r="M16" s="213"/>
      <c r="N16" s="223"/>
      <c r="O16" s="210"/>
      <c r="P16" s="35"/>
      <c r="Q16" s="154"/>
      <c r="R16" s="133"/>
      <c r="S16" s="156"/>
      <c r="T16" s="271"/>
      <c r="U16" s="104"/>
      <c r="V16" s="116"/>
      <c r="W16" s="104"/>
      <c r="X16" s="104"/>
      <c r="Y16" s="238">
        <f>IF(U16&lt;&gt;"",X16*VLOOKUP(U16,Listas!$H$3:$L$23,3,0),0)</f>
        <v>0</v>
      </c>
      <c r="Z16" s="238">
        <f t="shared" si="2"/>
        <v>0</v>
      </c>
      <c r="AA16" s="273"/>
      <c r="AB16" s="238" t="str">
        <f>IF(U16&lt;&gt;"",VLOOKUP(U16,Listas!$N$3:$O$10,2,FALSE),"")</f>
        <v/>
      </c>
      <c r="AC16" s="302"/>
      <c r="AD16" s="290"/>
      <c r="AE16" s="291"/>
      <c r="AF16" s="292"/>
      <c r="AG16" s="157"/>
      <c r="AH16" s="157"/>
      <c r="AI16" s="157"/>
      <c r="AJ16" s="157"/>
      <c r="AK16" s="157"/>
      <c r="AL16" s="158"/>
      <c r="AM16" s="133"/>
    </row>
    <row r="17" spans="1:39" ht="15" customHeight="1">
      <c r="A17" s="30"/>
      <c r="B17" s="147"/>
      <c r="C17" s="28">
        <v>5</v>
      </c>
      <c r="D17" s="210" t="s">
        <v>126</v>
      </c>
      <c r="E17" s="210" t="s">
        <v>37</v>
      </c>
      <c r="F17" s="100" t="s">
        <v>118</v>
      </c>
      <c r="G17" s="124">
        <v>672</v>
      </c>
      <c r="H17" s="125">
        <v>50</v>
      </c>
      <c r="I17" s="126">
        <v>24</v>
      </c>
      <c r="J17" s="26">
        <f t="shared" si="0"/>
        <v>746</v>
      </c>
      <c r="K17" s="172">
        <f t="shared" si="1"/>
        <v>0.90080428954423597</v>
      </c>
      <c r="L17" s="213" t="s">
        <v>157</v>
      </c>
      <c r="M17" s="213"/>
      <c r="N17" s="223"/>
      <c r="O17" s="210"/>
      <c r="P17" s="35"/>
      <c r="Q17" s="154"/>
      <c r="R17" s="133"/>
      <c r="S17" s="156"/>
      <c r="T17" s="293">
        <v>3</v>
      </c>
      <c r="U17" s="211"/>
      <c r="V17" s="211"/>
      <c r="W17" s="210"/>
      <c r="X17" s="211"/>
      <c r="Y17" s="234">
        <f>IF(U17&lt;&gt;"",X17*VLOOKUP(U17,Listas!$H$3:$L$23,3,0),0)</f>
        <v>0</v>
      </c>
      <c r="Z17" s="234">
        <f t="shared" si="2"/>
        <v>0</v>
      </c>
      <c r="AA17" s="272">
        <f>+SUM(Z17:Z18)</f>
        <v>0</v>
      </c>
      <c r="AB17" s="234" t="str">
        <f>IF(U17&lt;&gt;"",VLOOKUP(U17,Listas!$N$3:$O$10,2,FALSE),"")</f>
        <v/>
      </c>
      <c r="AC17" s="301"/>
      <c r="AD17" s="274"/>
      <c r="AE17" s="275"/>
      <c r="AF17" s="276"/>
      <c r="AG17" s="157"/>
      <c r="AH17" s="157"/>
      <c r="AI17" s="157"/>
      <c r="AJ17" s="157"/>
      <c r="AK17" s="157"/>
      <c r="AL17" s="158"/>
      <c r="AM17" s="133"/>
    </row>
    <row r="18" spans="1:39" ht="15" customHeight="1">
      <c r="A18" s="30"/>
      <c r="B18" s="147"/>
      <c r="C18" s="28">
        <v>6</v>
      </c>
      <c r="D18" s="210" t="s">
        <v>125</v>
      </c>
      <c r="E18" s="210" t="s">
        <v>37</v>
      </c>
      <c r="F18" s="100" t="s">
        <v>118</v>
      </c>
      <c r="G18" s="124">
        <v>558</v>
      </c>
      <c r="H18" s="125">
        <v>30</v>
      </c>
      <c r="I18" s="126">
        <v>17</v>
      </c>
      <c r="J18" s="26">
        <f t="shared" si="0"/>
        <v>605</v>
      </c>
      <c r="K18" s="172">
        <f t="shared" si="1"/>
        <v>0.92231404958677687</v>
      </c>
      <c r="L18" s="213" t="s">
        <v>157</v>
      </c>
      <c r="M18" s="213"/>
      <c r="N18" s="223"/>
      <c r="O18" s="210"/>
      <c r="P18" s="35"/>
      <c r="Q18" s="154"/>
      <c r="R18" s="133"/>
      <c r="S18" s="156"/>
      <c r="T18" s="288"/>
      <c r="U18" s="211"/>
      <c r="V18" s="211"/>
      <c r="W18" s="104"/>
      <c r="X18" s="104"/>
      <c r="Y18" s="235">
        <f>IF(U18&lt;&gt;"",X18*VLOOKUP(U18,Listas!$H$3:$L$23,3,0),0)</f>
        <v>0</v>
      </c>
      <c r="Z18" s="235">
        <f t="shared" si="2"/>
        <v>0</v>
      </c>
      <c r="AA18" s="289"/>
      <c r="AB18" s="235" t="str">
        <f>IF(U18&lt;&gt;"",VLOOKUP(U18,Listas!$N$3:$O$10,2,FALSE),"")</f>
        <v/>
      </c>
      <c r="AC18" s="302"/>
      <c r="AD18" s="290"/>
      <c r="AE18" s="291"/>
      <c r="AF18" s="292"/>
      <c r="AG18" s="157"/>
      <c r="AH18" s="157"/>
      <c r="AI18" s="157"/>
      <c r="AJ18" s="157"/>
      <c r="AK18" s="157"/>
      <c r="AL18" s="158"/>
      <c r="AM18" s="133"/>
    </row>
    <row r="19" spans="1:39" ht="15" customHeight="1">
      <c r="A19" s="30"/>
      <c r="B19" s="147"/>
      <c r="C19" s="28">
        <v>7</v>
      </c>
      <c r="D19" s="210" t="s">
        <v>125</v>
      </c>
      <c r="E19" s="210" t="s">
        <v>37</v>
      </c>
      <c r="F19" s="100" t="s">
        <v>118</v>
      </c>
      <c r="G19" s="124">
        <v>666</v>
      </c>
      <c r="H19" s="125">
        <v>40</v>
      </c>
      <c r="I19" s="126">
        <v>6</v>
      </c>
      <c r="J19" s="26">
        <f t="shared" si="0"/>
        <v>712</v>
      </c>
      <c r="K19" s="172">
        <f t="shared" si="1"/>
        <v>0.9353932584269663</v>
      </c>
      <c r="L19" s="213" t="s">
        <v>157</v>
      </c>
      <c r="M19" s="213"/>
      <c r="N19" s="223"/>
      <c r="O19" s="210"/>
      <c r="P19" s="35"/>
      <c r="Q19" s="154"/>
      <c r="R19" s="133"/>
      <c r="S19" s="156"/>
      <c r="T19" s="270">
        <v>4</v>
      </c>
      <c r="U19" s="211"/>
      <c r="V19" s="211"/>
      <c r="W19" s="210"/>
      <c r="X19" s="211"/>
      <c r="Y19" s="237">
        <f>IF(U19&lt;&gt;"",X19*VLOOKUP(U19,Listas!$H$3:$L$23,3,0),0)</f>
        <v>0</v>
      </c>
      <c r="Z19" s="237">
        <f t="shared" si="2"/>
        <v>0</v>
      </c>
      <c r="AA19" s="303">
        <f>+SUM(Z19:Z20)</f>
        <v>0</v>
      </c>
      <c r="AB19" s="237" t="str">
        <f>IF(U19&lt;&gt;"",VLOOKUP(U19,Listas!$N$3:$O$10,2,FALSE),"")</f>
        <v/>
      </c>
      <c r="AC19" s="301"/>
      <c r="AD19" s="274"/>
      <c r="AE19" s="275"/>
      <c r="AF19" s="276"/>
      <c r="AG19" s="157"/>
      <c r="AH19" s="157"/>
      <c r="AI19" s="157"/>
      <c r="AJ19" s="157"/>
      <c r="AK19" s="157"/>
      <c r="AL19" s="158"/>
      <c r="AM19" s="133"/>
    </row>
    <row r="20" spans="1:39" ht="15" customHeight="1" thickBot="1">
      <c r="A20" s="30"/>
      <c r="B20" s="147"/>
      <c r="C20" s="236">
        <v>8</v>
      </c>
      <c r="D20" s="210" t="s">
        <v>125</v>
      </c>
      <c r="E20" s="210" t="s">
        <v>37</v>
      </c>
      <c r="F20" s="100" t="s">
        <v>118</v>
      </c>
      <c r="G20" s="226">
        <v>750</v>
      </c>
      <c r="H20" s="225">
        <v>10</v>
      </c>
      <c r="I20" s="208">
        <v>7</v>
      </c>
      <c r="J20" s="238">
        <f t="shared" si="0"/>
        <v>767</v>
      </c>
      <c r="K20" s="173">
        <f t="shared" si="1"/>
        <v>0.97783572359843551</v>
      </c>
      <c r="L20" s="213"/>
      <c r="M20" s="213"/>
      <c r="N20" s="223"/>
      <c r="O20" s="210"/>
      <c r="P20" s="35"/>
      <c r="Q20" s="154"/>
      <c r="R20" s="133"/>
      <c r="S20" s="156"/>
      <c r="T20" s="271"/>
      <c r="U20" s="104"/>
      <c r="V20" s="116"/>
      <c r="W20" s="104"/>
      <c r="X20" s="104"/>
      <c r="Y20" s="238">
        <f>IF(U20&lt;&gt;"",X20*VLOOKUP(U20,Listas!$H$3:$L$23,3,0),0)</f>
        <v>0</v>
      </c>
      <c r="Z20" s="238">
        <f t="shared" si="2"/>
        <v>0</v>
      </c>
      <c r="AA20" s="273"/>
      <c r="AB20" s="238" t="str">
        <f>IF(U20&lt;&gt;"",VLOOKUP(U20,Listas!$N$3:$O$10,2,FALSE),"")</f>
        <v/>
      </c>
      <c r="AC20" s="302"/>
      <c r="AD20" s="290"/>
      <c r="AE20" s="291"/>
      <c r="AF20" s="292"/>
      <c r="AG20" s="157"/>
      <c r="AH20" s="157"/>
      <c r="AI20" s="157"/>
      <c r="AJ20" s="157"/>
      <c r="AK20" s="157"/>
      <c r="AL20" s="158"/>
      <c r="AM20" s="133"/>
    </row>
    <row r="21" spans="1:39" ht="15" customHeight="1" thickBot="1">
      <c r="A21" s="30"/>
      <c r="B21" s="147"/>
      <c r="C21" s="174" t="s">
        <v>7</v>
      </c>
      <c r="D21" s="110"/>
      <c r="E21" s="110"/>
      <c r="F21" s="110"/>
      <c r="G21" s="111">
        <f>SUM(G13:G20)</f>
        <v>4886</v>
      </c>
      <c r="H21" s="111">
        <f>SUM(H13:H20)</f>
        <v>470</v>
      </c>
      <c r="I21" s="121">
        <f>SUM(I13:I20)</f>
        <v>86</v>
      </c>
      <c r="J21" s="111">
        <f>SUM(J13:J20)</f>
        <v>5442</v>
      </c>
      <c r="K21" s="175">
        <f t="shared" si="1"/>
        <v>0.89783167952958476</v>
      </c>
      <c r="L21" s="239"/>
      <c r="M21" s="112">
        <f>SUM(M13:M20)</f>
        <v>15</v>
      </c>
      <c r="N21" s="224"/>
      <c r="O21" s="176"/>
      <c r="P21" s="35"/>
      <c r="Q21" s="154"/>
      <c r="R21" s="133"/>
      <c r="S21" s="156"/>
      <c r="T21" s="293">
        <v>5</v>
      </c>
      <c r="U21" s="211"/>
      <c r="V21" s="211"/>
      <c r="W21" s="210"/>
      <c r="X21" s="211"/>
      <c r="Y21" s="234">
        <f>IF(U21&lt;&gt;"",X21*VLOOKUP(U21,Listas!$H$3:$L$23,3,0),0)</f>
        <v>0</v>
      </c>
      <c r="Z21" s="234">
        <f t="shared" si="2"/>
        <v>0</v>
      </c>
      <c r="AA21" s="272">
        <f>+SUM(Z21:Z22)</f>
        <v>0</v>
      </c>
      <c r="AB21" s="234" t="str">
        <f>IF(U21&lt;&gt;"",VLOOKUP(U21,Listas!$N$3:$O$10,2,FALSE),"")</f>
        <v/>
      </c>
      <c r="AC21" s="301"/>
      <c r="AD21" s="274"/>
      <c r="AE21" s="275"/>
      <c r="AF21" s="276"/>
      <c r="AG21" s="157"/>
      <c r="AH21" s="157"/>
      <c r="AI21" s="157"/>
      <c r="AJ21" s="157"/>
      <c r="AK21" s="157"/>
      <c r="AL21" s="158"/>
      <c r="AM21" s="133"/>
    </row>
    <row r="22" spans="1:39" ht="15" customHeight="1" thickBot="1">
      <c r="A22" s="30"/>
      <c r="B22" s="147"/>
      <c r="C22" s="41"/>
      <c r="D22" s="41"/>
      <c r="E22" s="41"/>
      <c r="F22" s="41"/>
      <c r="G22" s="42"/>
      <c r="H22" s="42"/>
      <c r="I22" s="42"/>
      <c r="J22" s="42"/>
      <c r="K22" s="177"/>
      <c r="L22" s="42"/>
      <c r="M22" s="41"/>
      <c r="N22" s="41"/>
      <c r="O22" s="35"/>
      <c r="P22" s="35"/>
      <c r="Q22" s="154"/>
      <c r="R22" s="133"/>
      <c r="S22" s="156"/>
      <c r="T22" s="288"/>
      <c r="U22" s="104"/>
      <c r="V22" s="116"/>
      <c r="W22" s="104"/>
      <c r="X22" s="104"/>
      <c r="Y22" s="235">
        <f>IF(U22&lt;&gt;"",X22*VLOOKUP(U22,Listas!$H$3:$L$23,3,0),0)</f>
        <v>0</v>
      </c>
      <c r="Z22" s="235">
        <f t="shared" si="2"/>
        <v>0</v>
      </c>
      <c r="AA22" s="289"/>
      <c r="AB22" s="235" t="str">
        <f>IF(U22&lt;&gt;"",VLOOKUP(U22,Listas!$N$3:$O$10,2,FALSE),"")</f>
        <v/>
      </c>
      <c r="AC22" s="302"/>
      <c r="AD22" s="290"/>
      <c r="AE22" s="291"/>
      <c r="AF22" s="292"/>
      <c r="AG22" s="157"/>
      <c r="AH22" s="157"/>
      <c r="AI22" s="157"/>
      <c r="AJ22" s="157"/>
      <c r="AK22" s="157"/>
      <c r="AL22" s="158"/>
      <c r="AM22" s="133"/>
    </row>
    <row r="23" spans="1:39" ht="15" customHeight="1">
      <c r="A23" s="30"/>
      <c r="B23" s="147"/>
      <c r="C23" s="253">
        <v>2</v>
      </c>
      <c r="D23" s="255">
        <f>K34</f>
        <v>0.95240174672489086</v>
      </c>
      <c r="E23" s="35"/>
      <c r="F23" s="35"/>
      <c r="G23" s="35"/>
      <c r="H23" s="35"/>
      <c r="I23" s="35"/>
      <c r="J23" s="35"/>
      <c r="K23" s="35"/>
      <c r="L23" s="36"/>
      <c r="M23" s="35"/>
      <c r="N23" s="35"/>
      <c r="O23" s="35"/>
      <c r="P23" s="35"/>
      <c r="Q23" s="154"/>
      <c r="R23" s="133"/>
      <c r="S23" s="156"/>
      <c r="T23" s="270">
        <v>6</v>
      </c>
      <c r="U23" s="211"/>
      <c r="V23" s="211"/>
      <c r="W23" s="211"/>
      <c r="X23" s="211"/>
      <c r="Y23" s="237">
        <f>IF(U23&lt;&gt;"",X23*VLOOKUP(U23,Listas!$H$3:$L$23,3,0),0)</f>
        <v>0</v>
      </c>
      <c r="Z23" s="237">
        <f t="shared" si="2"/>
        <v>0</v>
      </c>
      <c r="AA23" s="303">
        <f>+SUM(Z23:Z24)</f>
        <v>0</v>
      </c>
      <c r="AB23" s="237" t="str">
        <f>IF(U23&lt;&gt;"",VLOOKUP(U23,Listas!$N$3:$O$10,2,FALSE),"")</f>
        <v/>
      </c>
      <c r="AC23" s="301"/>
      <c r="AD23" s="274"/>
      <c r="AE23" s="275"/>
      <c r="AF23" s="276"/>
      <c r="AG23" s="157"/>
      <c r="AH23" s="157"/>
      <c r="AI23" s="157"/>
      <c r="AJ23" s="157"/>
      <c r="AK23" s="157"/>
      <c r="AL23" s="158"/>
      <c r="AM23" s="133"/>
    </row>
    <row r="24" spans="1:39" ht="15" customHeight="1" thickBot="1">
      <c r="A24" s="30"/>
      <c r="B24" s="147"/>
      <c r="C24" s="254"/>
      <c r="D24" s="256"/>
      <c r="E24" s="131"/>
      <c r="F24" s="131"/>
      <c r="G24" s="131"/>
      <c r="H24" s="131"/>
      <c r="I24" s="131"/>
      <c r="J24" s="131"/>
      <c r="K24" s="131"/>
      <c r="L24" s="37"/>
      <c r="M24" s="35"/>
      <c r="N24" s="35"/>
      <c r="O24" s="35"/>
      <c r="P24" s="35"/>
      <c r="Q24" s="154"/>
      <c r="R24" s="133"/>
      <c r="S24" s="156"/>
      <c r="T24" s="271"/>
      <c r="U24" s="104"/>
      <c r="V24" s="211"/>
      <c r="W24" s="104"/>
      <c r="X24" s="104"/>
      <c r="Y24" s="238">
        <f>IF(U24&lt;&gt;"",X24*VLOOKUP(U24,Listas!$H$3:$L$23,3,0),0)</f>
        <v>0</v>
      </c>
      <c r="Z24" s="238">
        <f t="shared" si="2"/>
        <v>0</v>
      </c>
      <c r="AA24" s="273"/>
      <c r="AB24" s="238" t="str">
        <f>IF(U24&lt;&gt;"",VLOOKUP(U24,Listas!$N$3:$O$10,2,FALSE),"")</f>
        <v/>
      </c>
      <c r="AC24" s="302"/>
      <c r="AD24" s="290"/>
      <c r="AE24" s="291"/>
      <c r="AF24" s="292"/>
      <c r="AG24" s="157"/>
      <c r="AH24" s="157"/>
      <c r="AI24" s="157"/>
      <c r="AJ24" s="157"/>
      <c r="AK24" s="157"/>
      <c r="AL24" s="158"/>
      <c r="AM24" s="133"/>
    </row>
    <row r="25" spans="1:39" ht="15" customHeight="1">
      <c r="A25" s="30"/>
      <c r="B25" s="147"/>
      <c r="C25" s="29" t="s">
        <v>2</v>
      </c>
      <c r="D25" s="23" t="s">
        <v>6</v>
      </c>
      <c r="E25" s="23" t="s">
        <v>3</v>
      </c>
      <c r="F25" s="23" t="s">
        <v>58</v>
      </c>
      <c r="G25" s="231" t="s">
        <v>0</v>
      </c>
      <c r="H25" s="231" t="s">
        <v>1</v>
      </c>
      <c r="I25" s="231" t="s">
        <v>18</v>
      </c>
      <c r="J25" s="231" t="s">
        <v>5</v>
      </c>
      <c r="K25" s="23" t="s">
        <v>13</v>
      </c>
      <c r="L25" s="231" t="s">
        <v>17</v>
      </c>
      <c r="M25" s="23" t="s">
        <v>9</v>
      </c>
      <c r="N25" s="240" t="s">
        <v>77</v>
      </c>
      <c r="O25" s="24" t="s">
        <v>12</v>
      </c>
      <c r="P25" s="35"/>
      <c r="Q25" s="154"/>
      <c r="R25" s="133"/>
      <c r="S25" s="156"/>
      <c r="T25" s="293">
        <v>7</v>
      </c>
      <c r="U25" s="211" t="s">
        <v>23</v>
      </c>
      <c r="V25" s="211" t="s">
        <v>118</v>
      </c>
      <c r="W25" s="210">
        <v>4</v>
      </c>
      <c r="X25" s="211">
        <v>8</v>
      </c>
      <c r="Y25" s="234">
        <f>IF(U25&lt;&gt;"",X25*VLOOKUP(U25,Listas!$H$3:$L$23,3,0),0)</f>
        <v>144</v>
      </c>
      <c r="Z25" s="234">
        <f t="shared" si="2"/>
        <v>2592</v>
      </c>
      <c r="AA25" s="272">
        <f>+SUM(Z25:Z26)</f>
        <v>2592</v>
      </c>
      <c r="AB25" s="234">
        <f>IF(U25&lt;&gt;"",VLOOKUP(U25,Listas!$N$3:$O$10,2,FALSE),"")</f>
        <v>14</v>
      </c>
      <c r="AC25" s="301"/>
      <c r="AD25" s="274"/>
      <c r="AE25" s="275"/>
      <c r="AF25" s="276"/>
      <c r="AG25" s="161"/>
      <c r="AH25" s="161"/>
      <c r="AI25" s="161"/>
      <c r="AJ25" s="161"/>
      <c r="AK25" s="161"/>
      <c r="AL25" s="158"/>
      <c r="AM25" s="133"/>
    </row>
    <row r="26" spans="1:39" ht="15" customHeight="1">
      <c r="A26" s="30"/>
      <c r="B26" s="147"/>
      <c r="C26" s="232">
        <v>1</v>
      </c>
      <c r="D26" s="210" t="s">
        <v>130</v>
      </c>
      <c r="E26" s="210" t="s">
        <v>33</v>
      </c>
      <c r="F26" s="100" t="s">
        <v>116</v>
      </c>
      <c r="G26" s="124">
        <v>888</v>
      </c>
      <c r="H26" s="125">
        <v>20</v>
      </c>
      <c r="I26" s="126">
        <v>8</v>
      </c>
      <c r="J26" s="234">
        <f t="shared" ref="J26:J33" si="3">SUM(G26:I26)</f>
        <v>916</v>
      </c>
      <c r="K26" s="171">
        <f t="shared" ref="K26:K34" si="4">IF(J26&lt;&gt;0,G26/J26,0)</f>
        <v>0.96943231441048039</v>
      </c>
      <c r="L26" s="213"/>
      <c r="M26" s="210"/>
      <c r="N26" s="223"/>
      <c r="O26" s="210"/>
      <c r="P26" s="35"/>
      <c r="Q26" s="154"/>
      <c r="R26" s="133"/>
      <c r="S26" s="156"/>
      <c r="T26" s="288"/>
      <c r="U26" s="104"/>
      <c r="V26" s="116"/>
      <c r="W26" s="104"/>
      <c r="X26" s="104"/>
      <c r="Y26" s="235">
        <f>IF(U26&lt;&gt;"",X26*VLOOKUP(U26,Listas!$H$3:$L$23,3,0),0)</f>
        <v>0</v>
      </c>
      <c r="Z26" s="235">
        <f t="shared" si="2"/>
        <v>0</v>
      </c>
      <c r="AA26" s="289"/>
      <c r="AB26" s="235" t="str">
        <f>IF(U26&lt;&gt;"",VLOOKUP(U26,Listas!$N$3:$O$10,2,FALSE),"")</f>
        <v/>
      </c>
      <c r="AC26" s="302"/>
      <c r="AD26" s="290"/>
      <c r="AE26" s="291"/>
      <c r="AF26" s="292"/>
      <c r="AG26" s="161"/>
      <c r="AH26" s="161"/>
      <c r="AI26" s="161"/>
      <c r="AJ26" s="161"/>
      <c r="AK26" s="161"/>
      <c r="AL26" s="158"/>
      <c r="AM26" s="133"/>
    </row>
    <row r="27" spans="1:39" ht="15" customHeight="1">
      <c r="A27" s="30"/>
      <c r="B27" s="147"/>
      <c r="C27" s="28">
        <v>2</v>
      </c>
      <c r="D27" s="210" t="s">
        <v>130</v>
      </c>
      <c r="E27" s="210" t="s">
        <v>33</v>
      </c>
      <c r="F27" s="100" t="s">
        <v>116</v>
      </c>
      <c r="G27" s="124">
        <v>633</v>
      </c>
      <c r="H27" s="125">
        <v>60</v>
      </c>
      <c r="I27" s="126">
        <v>6</v>
      </c>
      <c r="J27" s="26">
        <f t="shared" si="3"/>
        <v>699</v>
      </c>
      <c r="K27" s="172">
        <f t="shared" si="4"/>
        <v>0.90557939914163088</v>
      </c>
      <c r="L27" s="213" t="s">
        <v>124</v>
      </c>
      <c r="M27" s="213">
        <v>5</v>
      </c>
      <c r="N27" s="223">
        <v>56</v>
      </c>
      <c r="O27" s="210"/>
      <c r="P27" s="35"/>
      <c r="Q27" s="154"/>
      <c r="R27" s="133"/>
      <c r="S27" s="156"/>
      <c r="T27" s="270">
        <v>8</v>
      </c>
      <c r="U27" s="211" t="s">
        <v>23</v>
      </c>
      <c r="V27" s="211" t="s">
        <v>118</v>
      </c>
      <c r="W27" s="210">
        <v>4</v>
      </c>
      <c r="X27" s="211">
        <v>7</v>
      </c>
      <c r="Y27" s="234">
        <f>IF(U27&lt;&gt;"",X27*VLOOKUP(U27,Listas!$H$3:$L$23,3,0),0)</f>
        <v>126</v>
      </c>
      <c r="Z27" s="234">
        <f t="shared" si="2"/>
        <v>2268</v>
      </c>
      <c r="AA27" s="272">
        <f>+SUM(Z27:Z28)</f>
        <v>2268</v>
      </c>
      <c r="AB27" s="234">
        <f>IF(U27&lt;&gt;"",VLOOKUP(U27,Listas!$N$3:$O$10,2,FALSE),"")</f>
        <v>14</v>
      </c>
      <c r="AC27" s="301"/>
      <c r="AD27" s="274"/>
      <c r="AE27" s="275"/>
      <c r="AF27" s="276"/>
      <c r="AG27" s="161"/>
      <c r="AH27" s="161"/>
      <c r="AI27" s="161"/>
      <c r="AJ27" s="161"/>
      <c r="AK27" s="161"/>
      <c r="AL27" s="158"/>
      <c r="AM27" s="133"/>
    </row>
    <row r="28" spans="1:39" ht="15" customHeight="1" thickBot="1">
      <c r="A28" s="30"/>
      <c r="B28" s="147"/>
      <c r="C28" s="28">
        <v>3</v>
      </c>
      <c r="D28" s="210" t="s">
        <v>120</v>
      </c>
      <c r="E28" s="210" t="s">
        <v>33</v>
      </c>
      <c r="F28" s="100" t="s">
        <v>151</v>
      </c>
      <c r="G28" s="124">
        <f>120+816</f>
        <v>936</v>
      </c>
      <c r="H28" s="125">
        <v>40</v>
      </c>
      <c r="I28" s="126">
        <v>6</v>
      </c>
      <c r="J28" s="26">
        <f t="shared" si="3"/>
        <v>982</v>
      </c>
      <c r="K28" s="172">
        <f t="shared" si="4"/>
        <v>0.95315682281059066</v>
      </c>
      <c r="L28" s="213" t="s">
        <v>124</v>
      </c>
      <c r="M28" s="213"/>
      <c r="N28" s="223"/>
      <c r="O28" s="210"/>
      <c r="P28" s="35"/>
      <c r="Q28" s="154"/>
      <c r="R28" s="133"/>
      <c r="S28" s="156"/>
      <c r="T28" s="271"/>
      <c r="U28" s="104"/>
      <c r="V28" s="116"/>
      <c r="W28" s="104"/>
      <c r="X28" s="104"/>
      <c r="Y28" s="238">
        <f>IF(U28&lt;&gt;"",X28*VLOOKUP(U28,Listas!$H$3:$L$23,3,0),0)</f>
        <v>0</v>
      </c>
      <c r="Z28" s="238">
        <f t="shared" si="2"/>
        <v>0</v>
      </c>
      <c r="AA28" s="273"/>
      <c r="AB28" s="238" t="str">
        <f>IF(U28&lt;&gt;"",VLOOKUP(U28,Listas!$N$3:$O$10,2,FALSE),"")</f>
        <v/>
      </c>
      <c r="AC28" s="302"/>
      <c r="AD28" s="290"/>
      <c r="AE28" s="291"/>
      <c r="AF28" s="292"/>
      <c r="AG28" s="161"/>
      <c r="AH28" s="161"/>
      <c r="AI28" s="161"/>
      <c r="AJ28" s="161"/>
      <c r="AK28" s="161"/>
      <c r="AL28" s="158"/>
      <c r="AM28" s="133"/>
    </row>
    <row r="29" spans="1:39" ht="15" customHeight="1" thickBot="1">
      <c r="A29" s="30"/>
      <c r="B29" s="147"/>
      <c r="C29" s="28">
        <v>4</v>
      </c>
      <c r="D29" s="210" t="s">
        <v>120</v>
      </c>
      <c r="E29" s="210" t="s">
        <v>33</v>
      </c>
      <c r="F29" s="100" t="s">
        <v>151</v>
      </c>
      <c r="G29" s="124">
        <v>840</v>
      </c>
      <c r="H29" s="125">
        <v>80</v>
      </c>
      <c r="I29" s="126">
        <v>4</v>
      </c>
      <c r="J29" s="26">
        <f t="shared" si="3"/>
        <v>924</v>
      </c>
      <c r="K29" s="172">
        <f t="shared" si="4"/>
        <v>0.90909090909090906</v>
      </c>
      <c r="L29" s="213" t="s">
        <v>124</v>
      </c>
      <c r="M29" s="213"/>
      <c r="N29" s="223"/>
      <c r="O29" s="210"/>
      <c r="P29" s="35"/>
      <c r="Q29" s="154"/>
      <c r="R29" s="133"/>
      <c r="S29" s="156"/>
      <c r="T29" s="120"/>
      <c r="U29" s="239"/>
      <c r="V29" s="239"/>
      <c r="W29" s="239"/>
      <c r="X29" s="121">
        <f>+SUM(X13:X28)</f>
        <v>15</v>
      </c>
      <c r="Y29" s="121">
        <f>+SUM(Y13:Y28)</f>
        <v>270</v>
      </c>
      <c r="Z29" s="121">
        <f>+SUM(Z13:Z28)</f>
        <v>4860</v>
      </c>
      <c r="AA29" s="122"/>
      <c r="AB29" s="239"/>
      <c r="AC29" s="111">
        <f>SUM(AC13:AC28)</f>
        <v>0</v>
      </c>
      <c r="AD29" s="280"/>
      <c r="AE29" s="280"/>
      <c r="AF29" s="281"/>
      <c r="AG29" s="161"/>
      <c r="AH29" s="161"/>
      <c r="AI29" s="161"/>
      <c r="AJ29" s="161"/>
      <c r="AK29" s="161"/>
      <c r="AL29" s="158"/>
      <c r="AM29" s="133"/>
    </row>
    <row r="30" spans="1:39" ht="15" customHeight="1" thickBot="1">
      <c r="A30" s="30"/>
      <c r="B30" s="147"/>
      <c r="C30" s="28">
        <v>5</v>
      </c>
      <c r="D30" s="210" t="s">
        <v>120</v>
      </c>
      <c r="E30" s="210" t="s">
        <v>33</v>
      </c>
      <c r="F30" s="100" t="s">
        <v>151</v>
      </c>
      <c r="G30" s="124">
        <v>816</v>
      </c>
      <c r="H30" s="125">
        <v>40</v>
      </c>
      <c r="I30" s="126">
        <v>3</v>
      </c>
      <c r="J30" s="26">
        <f t="shared" si="3"/>
        <v>859</v>
      </c>
      <c r="K30" s="172">
        <f t="shared" si="4"/>
        <v>0.94994179278230506</v>
      </c>
      <c r="L30" s="213" t="s">
        <v>124</v>
      </c>
      <c r="M30" s="213"/>
      <c r="N30" s="223"/>
      <c r="O30" s="210"/>
      <c r="P30" s="35"/>
      <c r="Q30" s="154"/>
      <c r="R30" s="133"/>
      <c r="S30" s="156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58"/>
      <c r="AM30" s="133"/>
    </row>
    <row r="31" spans="1:39" ht="15" customHeight="1">
      <c r="A31" s="30"/>
      <c r="B31" s="147"/>
      <c r="C31" s="28">
        <v>6</v>
      </c>
      <c r="D31" s="210" t="s">
        <v>121</v>
      </c>
      <c r="E31" s="210" t="s">
        <v>33</v>
      </c>
      <c r="F31" s="100" t="s">
        <v>151</v>
      </c>
      <c r="G31" s="124">
        <v>912</v>
      </c>
      <c r="H31" s="125">
        <v>20</v>
      </c>
      <c r="I31" s="126">
        <v>3</v>
      </c>
      <c r="J31" s="26">
        <f t="shared" si="3"/>
        <v>935</v>
      </c>
      <c r="K31" s="172">
        <f t="shared" si="4"/>
        <v>0.97540106951871652</v>
      </c>
      <c r="L31" s="213"/>
      <c r="M31" s="213"/>
      <c r="N31" s="223"/>
      <c r="O31" s="210"/>
      <c r="P31" s="35"/>
      <c r="Q31" s="154"/>
      <c r="R31" s="133"/>
      <c r="S31" s="156"/>
      <c r="T31" s="282" t="s">
        <v>115</v>
      </c>
      <c r="U31" s="283"/>
      <c r="V31" s="284"/>
      <c r="W31" s="21"/>
      <c r="X31" s="21"/>
      <c r="Y31" s="167"/>
      <c r="Z31" s="167"/>
      <c r="AA31" s="167"/>
      <c r="AB31" s="167"/>
      <c r="AC31" s="166"/>
      <c r="AD31" s="166"/>
      <c r="AE31" s="22"/>
      <c r="AF31" s="22"/>
      <c r="AG31" s="22"/>
      <c r="AH31" s="157"/>
      <c r="AI31" s="157"/>
      <c r="AJ31" s="157"/>
      <c r="AK31" s="157"/>
      <c r="AL31" s="158"/>
      <c r="AM31" s="133"/>
    </row>
    <row r="32" spans="1:39" ht="15" customHeight="1" thickBot="1">
      <c r="A32" s="30"/>
      <c r="B32" s="147"/>
      <c r="C32" s="28">
        <v>7</v>
      </c>
      <c r="D32" s="210" t="s">
        <v>121</v>
      </c>
      <c r="E32" s="210" t="s">
        <v>33</v>
      </c>
      <c r="F32" s="100" t="s">
        <v>151</v>
      </c>
      <c r="G32" s="124">
        <v>768</v>
      </c>
      <c r="H32" s="125">
        <v>20</v>
      </c>
      <c r="I32" s="126">
        <v>0</v>
      </c>
      <c r="J32" s="26">
        <f t="shared" si="3"/>
        <v>788</v>
      </c>
      <c r="K32" s="172">
        <f>IF(J32&lt;&gt;0,G32/J32,0)</f>
        <v>0.97461928934010156</v>
      </c>
      <c r="L32" s="213"/>
      <c r="M32" s="213"/>
      <c r="N32" s="223"/>
      <c r="O32" s="210"/>
      <c r="P32" s="35"/>
      <c r="Q32" s="154"/>
      <c r="R32" s="133"/>
      <c r="S32" s="156"/>
      <c r="T32" s="285"/>
      <c r="U32" s="286"/>
      <c r="V32" s="287"/>
      <c r="W32" s="170"/>
      <c r="X32" s="170"/>
      <c r="Y32" s="170"/>
      <c r="Z32" s="170"/>
      <c r="AA32" s="170"/>
      <c r="AB32" s="170"/>
      <c r="AC32" s="170"/>
      <c r="AD32" s="170"/>
      <c r="AE32" s="157"/>
      <c r="AF32" s="157"/>
      <c r="AG32" s="157"/>
      <c r="AH32" s="157"/>
      <c r="AI32" s="157"/>
      <c r="AJ32" s="157"/>
      <c r="AK32" s="157"/>
      <c r="AL32" s="158"/>
      <c r="AM32" s="133"/>
    </row>
    <row r="33" spans="1:39" ht="15" customHeight="1" thickBot="1">
      <c r="A33" s="30"/>
      <c r="B33" s="147"/>
      <c r="C33" s="236">
        <v>8</v>
      </c>
      <c r="D33" s="210" t="s">
        <v>121</v>
      </c>
      <c r="E33" s="210" t="s">
        <v>33</v>
      </c>
      <c r="F33" s="100" t="s">
        <v>151</v>
      </c>
      <c r="G33" s="218">
        <v>750</v>
      </c>
      <c r="H33" s="220">
        <v>10</v>
      </c>
      <c r="I33" s="218">
        <v>7</v>
      </c>
      <c r="J33" s="26">
        <f t="shared" si="3"/>
        <v>767</v>
      </c>
      <c r="K33" s="173">
        <f>IF(J33&lt;&gt;0,G33/J33,0)</f>
        <v>0.97783572359843551</v>
      </c>
      <c r="L33" s="213"/>
      <c r="M33" s="213"/>
      <c r="N33" s="223"/>
      <c r="O33" s="210"/>
      <c r="P33" s="35"/>
      <c r="Q33" s="154"/>
      <c r="R33" s="133"/>
      <c r="S33" s="156"/>
      <c r="T33" s="45" t="s">
        <v>2</v>
      </c>
      <c r="U33" s="46" t="s">
        <v>24</v>
      </c>
      <c r="V33" s="46" t="s">
        <v>4</v>
      </c>
      <c r="W33" s="23" t="s">
        <v>82</v>
      </c>
      <c r="X33" s="46" t="s">
        <v>45</v>
      </c>
      <c r="Y33" s="46" t="s">
        <v>25</v>
      </c>
      <c r="Z33" s="46" t="s">
        <v>26</v>
      </c>
      <c r="AA33" s="46" t="s">
        <v>84</v>
      </c>
      <c r="AB33" s="46" t="s">
        <v>102</v>
      </c>
      <c r="AC33" s="46" t="s">
        <v>76</v>
      </c>
      <c r="AD33" s="299" t="s">
        <v>78</v>
      </c>
      <c r="AE33" s="299"/>
      <c r="AF33" s="300"/>
      <c r="AG33" s="157"/>
      <c r="AH33" s="157"/>
      <c r="AI33" s="157"/>
      <c r="AJ33" s="157"/>
      <c r="AK33" s="157"/>
      <c r="AL33" s="158"/>
      <c r="AM33" s="133"/>
    </row>
    <row r="34" spans="1:39" ht="15" customHeight="1" thickBot="1">
      <c r="A34" s="30"/>
      <c r="B34" s="147"/>
      <c r="C34" s="174" t="s">
        <v>7</v>
      </c>
      <c r="D34" s="110"/>
      <c r="E34" s="110"/>
      <c r="F34" s="110"/>
      <c r="G34" s="111">
        <f>SUM(G26:G33)</f>
        <v>6543</v>
      </c>
      <c r="H34" s="111">
        <f>SUM(H26:H33)</f>
        <v>290</v>
      </c>
      <c r="I34" s="121">
        <f>SUM(I26:I33)</f>
        <v>37</v>
      </c>
      <c r="J34" s="111">
        <f>SUM(J26:J33)</f>
        <v>6870</v>
      </c>
      <c r="K34" s="175">
        <f t="shared" si="4"/>
        <v>0.95240174672489086</v>
      </c>
      <c r="L34" s="239"/>
      <c r="M34" s="112">
        <v>0</v>
      </c>
      <c r="N34" s="224"/>
      <c r="O34" s="176"/>
      <c r="P34" s="35"/>
      <c r="Q34" s="154"/>
      <c r="R34" s="133"/>
      <c r="S34" s="156" t="s">
        <v>56</v>
      </c>
      <c r="T34" s="293">
        <v>1</v>
      </c>
      <c r="U34" s="211" t="s">
        <v>21</v>
      </c>
      <c r="V34" s="211" t="s">
        <v>116</v>
      </c>
      <c r="W34" s="211">
        <v>4</v>
      </c>
      <c r="X34" s="211">
        <v>6</v>
      </c>
      <c r="Y34" s="234">
        <f>IF(U34&lt;&gt;"",X34*VLOOKUP(U34,Listas!$H$3:$L$23,3,0),0)</f>
        <v>216</v>
      </c>
      <c r="Z34" s="234">
        <f>Y34*18</f>
        <v>3888</v>
      </c>
      <c r="AA34" s="272">
        <f>+SUM(Z34:Z35)</f>
        <v>3888</v>
      </c>
      <c r="AB34" s="234">
        <f>IF(U34&lt;&gt;"",VLOOKUP(U34,Listas!$N$3:$O$10,2,FALSE),"")</f>
        <v>7</v>
      </c>
      <c r="AC34" s="301"/>
      <c r="AD34" s="274"/>
      <c r="AE34" s="275"/>
      <c r="AF34" s="276"/>
      <c r="AG34" s="157"/>
      <c r="AH34" s="157"/>
      <c r="AI34" s="157"/>
      <c r="AJ34" s="157"/>
      <c r="AK34" s="157"/>
      <c r="AL34" s="158"/>
      <c r="AM34" s="133"/>
    </row>
    <row r="35" spans="1:39" ht="15" customHeight="1" thickBot="1">
      <c r="A35" s="30"/>
      <c r="B35" s="147"/>
      <c r="C35" s="41"/>
      <c r="D35" s="41"/>
      <c r="E35" s="41"/>
      <c r="F35" s="41"/>
      <c r="G35" s="42"/>
      <c r="H35" s="42"/>
      <c r="I35" s="42"/>
      <c r="J35" s="42"/>
      <c r="K35" s="177"/>
      <c r="L35" s="42"/>
      <c r="M35" s="41"/>
      <c r="N35" s="41"/>
      <c r="O35" s="35"/>
      <c r="P35" s="35"/>
      <c r="Q35" s="154"/>
      <c r="R35" s="133"/>
      <c r="S35" s="156"/>
      <c r="T35" s="288"/>
      <c r="U35" s="104"/>
      <c r="V35" s="211"/>
      <c r="W35" s="104"/>
      <c r="X35" s="104"/>
      <c r="Y35" s="235">
        <f>IF(U35&lt;&gt;"",X35*VLOOKUP(U35,Listas!$H$3:$L$23,3,0),0)</f>
        <v>0</v>
      </c>
      <c r="Z35" s="235">
        <f>Y35*18</f>
        <v>0</v>
      </c>
      <c r="AA35" s="289"/>
      <c r="AB35" s="235" t="str">
        <f>IF(U35&lt;&gt;"",VLOOKUP(U35,Listas!$N$3:$O$10,2,FALSE),"")</f>
        <v/>
      </c>
      <c r="AC35" s="302"/>
      <c r="AD35" s="290"/>
      <c r="AE35" s="291"/>
      <c r="AF35" s="292"/>
      <c r="AG35" s="157"/>
      <c r="AH35" s="157"/>
      <c r="AI35" s="157"/>
      <c r="AJ35" s="157"/>
      <c r="AK35" s="157"/>
      <c r="AL35" s="158"/>
      <c r="AM35" s="133"/>
    </row>
    <row r="36" spans="1:39" ht="15" customHeight="1">
      <c r="A36" s="30"/>
      <c r="B36" s="147"/>
      <c r="C36" s="253">
        <v>3</v>
      </c>
      <c r="D36" s="255">
        <f>K47</f>
        <v>0.93561954060174701</v>
      </c>
      <c r="E36" s="35"/>
      <c r="F36" s="35"/>
      <c r="G36" s="35"/>
      <c r="H36" s="35"/>
      <c r="I36" s="35"/>
      <c r="J36" s="35"/>
      <c r="K36" s="35"/>
      <c r="L36" s="36"/>
      <c r="M36" s="35"/>
      <c r="N36" s="35"/>
      <c r="O36" s="35"/>
      <c r="P36" s="35"/>
      <c r="Q36" s="154"/>
      <c r="R36" s="133"/>
      <c r="S36" s="156"/>
      <c r="T36" s="270">
        <v>2</v>
      </c>
      <c r="U36" s="211" t="s">
        <v>21</v>
      </c>
      <c r="V36" s="211" t="s">
        <v>116</v>
      </c>
      <c r="W36" s="210">
        <v>4</v>
      </c>
      <c r="X36" s="211">
        <v>7</v>
      </c>
      <c r="Y36" s="234">
        <f>IF(U36&lt;&gt;"",X36*VLOOKUP(U36,Listas!$H$3:$L$23,3,0),0)</f>
        <v>252</v>
      </c>
      <c r="Z36" s="237">
        <f t="shared" ref="Z36:Z49" si="5">Y36*18</f>
        <v>4536</v>
      </c>
      <c r="AA36" s="303">
        <f>+SUM(Z36:Z37)</f>
        <v>4536</v>
      </c>
      <c r="AB36" s="237">
        <f>IF(U36&lt;&gt;"",VLOOKUP(U36,Listas!$N$3:$O$10,2,FALSE),"")</f>
        <v>7</v>
      </c>
      <c r="AC36" s="301"/>
      <c r="AD36" s="274"/>
      <c r="AE36" s="275"/>
      <c r="AF36" s="276"/>
      <c r="AG36" s="157"/>
      <c r="AH36" s="157"/>
      <c r="AI36" s="157"/>
      <c r="AJ36" s="157"/>
      <c r="AK36" s="157"/>
      <c r="AL36" s="158"/>
      <c r="AM36" s="133"/>
    </row>
    <row r="37" spans="1:39" ht="15" customHeight="1" thickBot="1">
      <c r="A37" s="30"/>
      <c r="B37" s="147"/>
      <c r="C37" s="254"/>
      <c r="D37" s="256"/>
      <c r="E37" s="131"/>
      <c r="F37" s="131"/>
      <c r="G37" s="131"/>
      <c r="H37" s="131"/>
      <c r="I37" s="131"/>
      <c r="J37" s="131"/>
      <c r="K37" s="131"/>
      <c r="L37" s="36"/>
      <c r="M37" s="35"/>
      <c r="N37" s="35"/>
      <c r="O37" s="35"/>
      <c r="P37" s="35"/>
      <c r="Q37" s="154"/>
      <c r="R37" s="133"/>
      <c r="S37" s="156"/>
      <c r="T37" s="271"/>
      <c r="U37" s="104"/>
      <c r="V37" s="211"/>
      <c r="W37" s="104"/>
      <c r="X37" s="104"/>
      <c r="Y37" s="235">
        <f>IF(U37&lt;&gt;"",X37*VLOOKUP(U37,Listas!$H$3:$L$23,3,0),0)</f>
        <v>0</v>
      </c>
      <c r="Z37" s="238">
        <f t="shared" si="5"/>
        <v>0</v>
      </c>
      <c r="AA37" s="273"/>
      <c r="AB37" s="238" t="str">
        <f>IF(U37&lt;&gt;"",VLOOKUP(U37,Listas!$N$3:$O$10,2,FALSE),"")</f>
        <v/>
      </c>
      <c r="AC37" s="302"/>
      <c r="AD37" s="290"/>
      <c r="AE37" s="291"/>
      <c r="AF37" s="292"/>
      <c r="AG37" s="157"/>
      <c r="AH37" s="157"/>
      <c r="AI37" s="157"/>
      <c r="AJ37" s="157"/>
      <c r="AK37" s="157"/>
      <c r="AL37" s="158"/>
      <c r="AM37" s="133"/>
    </row>
    <row r="38" spans="1:39" ht="15" customHeight="1">
      <c r="A38" s="30"/>
      <c r="B38" s="147"/>
      <c r="C38" s="29" t="s">
        <v>2</v>
      </c>
      <c r="D38" s="23" t="s">
        <v>6</v>
      </c>
      <c r="E38" s="23" t="s">
        <v>3</v>
      </c>
      <c r="F38" s="23" t="s">
        <v>58</v>
      </c>
      <c r="G38" s="231" t="s">
        <v>0</v>
      </c>
      <c r="H38" s="231" t="s">
        <v>1</v>
      </c>
      <c r="I38" s="231" t="s">
        <v>18</v>
      </c>
      <c r="J38" s="231" t="s">
        <v>5</v>
      </c>
      <c r="K38" s="23" t="s">
        <v>13</v>
      </c>
      <c r="L38" s="231" t="s">
        <v>17</v>
      </c>
      <c r="M38" s="23" t="s">
        <v>9</v>
      </c>
      <c r="N38" s="240" t="s">
        <v>77</v>
      </c>
      <c r="O38" s="24" t="s">
        <v>12</v>
      </c>
      <c r="P38" s="35"/>
      <c r="Q38" s="154"/>
      <c r="R38" s="133"/>
      <c r="S38" s="156"/>
      <c r="T38" s="293">
        <v>3</v>
      </c>
      <c r="U38" s="211" t="s">
        <v>21</v>
      </c>
      <c r="V38" s="211" t="s">
        <v>116</v>
      </c>
      <c r="W38" s="210">
        <v>4</v>
      </c>
      <c r="X38" s="211">
        <v>3</v>
      </c>
      <c r="Y38" s="234">
        <f>IF(U38&lt;&gt;"",X38*VLOOKUP(U38,Listas!$H$3:$L$23,3,0),0)</f>
        <v>108</v>
      </c>
      <c r="Z38" s="234">
        <f t="shared" si="5"/>
        <v>1944</v>
      </c>
      <c r="AA38" s="272">
        <f>+SUM(Z38:Z39)</f>
        <v>1944</v>
      </c>
      <c r="AB38" s="234">
        <f>IF(U38&lt;&gt;"",VLOOKUP(U38,Listas!$N$3:$O$10,2,FALSE),"")</f>
        <v>7</v>
      </c>
      <c r="AC38" s="301"/>
      <c r="AD38" s="274"/>
      <c r="AE38" s="275"/>
      <c r="AF38" s="276"/>
      <c r="AG38" s="157"/>
      <c r="AH38" s="157"/>
      <c r="AI38" s="157"/>
      <c r="AJ38" s="157"/>
      <c r="AK38" s="157"/>
      <c r="AL38" s="158"/>
      <c r="AM38" s="133"/>
    </row>
    <row r="39" spans="1:39" ht="15" customHeight="1">
      <c r="A39" s="30"/>
      <c r="B39" s="147"/>
      <c r="C39" s="232">
        <v>1</v>
      </c>
      <c r="D39" s="210" t="s">
        <v>121</v>
      </c>
      <c r="E39" s="210" t="s">
        <v>34</v>
      </c>
      <c r="F39" s="100" t="s">
        <v>116</v>
      </c>
      <c r="G39" s="124">
        <v>768</v>
      </c>
      <c r="H39" s="125">
        <v>100</v>
      </c>
      <c r="I39" s="126">
        <v>4</v>
      </c>
      <c r="J39" s="234">
        <f t="shared" ref="J39:J46" si="6">SUM(G39:I39)</f>
        <v>872</v>
      </c>
      <c r="K39" s="171">
        <f t="shared" ref="K39:K47" si="7">IF(J39&lt;&gt;0,G39/J39,0)</f>
        <v>0.88073394495412849</v>
      </c>
      <c r="L39" s="213" t="s">
        <v>124</v>
      </c>
      <c r="M39" s="213"/>
      <c r="N39" s="223"/>
      <c r="O39" s="210"/>
      <c r="P39" s="35"/>
      <c r="Q39" s="154"/>
      <c r="R39" s="133"/>
      <c r="S39" s="156"/>
      <c r="T39" s="288"/>
      <c r="U39" s="104"/>
      <c r="V39" s="211"/>
      <c r="W39" s="104"/>
      <c r="X39" s="104"/>
      <c r="Y39" s="235">
        <f>IF(U39&lt;&gt;"",X39*VLOOKUP(U39,Listas!$H$3:$L$23,3,0),0)</f>
        <v>0</v>
      </c>
      <c r="Z39" s="235">
        <f t="shared" si="5"/>
        <v>0</v>
      </c>
      <c r="AA39" s="289"/>
      <c r="AB39" s="235" t="str">
        <f>IF(U39&lt;&gt;"",VLOOKUP(U39,Listas!$N$3:$O$10,2,FALSE),"")</f>
        <v/>
      </c>
      <c r="AC39" s="302"/>
      <c r="AD39" s="290"/>
      <c r="AE39" s="291"/>
      <c r="AF39" s="292"/>
      <c r="AG39" s="157"/>
      <c r="AH39" s="157"/>
      <c r="AI39" s="157"/>
      <c r="AJ39" s="157"/>
      <c r="AK39" s="157"/>
      <c r="AL39" s="158"/>
      <c r="AM39" s="133"/>
    </row>
    <row r="40" spans="1:39" ht="15" customHeight="1">
      <c r="A40" s="30"/>
      <c r="B40" s="147"/>
      <c r="C40" s="28">
        <v>2</v>
      </c>
      <c r="D40" s="210" t="s">
        <v>121</v>
      </c>
      <c r="E40" s="210" t="s">
        <v>34</v>
      </c>
      <c r="F40" s="100" t="s">
        <v>116</v>
      </c>
      <c r="G40" s="124">
        <v>744</v>
      </c>
      <c r="H40" s="125">
        <v>100</v>
      </c>
      <c r="I40" s="126">
        <v>15</v>
      </c>
      <c r="J40" s="26">
        <f t="shared" si="6"/>
        <v>859</v>
      </c>
      <c r="K40" s="172">
        <f t="shared" si="7"/>
        <v>0.86612339930151339</v>
      </c>
      <c r="L40" s="213" t="s">
        <v>124</v>
      </c>
      <c r="M40" s="213"/>
      <c r="N40" s="223"/>
      <c r="O40" s="210"/>
      <c r="P40" s="35"/>
      <c r="Q40" s="154"/>
      <c r="R40" s="133"/>
      <c r="S40" s="156"/>
      <c r="T40" s="293">
        <v>4</v>
      </c>
      <c r="U40" s="211"/>
      <c r="V40" s="211"/>
      <c r="W40" s="210"/>
      <c r="X40" s="211"/>
      <c r="Y40" s="234">
        <f>IF(U40&lt;&gt;"",X40*VLOOKUP(U40,Listas!$H$3:$L$23,3,0),0)</f>
        <v>0</v>
      </c>
      <c r="Z40" s="234">
        <f t="shared" si="5"/>
        <v>0</v>
      </c>
      <c r="AA40" s="272">
        <f>+SUM(Z40:Z41)</f>
        <v>0</v>
      </c>
      <c r="AB40" s="234" t="str">
        <f>IF(U40&lt;&gt;"",VLOOKUP(U40,Listas!$N$3:$O$10,2,FALSE),"")</f>
        <v/>
      </c>
      <c r="AC40" s="301"/>
      <c r="AD40" s="274"/>
      <c r="AE40" s="275"/>
      <c r="AF40" s="276"/>
      <c r="AG40" s="157"/>
      <c r="AH40" s="157"/>
      <c r="AI40" s="157"/>
      <c r="AJ40" s="157"/>
      <c r="AK40" s="157"/>
      <c r="AL40" s="158"/>
      <c r="AM40" s="133"/>
    </row>
    <row r="41" spans="1:39" ht="15" customHeight="1">
      <c r="A41" s="30"/>
      <c r="B41" s="147"/>
      <c r="C41" s="28">
        <v>3</v>
      </c>
      <c r="D41" s="210" t="s">
        <v>129</v>
      </c>
      <c r="E41" s="210" t="s">
        <v>34</v>
      </c>
      <c r="F41" s="100" t="s">
        <v>116</v>
      </c>
      <c r="G41" s="124">
        <v>312</v>
      </c>
      <c r="H41" s="125">
        <v>34</v>
      </c>
      <c r="I41" s="126">
        <v>3</v>
      </c>
      <c r="J41" s="26">
        <f t="shared" si="6"/>
        <v>349</v>
      </c>
      <c r="K41" s="172">
        <f t="shared" si="7"/>
        <v>0.89398280802292263</v>
      </c>
      <c r="L41" s="213" t="s">
        <v>124</v>
      </c>
      <c r="M41" s="213"/>
      <c r="N41" s="223"/>
      <c r="O41" s="210"/>
      <c r="P41" s="35"/>
      <c r="Q41" s="154"/>
      <c r="R41" s="133"/>
      <c r="S41" s="156"/>
      <c r="T41" s="288"/>
      <c r="U41" s="104"/>
      <c r="V41" s="211"/>
      <c r="W41" s="104"/>
      <c r="X41" s="104"/>
      <c r="Y41" s="235">
        <f>IF(U41&lt;&gt;"",#REF!*VLOOKUP(U41,Listas!$H$3:$L$23,3,0),0)</f>
        <v>0</v>
      </c>
      <c r="Z41" s="235">
        <f t="shared" si="5"/>
        <v>0</v>
      </c>
      <c r="AA41" s="289"/>
      <c r="AB41" s="235" t="str">
        <f>IF(U41&lt;&gt;"",VLOOKUP(U41,Listas!$N$3:$O$10,2,FALSE),"")</f>
        <v/>
      </c>
      <c r="AC41" s="302"/>
      <c r="AD41" s="290"/>
      <c r="AE41" s="291"/>
      <c r="AF41" s="292"/>
      <c r="AG41" s="157"/>
      <c r="AH41" s="157"/>
      <c r="AI41" s="157"/>
      <c r="AJ41" s="157"/>
      <c r="AK41" s="157"/>
      <c r="AL41" s="158"/>
      <c r="AM41" s="133"/>
    </row>
    <row r="42" spans="1:39" ht="15" customHeight="1">
      <c r="A42" s="30"/>
      <c r="B42" s="147"/>
      <c r="C42" s="28">
        <v>4</v>
      </c>
      <c r="D42" s="210" t="s">
        <v>129</v>
      </c>
      <c r="E42" s="210" t="s">
        <v>33</v>
      </c>
      <c r="F42" s="100" t="s">
        <v>116</v>
      </c>
      <c r="G42" s="124">
        <f>288+768</f>
        <v>1056</v>
      </c>
      <c r="H42" s="125">
        <v>80</v>
      </c>
      <c r="I42" s="126">
        <v>8</v>
      </c>
      <c r="J42" s="26">
        <f t="shared" si="6"/>
        <v>1144</v>
      </c>
      <c r="K42" s="172">
        <f t="shared" si="7"/>
        <v>0.92307692307692313</v>
      </c>
      <c r="L42" s="213" t="s">
        <v>124</v>
      </c>
      <c r="M42" s="213"/>
      <c r="N42" s="223"/>
      <c r="O42" s="210"/>
      <c r="P42" s="35"/>
      <c r="Q42" s="154"/>
      <c r="R42" s="133"/>
      <c r="S42" s="156"/>
      <c r="T42" s="270">
        <v>5</v>
      </c>
      <c r="U42" s="211" t="s">
        <v>21</v>
      </c>
      <c r="V42" s="211" t="s">
        <v>151</v>
      </c>
      <c r="W42" s="210">
        <v>4</v>
      </c>
      <c r="X42" s="211">
        <v>2</v>
      </c>
      <c r="Y42" s="237">
        <f>IF(U42&lt;&gt;"",X42*VLOOKUP(U42,Listas!$H$3:$L$23,3,0),0)</f>
        <v>72</v>
      </c>
      <c r="Z42" s="237">
        <f t="shared" si="5"/>
        <v>1296</v>
      </c>
      <c r="AA42" s="303">
        <f>+SUM(Z42:Z43)</f>
        <v>1296</v>
      </c>
      <c r="AB42" s="237">
        <f>IF(U42&lt;&gt;"",VLOOKUP(U42,Listas!$N$3:$O$10,2,FALSE),"")</f>
        <v>7</v>
      </c>
      <c r="AC42" s="304"/>
      <c r="AD42" s="274"/>
      <c r="AE42" s="275"/>
      <c r="AF42" s="276"/>
      <c r="AG42" s="157"/>
      <c r="AH42" s="157"/>
      <c r="AI42" s="157"/>
      <c r="AJ42" s="157"/>
      <c r="AK42" s="157"/>
      <c r="AL42" s="158"/>
      <c r="AM42" s="133"/>
    </row>
    <row r="43" spans="1:39" ht="15" customHeight="1">
      <c r="A43" s="30"/>
      <c r="B43" s="147"/>
      <c r="C43" s="28">
        <v>5</v>
      </c>
      <c r="D43" s="210" t="s">
        <v>129</v>
      </c>
      <c r="E43" s="210" t="s">
        <v>33</v>
      </c>
      <c r="F43" s="100" t="s">
        <v>116</v>
      </c>
      <c r="G43" s="124">
        <v>768</v>
      </c>
      <c r="H43" s="125">
        <v>20</v>
      </c>
      <c r="I43" s="126">
        <v>2</v>
      </c>
      <c r="J43" s="26">
        <f t="shared" si="6"/>
        <v>790</v>
      </c>
      <c r="K43" s="172">
        <f t="shared" si="7"/>
        <v>0.97215189873417718</v>
      </c>
      <c r="L43" s="213"/>
      <c r="M43" s="213">
        <v>10</v>
      </c>
      <c r="N43" s="223">
        <v>63</v>
      </c>
      <c r="O43" s="210"/>
      <c r="P43" s="35"/>
      <c r="Q43" s="154"/>
      <c r="R43" s="133"/>
      <c r="S43" s="156"/>
      <c r="T43" s="288"/>
      <c r="U43" s="216"/>
      <c r="V43" s="211"/>
      <c r="W43" s="104"/>
      <c r="X43" s="104"/>
      <c r="Y43" s="235">
        <f>IF(U43&lt;&gt;"",#REF!*VLOOKUP(U43,Listas!$H$3:$L$23,3,0),0)</f>
        <v>0</v>
      </c>
      <c r="Z43" s="235">
        <f t="shared" si="5"/>
        <v>0</v>
      </c>
      <c r="AA43" s="289"/>
      <c r="AB43" s="235" t="str">
        <f>IF(U43&lt;&gt;"",VLOOKUP(U43,Listas!$N$3:$O$10,2,FALSE),"")</f>
        <v/>
      </c>
      <c r="AC43" s="302"/>
      <c r="AD43" s="290"/>
      <c r="AE43" s="291"/>
      <c r="AF43" s="292"/>
      <c r="AG43" s="157"/>
      <c r="AH43" s="157"/>
      <c r="AI43" s="157"/>
      <c r="AJ43" s="157"/>
      <c r="AK43" s="157"/>
      <c r="AL43" s="158"/>
      <c r="AM43" s="133"/>
    </row>
    <row r="44" spans="1:39" ht="15" customHeight="1">
      <c r="A44" s="30"/>
      <c r="B44" s="147"/>
      <c r="C44" s="28">
        <v>6</v>
      </c>
      <c r="D44" s="210" t="s">
        <v>156</v>
      </c>
      <c r="E44" s="210" t="s">
        <v>33</v>
      </c>
      <c r="F44" s="100" t="s">
        <v>116</v>
      </c>
      <c r="G44" s="124">
        <v>936</v>
      </c>
      <c r="H44" s="125">
        <v>0</v>
      </c>
      <c r="I44" s="126">
        <v>8</v>
      </c>
      <c r="J44" s="26">
        <f t="shared" si="6"/>
        <v>944</v>
      </c>
      <c r="K44" s="172">
        <f t="shared" si="7"/>
        <v>0.99152542372881358</v>
      </c>
      <c r="L44" s="213"/>
      <c r="M44" s="213"/>
      <c r="N44" s="223"/>
      <c r="O44" s="210"/>
      <c r="P44" s="35"/>
      <c r="Q44" s="154"/>
      <c r="R44" s="133"/>
      <c r="S44" s="156"/>
      <c r="T44" s="270">
        <v>6</v>
      </c>
      <c r="U44" s="211"/>
      <c r="V44" s="211"/>
      <c r="W44" s="210"/>
      <c r="X44" s="211"/>
      <c r="Y44" s="237">
        <f>IF(U44&lt;&gt;"",X44*VLOOKUP(U44,Listas!$H$3:$L$23,3,0),0)</f>
        <v>0</v>
      </c>
      <c r="Z44" s="237">
        <f t="shared" si="5"/>
        <v>0</v>
      </c>
      <c r="AA44" s="303">
        <f>+SUM(Z44:Z45)</f>
        <v>0</v>
      </c>
      <c r="AB44" s="237" t="str">
        <f>IF(U44&lt;&gt;"",VLOOKUP(U44,Listas!$N$3:$O$10,2,FALSE),"")</f>
        <v/>
      </c>
      <c r="AC44" s="301"/>
      <c r="AD44" s="274"/>
      <c r="AE44" s="275"/>
      <c r="AF44" s="276"/>
      <c r="AG44" s="157"/>
      <c r="AH44" s="157"/>
      <c r="AI44" s="157"/>
      <c r="AJ44" s="157"/>
      <c r="AK44" s="157"/>
      <c r="AL44" s="158"/>
      <c r="AM44" s="133"/>
    </row>
    <row r="45" spans="1:39" ht="15" customHeight="1">
      <c r="A45" s="30"/>
      <c r="B45" s="147"/>
      <c r="C45" s="28">
        <v>7</v>
      </c>
      <c r="D45" s="210" t="s">
        <v>156</v>
      </c>
      <c r="E45" s="210" t="s">
        <v>33</v>
      </c>
      <c r="F45" s="100" t="s">
        <v>116</v>
      </c>
      <c r="G45" s="124">
        <v>888</v>
      </c>
      <c r="H45" s="125">
        <v>20</v>
      </c>
      <c r="I45" s="126">
        <v>4</v>
      </c>
      <c r="J45" s="26">
        <f t="shared" si="6"/>
        <v>912</v>
      </c>
      <c r="K45" s="172">
        <f t="shared" si="7"/>
        <v>0.97368421052631582</v>
      </c>
      <c r="L45" s="213"/>
      <c r="M45" s="213"/>
      <c r="N45" s="223"/>
      <c r="O45" s="210"/>
      <c r="P45" s="35"/>
      <c r="Q45" s="154"/>
      <c r="R45" s="133"/>
      <c r="S45" s="156"/>
      <c r="T45" s="271"/>
      <c r="U45" s="104"/>
      <c r="V45" s="211"/>
      <c r="W45" s="104"/>
      <c r="X45" s="104"/>
      <c r="Y45" s="235">
        <f>IF(U45&lt;&gt;"",X45*VLOOKUP(U45,Listas!$H$3:$L$23,3,0),0)</f>
        <v>0</v>
      </c>
      <c r="Z45" s="238">
        <f t="shared" si="5"/>
        <v>0</v>
      </c>
      <c r="AA45" s="273"/>
      <c r="AB45" s="238" t="str">
        <f>IF(U45&lt;&gt;"",VLOOKUP(U45,Listas!$N$3:$O$10,2,FALSE),"")</f>
        <v/>
      </c>
      <c r="AC45" s="302"/>
      <c r="AD45" s="290"/>
      <c r="AE45" s="291"/>
      <c r="AF45" s="292"/>
      <c r="AG45" s="157"/>
      <c r="AH45" s="157"/>
      <c r="AI45" s="157"/>
      <c r="AJ45" s="157"/>
      <c r="AK45" s="157"/>
      <c r="AL45" s="158"/>
      <c r="AM45" s="133"/>
    </row>
    <row r="46" spans="1:39" ht="15" customHeight="1" thickBot="1">
      <c r="A46" s="30"/>
      <c r="B46" s="147"/>
      <c r="C46" s="236">
        <v>8</v>
      </c>
      <c r="D46" s="210" t="s">
        <v>156</v>
      </c>
      <c r="E46" s="210" t="s">
        <v>33</v>
      </c>
      <c r="F46" s="100" t="s">
        <v>116</v>
      </c>
      <c r="G46" s="227">
        <v>312</v>
      </c>
      <c r="H46" s="125">
        <v>0</v>
      </c>
      <c r="I46" s="108">
        <v>0</v>
      </c>
      <c r="J46" s="238">
        <f t="shared" si="6"/>
        <v>312</v>
      </c>
      <c r="K46" s="173">
        <f t="shared" si="7"/>
        <v>1</v>
      </c>
      <c r="L46" s="213"/>
      <c r="M46" s="213">
        <v>40</v>
      </c>
      <c r="N46" s="223">
        <v>51</v>
      </c>
      <c r="O46" s="210"/>
      <c r="P46" s="35"/>
      <c r="Q46" s="154"/>
      <c r="R46" s="133"/>
      <c r="S46" s="156"/>
      <c r="T46" s="293">
        <v>7</v>
      </c>
      <c r="U46" s="211"/>
      <c r="V46" s="211"/>
      <c r="W46" s="210"/>
      <c r="X46" s="211"/>
      <c r="Y46" s="234">
        <f>IF(U46&lt;&gt;"",X46*VLOOKUP(U46,Listas!$H$3:$L$23,3,0),0)</f>
        <v>0</v>
      </c>
      <c r="Z46" s="234">
        <f t="shared" si="5"/>
        <v>0</v>
      </c>
      <c r="AA46" s="272">
        <f>+SUM(Z46:Z47)</f>
        <v>0</v>
      </c>
      <c r="AB46" s="234" t="str">
        <f>IF(U46&lt;&gt;"",VLOOKUP(U46,Listas!$N$3:$O$10,2,FALSE),"")</f>
        <v/>
      </c>
      <c r="AC46" s="301"/>
      <c r="AD46" s="274"/>
      <c r="AE46" s="275"/>
      <c r="AF46" s="276"/>
      <c r="AG46" s="161"/>
      <c r="AH46" s="161"/>
      <c r="AI46" s="161"/>
      <c r="AJ46" s="161"/>
      <c r="AK46" s="161"/>
      <c r="AL46" s="158"/>
      <c r="AM46" s="133"/>
    </row>
    <row r="47" spans="1:39" ht="15" customHeight="1" thickBot="1">
      <c r="A47" s="30"/>
      <c r="B47" s="147"/>
      <c r="C47" s="174" t="s">
        <v>7</v>
      </c>
      <c r="D47" s="110"/>
      <c r="E47" s="110"/>
      <c r="F47" s="110"/>
      <c r="G47" s="111">
        <f>SUM(G39:G46)</f>
        <v>5784</v>
      </c>
      <c r="H47" s="111">
        <f>SUM(H39:H46)</f>
        <v>354</v>
      </c>
      <c r="I47" s="121">
        <f>SUM(I39:I46)</f>
        <v>44</v>
      </c>
      <c r="J47" s="111">
        <f>SUM(J39:J46)</f>
        <v>6182</v>
      </c>
      <c r="K47" s="175">
        <f t="shared" si="7"/>
        <v>0.93561954060174701</v>
      </c>
      <c r="L47" s="239"/>
      <c r="M47" s="112">
        <f>SUM(M39:M46)</f>
        <v>50</v>
      </c>
      <c r="N47" s="224"/>
      <c r="O47" s="176"/>
      <c r="P47" s="35"/>
      <c r="Q47" s="154"/>
      <c r="R47" s="133"/>
      <c r="S47" s="156"/>
      <c r="T47" s="288"/>
      <c r="U47" s="104"/>
      <c r="V47" s="211"/>
      <c r="W47" s="104"/>
      <c r="X47" s="104"/>
      <c r="Y47" s="235">
        <f>IF(U47&lt;&gt;"",X47*VLOOKUP(U47,Listas!$H$3:$L$23,3,0),0)</f>
        <v>0</v>
      </c>
      <c r="Z47" s="235">
        <f t="shared" si="5"/>
        <v>0</v>
      </c>
      <c r="AA47" s="289"/>
      <c r="AB47" s="235" t="str">
        <f>IF(U47&lt;&gt;"",VLOOKUP(U47,Listas!$N$3:$O$10,2,FALSE),"")</f>
        <v/>
      </c>
      <c r="AC47" s="302"/>
      <c r="AD47" s="290"/>
      <c r="AE47" s="291"/>
      <c r="AF47" s="292"/>
      <c r="AG47" s="161"/>
      <c r="AH47" s="161"/>
      <c r="AI47" s="161"/>
      <c r="AJ47" s="161"/>
      <c r="AK47" s="161"/>
      <c r="AL47" s="158"/>
      <c r="AM47" s="133"/>
    </row>
    <row r="48" spans="1:39" ht="15" customHeight="1" thickBot="1">
      <c r="A48" s="30"/>
      <c r="B48" s="147"/>
      <c r="C48" s="41"/>
      <c r="D48" s="41"/>
      <c r="E48" s="41"/>
      <c r="F48" s="41"/>
      <c r="G48" s="42"/>
      <c r="H48" s="42"/>
      <c r="I48" s="42"/>
      <c r="J48" s="42"/>
      <c r="K48" s="177"/>
      <c r="L48" s="42"/>
      <c r="M48" s="41"/>
      <c r="N48" s="41"/>
      <c r="O48" s="35"/>
      <c r="P48" s="35"/>
      <c r="Q48" s="154"/>
      <c r="R48" s="133"/>
      <c r="S48" s="156"/>
      <c r="T48" s="270">
        <v>8</v>
      </c>
      <c r="U48" s="211"/>
      <c r="V48" s="211"/>
      <c r="W48" s="210"/>
      <c r="X48" s="128"/>
      <c r="Y48" s="237">
        <f>IF(U48&lt;&gt;"",X48*VLOOKUP(U48,Listas!$H$3:$L$23,3,0),0)</f>
        <v>0</v>
      </c>
      <c r="Z48" s="237">
        <f t="shared" si="5"/>
        <v>0</v>
      </c>
      <c r="AA48" s="303">
        <f>+SUM(Z48:Z49)</f>
        <v>0</v>
      </c>
      <c r="AB48" s="237" t="str">
        <f>IF(U48&lt;&gt;"",VLOOKUP(U48,Listas!$N$3:$O$10,2,FALSE),"")</f>
        <v/>
      </c>
      <c r="AC48" s="304"/>
      <c r="AD48" s="274"/>
      <c r="AE48" s="275"/>
      <c r="AF48" s="276"/>
      <c r="AG48" s="161"/>
      <c r="AH48" s="161"/>
      <c r="AI48" s="161"/>
      <c r="AJ48" s="161"/>
      <c r="AK48" s="161"/>
      <c r="AL48" s="158"/>
      <c r="AM48" s="133"/>
    </row>
    <row r="49" spans="1:39" ht="15" customHeight="1" thickBot="1">
      <c r="A49" s="30"/>
      <c r="B49" s="147"/>
      <c r="C49" s="253">
        <v>4</v>
      </c>
      <c r="D49" s="255">
        <f>K60</f>
        <v>0.95416290952810334</v>
      </c>
      <c r="E49" s="35"/>
      <c r="F49" s="35"/>
      <c r="G49" s="35"/>
      <c r="H49" s="35"/>
      <c r="I49" s="35"/>
      <c r="J49" s="35"/>
      <c r="K49" s="35"/>
      <c r="L49" s="36"/>
      <c r="M49" s="35"/>
      <c r="N49" s="35"/>
      <c r="O49" s="35"/>
      <c r="P49" s="35"/>
      <c r="Q49" s="154"/>
      <c r="R49" s="133"/>
      <c r="S49" s="156"/>
      <c r="T49" s="271"/>
      <c r="U49" s="117"/>
      <c r="V49" s="118"/>
      <c r="W49" s="117"/>
      <c r="X49" s="117"/>
      <c r="Y49" s="130">
        <f>IF(U49&lt;&gt;"",X49*VLOOKUP(U49,Listas!$H$3:$L$23,3,0),0)</f>
        <v>0</v>
      </c>
      <c r="Z49" s="238">
        <f t="shared" si="5"/>
        <v>0</v>
      </c>
      <c r="AA49" s="273"/>
      <c r="AB49" s="238" t="str">
        <f>IF(U49&lt;&gt;"",VLOOKUP(U49,Listas!$N$3:$O$10,2,FALSE),"")</f>
        <v/>
      </c>
      <c r="AC49" s="304"/>
      <c r="AD49" s="290"/>
      <c r="AE49" s="291"/>
      <c r="AF49" s="292"/>
      <c r="AG49" s="161"/>
      <c r="AH49" s="161"/>
      <c r="AI49" s="161"/>
      <c r="AJ49" s="161"/>
      <c r="AK49" s="161"/>
      <c r="AL49" s="158"/>
      <c r="AM49" s="133"/>
    </row>
    <row r="50" spans="1:39" ht="15" customHeight="1" thickBot="1">
      <c r="A50" s="30"/>
      <c r="B50" s="147"/>
      <c r="C50" s="254"/>
      <c r="D50" s="256"/>
      <c r="E50" s="131"/>
      <c r="F50" s="131"/>
      <c r="G50" s="131"/>
      <c r="H50" s="131"/>
      <c r="I50" s="131"/>
      <c r="J50" s="131"/>
      <c r="K50" s="131"/>
      <c r="L50" s="36"/>
      <c r="M50" s="35"/>
      <c r="N50" s="35"/>
      <c r="O50" s="35"/>
      <c r="P50" s="35"/>
      <c r="Q50" s="154" t="s">
        <v>56</v>
      </c>
      <c r="R50" s="133"/>
      <c r="S50" s="156"/>
      <c r="T50" s="120"/>
      <c r="U50" s="239"/>
      <c r="V50" s="239"/>
      <c r="W50" s="239"/>
      <c r="X50" s="121">
        <f>SUM(X34:X49)</f>
        <v>18</v>
      </c>
      <c r="Y50" s="129">
        <f>SUM(Y34:Y49)</f>
        <v>648</v>
      </c>
      <c r="Z50" s="121">
        <f>+SUM(Z34:Z49)</f>
        <v>11664</v>
      </c>
      <c r="AA50" s="122"/>
      <c r="AB50" s="239"/>
      <c r="AC50" s="111">
        <f>SUM(AC34:AC49)</f>
        <v>0</v>
      </c>
      <c r="AD50" s="280"/>
      <c r="AE50" s="280"/>
      <c r="AF50" s="281"/>
      <c r="AG50" s="161"/>
      <c r="AH50" s="161"/>
      <c r="AI50" s="161"/>
      <c r="AJ50" s="161"/>
      <c r="AK50" s="161"/>
      <c r="AL50" s="158"/>
      <c r="AM50" s="133"/>
    </row>
    <row r="51" spans="1:39" ht="15" customHeight="1" thickBot="1">
      <c r="A51" s="30"/>
      <c r="B51" s="147"/>
      <c r="C51" s="29" t="s">
        <v>2</v>
      </c>
      <c r="D51" s="23" t="s">
        <v>6</v>
      </c>
      <c r="E51" s="23" t="s">
        <v>3</v>
      </c>
      <c r="F51" s="23" t="s">
        <v>58</v>
      </c>
      <c r="G51" s="231" t="s">
        <v>0</v>
      </c>
      <c r="H51" s="231" t="s">
        <v>1</v>
      </c>
      <c r="I51" s="231" t="s">
        <v>18</v>
      </c>
      <c r="J51" s="231" t="s">
        <v>5</v>
      </c>
      <c r="K51" s="178" t="s">
        <v>13</v>
      </c>
      <c r="L51" s="231" t="s">
        <v>17</v>
      </c>
      <c r="M51" s="23" t="s">
        <v>9</v>
      </c>
      <c r="N51" s="240" t="s">
        <v>77</v>
      </c>
      <c r="O51" s="24" t="s">
        <v>12</v>
      </c>
      <c r="P51" s="35"/>
      <c r="Q51" s="154"/>
      <c r="R51" s="133"/>
      <c r="S51" s="156"/>
      <c r="T51" s="161"/>
      <c r="U51" s="161"/>
      <c r="V51" s="161"/>
      <c r="W51" s="161"/>
      <c r="X51" s="161"/>
      <c r="Y51" s="161"/>
      <c r="Z51" s="161"/>
      <c r="AA51" s="161"/>
      <c r="AB51" s="161"/>
      <c r="AC51" s="161"/>
      <c r="AD51" s="161"/>
      <c r="AE51" s="161"/>
      <c r="AF51" s="161"/>
      <c r="AG51" s="161"/>
      <c r="AH51" s="161"/>
      <c r="AI51" s="161"/>
      <c r="AJ51" s="161"/>
      <c r="AK51" s="161"/>
      <c r="AL51" s="158"/>
      <c r="AM51" s="133"/>
    </row>
    <row r="52" spans="1:39" ht="15" customHeight="1">
      <c r="A52" s="30"/>
      <c r="B52" s="147"/>
      <c r="C52" s="232">
        <v>1</v>
      </c>
      <c r="D52" s="210" t="s">
        <v>171</v>
      </c>
      <c r="E52" s="210" t="s">
        <v>34</v>
      </c>
      <c r="F52" s="210" t="s">
        <v>116</v>
      </c>
      <c r="G52" s="124">
        <v>744</v>
      </c>
      <c r="H52" s="125">
        <v>80</v>
      </c>
      <c r="I52" s="126">
        <v>0</v>
      </c>
      <c r="J52" s="234">
        <f t="shared" ref="J52:J58" si="8">+G52+H52+I52</f>
        <v>824</v>
      </c>
      <c r="K52" s="171">
        <f t="shared" ref="K52:K60" si="9">IF(J52&lt;&gt;0,G52/J52,0)</f>
        <v>0.90291262135922334</v>
      </c>
      <c r="L52" s="213" t="s">
        <v>131</v>
      </c>
      <c r="M52" s="213"/>
      <c r="N52" s="223"/>
      <c r="O52" s="210"/>
      <c r="P52" s="35"/>
      <c r="Q52" s="154"/>
      <c r="R52" s="133"/>
      <c r="S52" s="156"/>
      <c r="T52" s="282" t="s">
        <v>79</v>
      </c>
      <c r="U52" s="283"/>
      <c r="V52" s="284"/>
      <c r="W52" s="21"/>
      <c r="X52" s="21"/>
      <c r="Y52" s="167"/>
      <c r="Z52" s="167"/>
      <c r="AA52" s="167"/>
      <c r="AB52" s="167"/>
      <c r="AC52" s="166"/>
      <c r="AD52" s="166"/>
      <c r="AE52" s="161"/>
      <c r="AF52" s="161"/>
      <c r="AG52" s="161"/>
      <c r="AH52" s="161"/>
      <c r="AI52" s="161"/>
      <c r="AJ52" s="161"/>
      <c r="AK52" s="161"/>
      <c r="AL52" s="158"/>
      <c r="AM52" s="133"/>
    </row>
    <row r="53" spans="1:39" ht="15" customHeight="1" thickBot="1">
      <c r="A53" s="30"/>
      <c r="B53" s="147"/>
      <c r="C53" s="28">
        <v>2</v>
      </c>
      <c r="D53" s="210" t="s">
        <v>171</v>
      </c>
      <c r="E53" s="210" t="s">
        <v>34</v>
      </c>
      <c r="F53" s="210" t="s">
        <v>116</v>
      </c>
      <c r="G53" s="124">
        <v>576</v>
      </c>
      <c r="H53" s="125">
        <v>60</v>
      </c>
      <c r="I53" s="126">
        <v>7</v>
      </c>
      <c r="J53" s="26">
        <f>+G53+H53+I53</f>
        <v>643</v>
      </c>
      <c r="K53" s="172">
        <f>IF(J53&lt;&gt;0,G53/J53,0)</f>
        <v>0.89580093312597198</v>
      </c>
      <c r="L53" s="213" t="s">
        <v>131</v>
      </c>
      <c r="M53" s="213">
        <v>15</v>
      </c>
      <c r="N53" s="223">
        <v>51</v>
      </c>
      <c r="O53" s="210"/>
      <c r="P53" s="35"/>
      <c r="Q53" s="154"/>
      <c r="R53" s="133"/>
      <c r="S53" s="156"/>
      <c r="T53" s="296"/>
      <c r="U53" s="297"/>
      <c r="V53" s="298"/>
      <c r="W53" s="170"/>
      <c r="X53" s="170"/>
      <c r="Y53" s="170"/>
      <c r="Z53" s="170"/>
      <c r="AA53" s="170"/>
      <c r="AB53" s="170"/>
      <c r="AC53" s="170"/>
      <c r="AD53" s="170"/>
      <c r="AE53" s="161"/>
      <c r="AF53" s="161"/>
      <c r="AG53" s="161"/>
      <c r="AH53" s="161"/>
      <c r="AI53" s="161"/>
      <c r="AJ53" s="161"/>
      <c r="AK53" s="161"/>
      <c r="AL53" s="158"/>
      <c r="AM53" s="133"/>
    </row>
    <row r="54" spans="1:39" ht="15" customHeight="1">
      <c r="A54" s="30"/>
      <c r="B54" s="147"/>
      <c r="C54" s="28">
        <v>3</v>
      </c>
      <c r="D54" s="210" t="s">
        <v>155</v>
      </c>
      <c r="E54" s="210" t="s">
        <v>34</v>
      </c>
      <c r="F54" s="210" t="s">
        <v>116</v>
      </c>
      <c r="G54" s="124">
        <v>901</v>
      </c>
      <c r="H54" s="125">
        <v>40</v>
      </c>
      <c r="I54" s="126">
        <v>5</v>
      </c>
      <c r="J54" s="26">
        <f t="shared" si="8"/>
        <v>946</v>
      </c>
      <c r="K54" s="172">
        <f t="shared" si="9"/>
        <v>0.95243128964059198</v>
      </c>
      <c r="L54" s="213" t="s">
        <v>131</v>
      </c>
      <c r="M54" s="213">
        <v>5</v>
      </c>
      <c r="N54" s="223">
        <v>51</v>
      </c>
      <c r="O54" s="210"/>
      <c r="P54" s="35"/>
      <c r="Q54" s="154"/>
      <c r="R54" s="133"/>
      <c r="S54" s="156"/>
      <c r="T54" s="47" t="s">
        <v>2</v>
      </c>
      <c r="U54" s="23" t="s">
        <v>81</v>
      </c>
      <c r="V54" s="23" t="s">
        <v>4</v>
      </c>
      <c r="W54" s="23" t="s">
        <v>82</v>
      </c>
      <c r="X54" s="23" t="s">
        <v>86</v>
      </c>
      <c r="Y54" s="23" t="s">
        <v>87</v>
      </c>
      <c r="Z54" s="23" t="s">
        <v>92</v>
      </c>
      <c r="AA54" s="23" t="s">
        <v>93</v>
      </c>
      <c r="AB54" s="23" t="s">
        <v>94</v>
      </c>
      <c r="AC54" s="23" t="s">
        <v>95</v>
      </c>
      <c r="AD54" s="46" t="s">
        <v>84</v>
      </c>
      <c r="AE54" s="46" t="s">
        <v>103</v>
      </c>
      <c r="AF54" s="299" t="s">
        <v>78</v>
      </c>
      <c r="AG54" s="299"/>
      <c r="AH54" s="300"/>
      <c r="AI54" s="161"/>
      <c r="AJ54" s="161"/>
      <c r="AK54" s="161"/>
      <c r="AL54" s="158"/>
      <c r="AM54" s="133"/>
    </row>
    <row r="55" spans="1:39" ht="15" customHeight="1">
      <c r="A55" s="30"/>
      <c r="B55" s="147"/>
      <c r="C55" s="28">
        <v>4</v>
      </c>
      <c r="D55" s="210" t="s">
        <v>155</v>
      </c>
      <c r="E55" s="210" t="s">
        <v>40</v>
      </c>
      <c r="F55" s="210" t="s">
        <v>118</v>
      </c>
      <c r="G55" s="210">
        <v>720</v>
      </c>
      <c r="H55" s="125">
        <v>20</v>
      </c>
      <c r="I55" s="126">
        <v>3</v>
      </c>
      <c r="J55" s="26">
        <f t="shared" si="8"/>
        <v>743</v>
      </c>
      <c r="K55" s="172">
        <f t="shared" si="9"/>
        <v>0.96904441453566625</v>
      </c>
      <c r="L55" s="213"/>
      <c r="M55" s="213">
        <v>10</v>
      </c>
      <c r="N55" s="223">
        <v>56</v>
      </c>
      <c r="O55" s="210"/>
      <c r="P55" s="35"/>
      <c r="Q55" s="154"/>
      <c r="R55" s="133"/>
      <c r="S55" s="156"/>
      <c r="T55" s="293">
        <v>1</v>
      </c>
      <c r="U55" s="211" t="s">
        <v>60</v>
      </c>
      <c r="V55" s="210" t="s">
        <v>117</v>
      </c>
      <c r="W55" s="211">
        <v>2</v>
      </c>
      <c r="X55" s="211">
        <v>3</v>
      </c>
      <c r="Y55" s="211"/>
      <c r="Z55" s="234">
        <f>IF(U55&lt;&gt;"",X55*VLOOKUP(U55,Listas!$H$3:$L$23,3,0),0)</f>
        <v>156</v>
      </c>
      <c r="AA55" s="234">
        <f>IF(U55&lt;&gt;"",Y55*VLOOKUP(U55,Listas!$H$3:$L$23,3,0),0)</f>
        <v>0</v>
      </c>
      <c r="AB55" s="234">
        <f>IF(U55&lt;&gt;"",X55*VLOOKUP(U55,Listas!$H$3:$L$23,4,0),0)</f>
        <v>3900</v>
      </c>
      <c r="AC55" s="234">
        <f>IF(U55&lt;&gt;"",Y55*VLOOKUP(U55,Listas!$H$3:$L$23,4,0),0)</f>
        <v>0</v>
      </c>
      <c r="AD55" s="272">
        <f>+SUM(AB55:AB56)+SUM(AC55:AC56)</f>
        <v>3900</v>
      </c>
      <c r="AE55" s="87">
        <f>IF(COUNT(X55)=1,VLOOKUP(U55,Listas!$R$6:$U$18,'02-09 T2'!W55+1,FALSE),IF(COUNT('02-09 T2'!Y55)=1,VLOOKUP('02-09 T2'!U55,Listas!$R$22:$U$34,'02-09 T2'!W55+1,FALSE),""))</f>
        <v>1200</v>
      </c>
      <c r="AF55" s="294"/>
      <c r="AG55" s="294"/>
      <c r="AH55" s="295"/>
      <c r="AI55" s="161"/>
      <c r="AJ55" s="161"/>
      <c r="AK55" s="161"/>
      <c r="AL55" s="158"/>
      <c r="AM55" s="133"/>
    </row>
    <row r="56" spans="1:39" ht="15" customHeight="1">
      <c r="A56" s="30"/>
      <c r="B56" s="147"/>
      <c r="C56" s="28">
        <v>5</v>
      </c>
      <c r="D56" s="210" t="s">
        <v>155</v>
      </c>
      <c r="E56" s="210" t="s">
        <v>40</v>
      </c>
      <c r="F56" s="210" t="s">
        <v>118</v>
      </c>
      <c r="G56" s="124">
        <v>864</v>
      </c>
      <c r="H56" s="125">
        <v>20</v>
      </c>
      <c r="I56" s="126">
        <v>5</v>
      </c>
      <c r="J56" s="26">
        <f t="shared" si="8"/>
        <v>889</v>
      </c>
      <c r="K56" s="172">
        <f t="shared" si="9"/>
        <v>0.97187851518560175</v>
      </c>
      <c r="L56" s="213"/>
      <c r="M56" s="213">
        <v>5</v>
      </c>
      <c r="N56" s="223">
        <v>51</v>
      </c>
      <c r="O56" s="210"/>
      <c r="P56" s="35"/>
      <c r="Q56" s="154"/>
      <c r="R56" s="133"/>
      <c r="S56" s="156"/>
      <c r="T56" s="288"/>
      <c r="U56" s="104"/>
      <c r="V56" s="210"/>
      <c r="W56" s="104"/>
      <c r="X56" s="104"/>
      <c r="Y56" s="104"/>
      <c r="Z56" s="235">
        <f>IF(U56&lt;&gt;"",X56*VLOOKUP(U56,Listas!$H$3:$L$23,3,0),0)</f>
        <v>0</v>
      </c>
      <c r="AA56" s="235">
        <f>IF(U56&lt;&gt;"",Y56*VLOOKUP(U56,Listas!$H$3:$L$23,3,0),0)</f>
        <v>0</v>
      </c>
      <c r="AB56" s="235">
        <f>IF(U56&lt;&gt;"",X56*VLOOKUP(U56,Listas!$H$3:$L$23,4,0),0)</f>
        <v>0</v>
      </c>
      <c r="AC56" s="235">
        <f>IF(U56&lt;&gt;"",Y56*VLOOKUP(U56,Listas!$H$3:$L$23,4,0),0)</f>
        <v>0</v>
      </c>
      <c r="AD56" s="289"/>
      <c r="AE56" s="88" t="str">
        <f>IF(COUNT(X56)=1,VLOOKUP(U56,Listas!$R$6:$U$18,'02-09 T2'!W56+1,FALSE),IF(COUNT('02-09 T2'!Y56)=1,VLOOKUP('02-09 T2'!U56,Listas!$R$22:$U$34,'02-09 T2'!W56+1,FALSE),""))</f>
        <v/>
      </c>
      <c r="AF56" s="294"/>
      <c r="AG56" s="294"/>
      <c r="AH56" s="295"/>
      <c r="AI56" s="161"/>
      <c r="AJ56" s="161"/>
      <c r="AK56" s="161"/>
      <c r="AL56" s="158"/>
      <c r="AM56" s="133"/>
    </row>
    <row r="57" spans="1:39" ht="15" customHeight="1">
      <c r="A57" s="30"/>
      <c r="B57" s="147"/>
      <c r="C57" s="28">
        <v>6</v>
      </c>
      <c r="D57" s="210" t="s">
        <v>128</v>
      </c>
      <c r="E57" s="210" t="s">
        <v>40</v>
      </c>
      <c r="F57" s="210" t="s">
        <v>118</v>
      </c>
      <c r="G57" s="228">
        <v>864</v>
      </c>
      <c r="H57" s="125">
        <v>20</v>
      </c>
      <c r="I57" s="126">
        <v>10</v>
      </c>
      <c r="J57" s="26">
        <f t="shared" si="8"/>
        <v>894</v>
      </c>
      <c r="K57" s="172">
        <f t="shared" si="9"/>
        <v>0.96644295302013428</v>
      </c>
      <c r="L57" s="213"/>
      <c r="M57" s="213"/>
      <c r="N57" s="223"/>
      <c r="O57" s="210"/>
      <c r="P57" s="35"/>
      <c r="Q57" s="154"/>
      <c r="R57" s="133"/>
      <c r="S57" s="156"/>
      <c r="T57" s="293">
        <v>2</v>
      </c>
      <c r="U57" s="211" t="s">
        <v>34</v>
      </c>
      <c r="V57" s="210" t="s">
        <v>116</v>
      </c>
      <c r="W57" s="211">
        <v>2</v>
      </c>
      <c r="X57" s="211">
        <v>4</v>
      </c>
      <c r="Y57" s="211"/>
      <c r="Z57" s="234">
        <f>IF(U57&lt;&gt;"",X57*VLOOKUP(U57,Listas!$H$3:$L$23,3,0),0)</f>
        <v>144</v>
      </c>
      <c r="AA57" s="234">
        <f>IF(U57&lt;&gt;"",Y57*VLOOKUP(U57,Listas!$H$3:$L$23,3,0),0)</f>
        <v>0</v>
      </c>
      <c r="AB57" s="234">
        <f>IF(U57&lt;&gt;"",X57*VLOOKUP(U57,Listas!$H$3:$L$23,4,0),0)</f>
        <v>3168</v>
      </c>
      <c r="AC57" s="234">
        <f>IF(U57&lt;&gt;"",Y57*VLOOKUP(U57,Listas!$H$3:$L$23,4,0),0)</f>
        <v>0</v>
      </c>
      <c r="AD57" s="272">
        <f>+SUM(AB57:AB58)+SUM(AC57:AC58)</f>
        <v>3168</v>
      </c>
      <c r="AE57" s="87">
        <f>IF(COUNT(X57)=1,VLOOKUP(U57,Listas!$R$6:$U$18,'02-09 T2'!W57+1,FALSE),IF(COUNT('02-09 T2'!Y57)=1,VLOOKUP('02-09 T2'!U57,Listas!$R$22:$U$34,'02-09 T2'!W57+1,FALSE),""))</f>
        <v>1764.7058823529412</v>
      </c>
      <c r="AF57" s="294"/>
      <c r="AG57" s="294"/>
      <c r="AH57" s="295"/>
      <c r="AI57" s="161"/>
      <c r="AJ57" s="161"/>
      <c r="AK57" s="161"/>
      <c r="AL57" s="158"/>
      <c r="AM57" s="133"/>
    </row>
    <row r="58" spans="1:39" ht="15" customHeight="1">
      <c r="A58" s="30"/>
      <c r="B58" s="147"/>
      <c r="C58" s="28">
        <v>7</v>
      </c>
      <c r="D58" s="210" t="s">
        <v>128</v>
      </c>
      <c r="E58" s="210" t="s">
        <v>40</v>
      </c>
      <c r="F58" s="210" t="s">
        <v>118</v>
      </c>
      <c r="G58" s="124">
        <v>864</v>
      </c>
      <c r="H58" s="125">
        <v>0</v>
      </c>
      <c r="I58" s="126">
        <v>15</v>
      </c>
      <c r="J58" s="26">
        <f t="shared" si="8"/>
        <v>879</v>
      </c>
      <c r="K58" s="172">
        <f t="shared" si="9"/>
        <v>0.98293515358361772</v>
      </c>
      <c r="L58" s="213"/>
      <c r="M58" s="213"/>
      <c r="N58" s="223"/>
      <c r="O58" s="210"/>
      <c r="P58" s="35"/>
      <c r="Q58" s="154"/>
      <c r="R58" s="133"/>
      <c r="S58" s="156"/>
      <c r="T58" s="288"/>
      <c r="U58" s="104"/>
      <c r="V58" s="116"/>
      <c r="W58" s="104"/>
      <c r="X58" s="104"/>
      <c r="Y58" s="104"/>
      <c r="Z58" s="235">
        <f>IF(U58&lt;&gt;"",X58*VLOOKUP(U58,Listas!$H$3:$L$23,3,0),0)</f>
        <v>0</v>
      </c>
      <c r="AA58" s="235">
        <f>IF(U58&lt;&gt;"",Y58*VLOOKUP(U58,Listas!$H$3:$L$23,3,0),0)</f>
        <v>0</v>
      </c>
      <c r="AB58" s="235">
        <f>IF(U58&lt;&gt;"",X58*VLOOKUP(U58,Listas!$H$3:$L$23,4,0),0)</f>
        <v>0</v>
      </c>
      <c r="AC58" s="235">
        <f>IF(U58&lt;&gt;"",Y58*VLOOKUP(U58,Listas!$H$3:$L$23,4,0),0)</f>
        <v>0</v>
      </c>
      <c r="AD58" s="289"/>
      <c r="AE58" s="88" t="str">
        <f>IF(COUNT(X58)=1,VLOOKUP(U58,Listas!$R$6:$U$18,'02-09 T2'!W58+1,FALSE),IF(COUNT('02-09 T2'!Y58)=1,VLOOKUP('02-09 T2'!U58,Listas!$R$22:$U$34,'02-09 T2'!W58+1,FALSE),""))</f>
        <v/>
      </c>
      <c r="AF58" s="294"/>
      <c r="AG58" s="294"/>
      <c r="AH58" s="295"/>
      <c r="AI58" s="157"/>
      <c r="AJ58" s="157"/>
      <c r="AK58" s="157"/>
      <c r="AL58" s="158"/>
      <c r="AM58" s="133"/>
    </row>
    <row r="59" spans="1:39" ht="15" customHeight="1" thickBot="1">
      <c r="A59" s="30"/>
      <c r="B59" s="147"/>
      <c r="C59" s="236">
        <v>8</v>
      </c>
      <c r="D59" s="210" t="s">
        <v>128</v>
      </c>
      <c r="E59" s="210" t="s">
        <v>40</v>
      </c>
      <c r="F59" s="210" t="s">
        <v>118</v>
      </c>
      <c r="G59" s="108">
        <v>816</v>
      </c>
      <c r="H59" s="220">
        <v>0</v>
      </c>
      <c r="I59" s="108">
        <v>20</v>
      </c>
      <c r="J59" s="238">
        <f>+G59+H59+I59</f>
        <v>836</v>
      </c>
      <c r="K59" s="173">
        <f>IF(J59&lt;&gt;0,G59/J59,0)</f>
        <v>0.97607655502392343</v>
      </c>
      <c r="L59" s="213"/>
      <c r="M59" s="213"/>
      <c r="N59" s="223"/>
      <c r="O59" s="210"/>
      <c r="P59" s="35"/>
      <c r="Q59" s="154"/>
      <c r="R59" s="133"/>
      <c r="S59" s="156"/>
      <c r="T59" s="293">
        <v>3</v>
      </c>
      <c r="U59" s="211" t="s">
        <v>63</v>
      </c>
      <c r="V59" s="210" t="s">
        <v>117</v>
      </c>
      <c r="W59" s="211">
        <v>2</v>
      </c>
      <c r="X59" s="211">
        <v>5</v>
      </c>
      <c r="Y59" s="211"/>
      <c r="Z59" s="234">
        <f>IF(U59&lt;&gt;"",X59*VLOOKUP(U59,Listas!$H$3:$L$23,3,0),0)</f>
        <v>180</v>
      </c>
      <c r="AA59" s="234">
        <f>IF(U59&lt;&gt;"",Y59*VLOOKUP(U59,Listas!$H$3:$L$23,3,0),0)</f>
        <v>0</v>
      </c>
      <c r="AB59" s="234">
        <f>IF(U59&lt;&gt;"",X59*VLOOKUP(U59,Listas!$H$3:$L$23,4,0),0)</f>
        <v>3960</v>
      </c>
      <c r="AC59" s="234">
        <f>IF(U59&lt;&gt;"",Y59*VLOOKUP(U59,Listas!$H$3:$L$23,4,0),0)</f>
        <v>0</v>
      </c>
      <c r="AD59" s="272">
        <f>+SUM(AB59:AB60)+SUM(AC59:AC60)</f>
        <v>3960</v>
      </c>
      <c r="AE59" s="87">
        <f>IF(COUNT(X59)=1,VLOOKUP(U59,Listas!$R$6:$U$18,'02-09 T2'!W59+1,FALSE),IF(COUNT('02-09 T2'!Y59)=1,VLOOKUP('02-09 T2'!U59,Listas!$R$22:$U$34,'02-09 T2'!W59+1,FALSE),""))</f>
        <v>1764.7058823529412</v>
      </c>
      <c r="AF59" s="274"/>
      <c r="AG59" s="275"/>
      <c r="AH59" s="276"/>
      <c r="AI59" s="161"/>
      <c r="AJ59" s="161"/>
      <c r="AK59" s="161"/>
      <c r="AL59" s="158"/>
      <c r="AM59" s="133"/>
    </row>
    <row r="60" spans="1:39" ht="15" customHeight="1" thickBot="1">
      <c r="A60" s="30"/>
      <c r="B60" s="147"/>
      <c r="C60" s="174" t="s">
        <v>7</v>
      </c>
      <c r="D60" s="110"/>
      <c r="E60" s="110"/>
      <c r="F60" s="132"/>
      <c r="G60" s="111">
        <f>SUM(G52:G59)</f>
        <v>6349</v>
      </c>
      <c r="H60" s="111">
        <f>SUM(H52:H59)</f>
        <v>240</v>
      </c>
      <c r="I60" s="111">
        <f>SUM(I52:I59)</f>
        <v>65</v>
      </c>
      <c r="J60" s="111">
        <f>SUM(J52:J59)</f>
        <v>6654</v>
      </c>
      <c r="K60" s="175">
        <f t="shared" si="9"/>
        <v>0.95416290952810334</v>
      </c>
      <c r="L60" s="239"/>
      <c r="M60" s="112">
        <f>SUM(M52:M59)</f>
        <v>35</v>
      </c>
      <c r="N60" s="224"/>
      <c r="O60" s="176"/>
      <c r="P60" s="35"/>
      <c r="Q60" s="154"/>
      <c r="R60" s="133"/>
      <c r="S60" s="156"/>
      <c r="T60" s="288"/>
      <c r="U60" s="104"/>
      <c r="V60" s="116"/>
      <c r="W60" s="104"/>
      <c r="X60" s="104"/>
      <c r="Y60" s="104"/>
      <c r="Z60" s="235">
        <f>IF(U60&lt;&gt;"",X60*VLOOKUP(U60,Listas!$H$3:$L$23,3,0),0)</f>
        <v>0</v>
      </c>
      <c r="AA60" s="235">
        <f>IF(U60&lt;&gt;"",Y60*VLOOKUP(U60,Listas!$H$3:$L$23,3,0),0)</f>
        <v>0</v>
      </c>
      <c r="AB60" s="235">
        <f>IF(U60&lt;&gt;"",X60*VLOOKUP(U60,Listas!$H$3:$L$23,4,0),0)</f>
        <v>0</v>
      </c>
      <c r="AC60" s="235">
        <f>IF(U60&lt;&gt;"",Y60*VLOOKUP(U60,Listas!$H$3:$L$23,4,0),0)</f>
        <v>0</v>
      </c>
      <c r="AD60" s="289"/>
      <c r="AE60" s="88" t="str">
        <f>IF(COUNT(X60)=1,VLOOKUP(U60,Listas!$R$6:$U$18,'02-09 T2'!W60+1,FALSE),IF(COUNT('02-09 T2'!Y60)=1,VLOOKUP('02-09 T2'!U60,Listas!$R$22:$U$34,'02-09 T2'!W60+1,FALSE),""))</f>
        <v/>
      </c>
      <c r="AF60" s="290"/>
      <c r="AG60" s="291"/>
      <c r="AH60" s="292"/>
      <c r="AI60" s="161"/>
      <c r="AJ60" s="161"/>
      <c r="AK60" s="161"/>
      <c r="AL60" s="158"/>
      <c r="AM60" s="133"/>
    </row>
    <row r="61" spans="1:39" ht="15" customHeight="1" thickBot="1">
      <c r="A61" s="30"/>
      <c r="B61" s="147"/>
      <c r="C61" s="41"/>
      <c r="D61" s="41"/>
      <c r="E61" s="41"/>
      <c r="F61" s="131"/>
      <c r="G61" s="42"/>
      <c r="H61" s="42"/>
      <c r="I61" s="42"/>
      <c r="J61" s="42"/>
      <c r="K61" s="177"/>
      <c r="L61" s="42"/>
      <c r="M61" s="41"/>
      <c r="N61" s="41"/>
      <c r="O61" s="35"/>
      <c r="P61" s="35"/>
      <c r="Q61" s="154"/>
      <c r="R61" s="133"/>
      <c r="S61" s="156"/>
      <c r="T61" s="270">
        <v>4</v>
      </c>
      <c r="U61" s="211" t="s">
        <v>29</v>
      </c>
      <c r="V61" s="210" t="s">
        <v>151</v>
      </c>
      <c r="W61" s="211">
        <v>2</v>
      </c>
      <c r="X61" s="211">
        <v>5</v>
      </c>
      <c r="Y61" s="211"/>
      <c r="Z61" s="237">
        <f>IF(U61&lt;&gt;"",X61*VLOOKUP(U61,Listas!$H$3:$L$23,3,0),0)</f>
        <v>120</v>
      </c>
      <c r="AA61" s="237">
        <f>IF(U61&lt;&gt;"",Y61*VLOOKUP(U61,Listas!$H$3:$L$23,3,0),0)</f>
        <v>0</v>
      </c>
      <c r="AB61" s="237">
        <f>IF(U61&lt;&gt;"",X61*VLOOKUP(U61,Listas!$H$3:$L$23,4,0),0)</f>
        <v>3840</v>
      </c>
      <c r="AC61" s="237">
        <f>IF(U61&lt;&gt;"",Y61*VLOOKUP(U61,Listas!$H$3:$L$23,4,0),0)</f>
        <v>0</v>
      </c>
      <c r="AD61" s="272">
        <f>+SUM(AB61:AB62)+SUM(AC61:AC62)</f>
        <v>3840</v>
      </c>
      <c r="AE61" s="87">
        <f>IF(COUNT(X61)=1,VLOOKUP(U61,Listas!$R$6:$U$18,'02-09 T2'!W61+1,FALSE),IF(COUNT('02-09 T2'!Y61)=1,VLOOKUP('02-09 T2'!U61,Listas!$R$22:$U$34,'02-09 T2'!W61+1,FALSE),""))</f>
        <v>900</v>
      </c>
      <c r="AF61" s="294"/>
      <c r="AG61" s="294"/>
      <c r="AH61" s="295"/>
      <c r="AI61" s="161"/>
      <c r="AJ61" s="161"/>
      <c r="AK61" s="161"/>
      <c r="AL61" s="158"/>
      <c r="AM61" s="133"/>
    </row>
    <row r="62" spans="1:39" ht="15" customHeight="1">
      <c r="A62" s="30"/>
      <c r="B62" s="147"/>
      <c r="C62" s="253">
        <v>5</v>
      </c>
      <c r="D62" s="255">
        <f>K73</f>
        <v>0.93719492352749756</v>
      </c>
      <c r="E62" s="35"/>
      <c r="F62" s="35"/>
      <c r="G62" s="35"/>
      <c r="H62" s="35"/>
      <c r="I62" s="35"/>
      <c r="J62" s="35"/>
      <c r="K62" s="35"/>
      <c r="L62" s="36"/>
      <c r="M62" s="35"/>
      <c r="N62" s="35"/>
      <c r="O62" s="35"/>
      <c r="P62" s="35"/>
      <c r="Q62" s="154"/>
      <c r="R62" s="133"/>
      <c r="S62" s="156"/>
      <c r="T62" s="288"/>
      <c r="U62" s="104"/>
      <c r="V62" s="116"/>
      <c r="W62" s="104"/>
      <c r="X62" s="104"/>
      <c r="Y62" s="104"/>
      <c r="Z62" s="235">
        <f>IF(U62&lt;&gt;"",X62*VLOOKUP(U62,Listas!$H$3:$L$23,3,0),0)</f>
        <v>0</v>
      </c>
      <c r="AA62" s="235">
        <f>IF(U62&lt;&gt;"",Y62*VLOOKUP(U62,Listas!$H$3:$L$23,3,0),0)</f>
        <v>0</v>
      </c>
      <c r="AB62" s="235">
        <f>IF(U62&lt;&gt;"",X62*VLOOKUP(U62,Listas!$H$3:$L$23,4,0),0)</f>
        <v>0</v>
      </c>
      <c r="AC62" s="235">
        <f>IF(U62&lt;&gt;"",Y62*VLOOKUP(U62,Listas!$H$3:$L$23,4,0),0)</f>
        <v>0</v>
      </c>
      <c r="AD62" s="289"/>
      <c r="AE62" s="88" t="str">
        <f>IF(COUNT(X62)=1,VLOOKUP(U62,Listas!$R$6:$U$18,'02-09 T2'!W62+1,FALSE),IF(COUNT('02-09 T2'!Y62)=1,VLOOKUP('02-09 T2'!U62,Listas!$R$22:$U$34,'02-09 T2'!W62+1,FALSE),""))</f>
        <v/>
      </c>
      <c r="AF62" s="294"/>
      <c r="AG62" s="294"/>
      <c r="AH62" s="295"/>
      <c r="AI62" s="161"/>
      <c r="AJ62" s="161"/>
      <c r="AK62" s="161"/>
      <c r="AL62" s="158"/>
      <c r="AM62" s="133"/>
    </row>
    <row r="63" spans="1:39" ht="15" customHeight="1" thickBot="1">
      <c r="A63" s="30"/>
      <c r="B63" s="147"/>
      <c r="C63" s="254"/>
      <c r="D63" s="256"/>
      <c r="E63" s="131"/>
      <c r="F63" s="131"/>
      <c r="G63" s="131"/>
      <c r="H63" s="131"/>
      <c r="I63" s="131"/>
      <c r="J63" s="131"/>
      <c r="K63" s="131"/>
      <c r="L63" s="36"/>
      <c r="M63" s="35"/>
      <c r="N63" s="35"/>
      <c r="O63" s="35"/>
      <c r="P63" s="35"/>
      <c r="Q63" s="154"/>
      <c r="R63" s="133"/>
      <c r="S63" s="156"/>
      <c r="T63" s="293">
        <v>5</v>
      </c>
      <c r="U63" s="211" t="s">
        <v>34</v>
      </c>
      <c r="V63" s="210" t="s">
        <v>116</v>
      </c>
      <c r="W63" s="211">
        <v>3</v>
      </c>
      <c r="X63" s="211"/>
      <c r="Y63" s="211">
        <v>13</v>
      </c>
      <c r="Z63" s="234">
        <f>IF(U63&lt;&gt;"",X63*VLOOKUP(U63,Listas!$H$3:$L$23,3,0),0)</f>
        <v>0</v>
      </c>
      <c r="AA63" s="234">
        <f>IF(U63&lt;&gt;"",Y63*VLOOKUP(U63,Listas!$H$3:$L$23,3,0),0)</f>
        <v>468</v>
      </c>
      <c r="AB63" s="234">
        <f>IF(U63&lt;&gt;"",X63*VLOOKUP(U63,Listas!$H$3:$L$23,4,0),0)</f>
        <v>0</v>
      </c>
      <c r="AC63" s="234">
        <f>IF(U63&lt;&gt;"",Y63*VLOOKUP(U63,Listas!$H$3:$L$23,4,0),0)</f>
        <v>10296</v>
      </c>
      <c r="AD63" s="272">
        <f>+SUM(AB63:AB64)+SUM(AC63:AC64)</f>
        <v>10296</v>
      </c>
      <c r="AE63" s="87">
        <f>IF(COUNT(X63)=1,VLOOKUP(U63,Listas!$R$6:$U$18,'02-09 T2'!W63+1,FALSE),IF(COUNT('02-09 T2'!Y63)=1,VLOOKUP('02-09 T2'!U63,Listas!$R$22:$U$34,'02-09 T2'!W63+1,FALSE),""))</f>
        <v>1428.5714285714284</v>
      </c>
      <c r="AF63" s="294"/>
      <c r="AG63" s="294"/>
      <c r="AH63" s="295"/>
      <c r="AI63" s="161"/>
      <c r="AJ63" s="161"/>
      <c r="AK63" s="161"/>
      <c r="AL63" s="158"/>
      <c r="AM63" s="133"/>
    </row>
    <row r="64" spans="1:39" ht="15" customHeight="1">
      <c r="A64" s="30"/>
      <c r="B64" s="147"/>
      <c r="C64" s="29" t="s">
        <v>2</v>
      </c>
      <c r="D64" s="23" t="s">
        <v>6</v>
      </c>
      <c r="E64" s="23" t="s">
        <v>3</v>
      </c>
      <c r="F64" s="23" t="s">
        <v>58</v>
      </c>
      <c r="G64" s="231" t="s">
        <v>0</v>
      </c>
      <c r="H64" s="231" t="s">
        <v>1</v>
      </c>
      <c r="I64" s="231" t="s">
        <v>18</v>
      </c>
      <c r="J64" s="231" t="s">
        <v>5</v>
      </c>
      <c r="K64" s="23" t="s">
        <v>13</v>
      </c>
      <c r="L64" s="231" t="s">
        <v>17</v>
      </c>
      <c r="M64" s="23" t="s">
        <v>9</v>
      </c>
      <c r="N64" s="240" t="s">
        <v>77</v>
      </c>
      <c r="O64" s="24" t="s">
        <v>12</v>
      </c>
      <c r="P64" s="35"/>
      <c r="Q64" s="154"/>
      <c r="R64" s="133"/>
      <c r="S64" s="156"/>
      <c r="T64" s="288"/>
      <c r="U64" s="104"/>
      <c r="V64" s="116"/>
      <c r="W64" s="104"/>
      <c r="X64" s="104"/>
      <c r="Y64" s="104"/>
      <c r="Z64" s="235">
        <f>IF(U64&lt;&gt;"",X64*VLOOKUP(U64,Listas!$H$3:$L$23,3,0),0)</f>
        <v>0</v>
      </c>
      <c r="AA64" s="235">
        <f>IF(U64&lt;&gt;"",Y64*VLOOKUP(U64,Listas!$H$3:$L$23,3,0),0)</f>
        <v>0</v>
      </c>
      <c r="AB64" s="235">
        <f>IF(U64&lt;&gt;"",X64*VLOOKUP(U64,Listas!$H$3:$L$23,4,0),0)</f>
        <v>0</v>
      </c>
      <c r="AC64" s="235">
        <f>IF(U64&lt;&gt;"",Y64*VLOOKUP(U64,Listas!$H$3:$L$23,4,0),0)</f>
        <v>0</v>
      </c>
      <c r="AD64" s="289"/>
      <c r="AE64" s="88" t="str">
        <f>IF(COUNT(X64)=1,VLOOKUP(U64,Listas!$R$6:$U$18,'02-09 T2'!W64+1,FALSE),IF(COUNT('02-09 T2'!Y64)=1,VLOOKUP('02-09 T2'!U64,Listas!$R$22:$U$34,'02-09 T2'!W64+1,FALSE),""))</f>
        <v/>
      </c>
      <c r="AF64" s="294"/>
      <c r="AG64" s="294"/>
      <c r="AH64" s="295"/>
      <c r="AI64" s="161"/>
      <c r="AJ64" s="161"/>
      <c r="AK64" s="161"/>
      <c r="AL64" s="158"/>
      <c r="AM64" s="133"/>
    </row>
    <row r="65" spans="1:39" ht="15" customHeight="1">
      <c r="A65" s="30"/>
      <c r="B65" s="147"/>
      <c r="C65" s="232">
        <v>1</v>
      </c>
      <c r="D65" s="214" t="s">
        <v>158</v>
      </c>
      <c r="E65" s="210" t="s">
        <v>31</v>
      </c>
      <c r="F65" s="210" t="s">
        <v>116</v>
      </c>
      <c r="G65" s="124">
        <v>720</v>
      </c>
      <c r="H65" s="125">
        <v>40</v>
      </c>
      <c r="I65" s="126">
        <v>0</v>
      </c>
      <c r="J65" s="234">
        <f t="shared" ref="J65:J72" si="10">+G65+H65+I65</f>
        <v>760</v>
      </c>
      <c r="K65" s="171">
        <f t="shared" ref="K65:K73" si="11">IF(J65&lt;&gt;0,G65/J65,0)</f>
        <v>0.94736842105263153</v>
      </c>
      <c r="L65" s="213" t="s">
        <v>175</v>
      </c>
      <c r="M65" s="213"/>
      <c r="N65" s="223"/>
      <c r="O65" s="210"/>
      <c r="P65" s="35"/>
      <c r="Q65" s="154"/>
      <c r="R65" s="133"/>
      <c r="S65" s="156"/>
      <c r="T65" s="270">
        <v>6</v>
      </c>
      <c r="U65" s="211" t="s">
        <v>33</v>
      </c>
      <c r="V65" s="210" t="s">
        <v>116</v>
      </c>
      <c r="W65" s="211">
        <v>2</v>
      </c>
      <c r="X65" s="211">
        <v>1</v>
      </c>
      <c r="Y65" s="211"/>
      <c r="Z65" s="237">
        <f>IF(U65&lt;&gt;"",X65*VLOOKUP(U65,Listas!$H$3:$L$23,3,0),0)</f>
        <v>56</v>
      </c>
      <c r="AA65" s="237">
        <f>IF(U65&lt;&gt;"",Y65*VLOOKUP(U65,Listas!$H$3:$L$23,3,0),0)</f>
        <v>0</v>
      </c>
      <c r="AB65" s="237">
        <f>IF(U65&lt;&gt;"",X65*VLOOKUP(U65,Listas!$H$3:$L$23,4,0),0)</f>
        <v>1120</v>
      </c>
      <c r="AC65" s="237">
        <f>IF(U65&lt;&gt;"",Y65*VLOOKUP(U65,Listas!$H$3:$L$23,4,0),0)</f>
        <v>0</v>
      </c>
      <c r="AD65" s="272">
        <f>+SUM(AB65:AB66)+SUM(AC65:AC66)</f>
        <v>1120</v>
      </c>
      <c r="AE65" s="89">
        <f>IF(COUNT(X65)=1,VLOOKUP(U65,Listas!$R$6:$U$18,'02-09 T2'!W65+1,FALSE),IF(COUNT('02-09 T2'!Y65)=1,VLOOKUP('02-09 T2'!U65,Listas!$R$22:$U$34,'02-09 T2'!W65+1,FALSE),""))</f>
        <v>1500</v>
      </c>
      <c r="AF65" s="274"/>
      <c r="AG65" s="275"/>
      <c r="AH65" s="276"/>
      <c r="AI65" s="161"/>
      <c r="AJ65" s="161"/>
      <c r="AK65" s="161"/>
      <c r="AL65" s="158"/>
      <c r="AM65" s="133"/>
    </row>
    <row r="66" spans="1:39" ht="15" customHeight="1">
      <c r="A66" s="30"/>
      <c r="B66" s="147"/>
      <c r="C66" s="28">
        <v>2</v>
      </c>
      <c r="D66" s="214" t="s">
        <v>158</v>
      </c>
      <c r="E66" s="210" t="s">
        <v>31</v>
      </c>
      <c r="F66" s="210" t="s">
        <v>116</v>
      </c>
      <c r="G66" s="124">
        <v>1008</v>
      </c>
      <c r="H66" s="125">
        <v>55</v>
      </c>
      <c r="I66" s="126">
        <v>8</v>
      </c>
      <c r="J66" s="26">
        <f t="shared" si="10"/>
        <v>1071</v>
      </c>
      <c r="K66" s="172">
        <f t="shared" si="11"/>
        <v>0.94117647058823528</v>
      </c>
      <c r="L66" s="213"/>
      <c r="M66" s="213"/>
      <c r="N66" s="223"/>
      <c r="O66" s="210"/>
      <c r="P66" s="35"/>
      <c r="Q66" s="154"/>
      <c r="R66" s="133"/>
      <c r="S66" s="156"/>
      <c r="T66" s="288"/>
      <c r="U66" s="104"/>
      <c r="V66" s="215"/>
      <c r="W66" s="104"/>
      <c r="X66" s="104"/>
      <c r="Y66" s="104"/>
      <c r="Z66" s="235">
        <f>IF(U66&lt;&gt;"",X66*VLOOKUP(U66,Listas!$H$3:$L$23,3,0),0)</f>
        <v>0</v>
      </c>
      <c r="AA66" s="235">
        <f>IF(U66&lt;&gt;"",Y66*VLOOKUP(U66,Listas!$H$3:$L$23,3,0),0)</f>
        <v>0</v>
      </c>
      <c r="AB66" s="235">
        <f>IF(U66&lt;&gt;"",X66*VLOOKUP(U66,Listas!$H$3:$L$23,4,0),0)</f>
        <v>0</v>
      </c>
      <c r="AC66" s="235">
        <f>IF(U66&lt;&gt;"",Y66*VLOOKUP(U66,Listas!$H$3:$L$23,4,0),0)</f>
        <v>0</v>
      </c>
      <c r="AD66" s="289"/>
      <c r="AE66" s="90" t="str">
        <f>IF(COUNT(X66)=1,VLOOKUP(U66,Listas!$R$6:$U$18,'02-09 T2'!W66+1,FALSE),IF(COUNT('02-09 T2'!Y66)=1,VLOOKUP('02-09 T2'!U66,Listas!$R$22:$U$34,'02-09 T2'!W66+1,FALSE),""))</f>
        <v/>
      </c>
      <c r="AF66" s="290"/>
      <c r="AG66" s="291"/>
      <c r="AH66" s="292"/>
      <c r="AI66" s="161"/>
      <c r="AJ66" s="161"/>
      <c r="AK66" s="161"/>
      <c r="AL66" s="158"/>
      <c r="AM66" s="133"/>
    </row>
    <row r="67" spans="1:39" ht="15" customHeight="1">
      <c r="A67" s="30"/>
      <c r="B67" s="147"/>
      <c r="C67" s="28">
        <v>3</v>
      </c>
      <c r="D67" s="214" t="s">
        <v>122</v>
      </c>
      <c r="E67" s="210" t="s">
        <v>38</v>
      </c>
      <c r="F67" s="210" t="s">
        <v>118</v>
      </c>
      <c r="G67" s="124">
        <v>504</v>
      </c>
      <c r="H67" s="125">
        <v>0</v>
      </c>
      <c r="I67" s="126">
        <v>3</v>
      </c>
      <c r="J67" s="26">
        <f t="shared" si="10"/>
        <v>507</v>
      </c>
      <c r="K67" s="172">
        <f t="shared" si="11"/>
        <v>0.99408284023668636</v>
      </c>
      <c r="L67" s="213"/>
      <c r="M67" s="213">
        <v>20</v>
      </c>
      <c r="N67" s="223">
        <v>51</v>
      </c>
      <c r="O67" s="210"/>
      <c r="P67" s="35"/>
      <c r="Q67" s="154"/>
      <c r="R67" s="133"/>
      <c r="S67" s="156"/>
      <c r="T67" s="293">
        <v>7</v>
      </c>
      <c r="U67" s="211"/>
      <c r="V67" s="210"/>
      <c r="W67" s="211"/>
      <c r="X67" s="211"/>
      <c r="Y67" s="211"/>
      <c r="Z67" s="234">
        <f>IF(U67&lt;&gt;"",X67*VLOOKUP(U67,Listas!$H$3:$L$23,3,0),0)</f>
        <v>0</v>
      </c>
      <c r="AA67" s="234">
        <f>IF(U67&lt;&gt;"",Y67*VLOOKUP(U67,Listas!$H$3:$L$23,3,0),0)</f>
        <v>0</v>
      </c>
      <c r="AB67" s="234">
        <f>IF(U67&lt;&gt;"",X67*VLOOKUP(U67,Listas!$H$3:$L$23,4,0),0)</f>
        <v>0</v>
      </c>
      <c r="AC67" s="234">
        <f>IF(U67&lt;&gt;"",Y67*VLOOKUP(U67,Listas!$H$3:$L$23,4,0),0)</f>
        <v>0</v>
      </c>
      <c r="AD67" s="272">
        <f>+SUM(AB67:AB68)+SUM(AC67:AC68)</f>
        <v>0</v>
      </c>
      <c r="AE67" s="87" t="str">
        <f>IF(COUNT(X67)=1,VLOOKUP(U67,Listas!$R$6:$U$18,'02-09 T2'!W67+1,FALSE),IF(COUNT('02-09 T2'!Y67)=1,VLOOKUP('02-09 T2'!U67,Listas!$R$22:$U$34,'02-09 T2'!W67+1,FALSE),""))</f>
        <v/>
      </c>
      <c r="AF67" s="274"/>
      <c r="AG67" s="275"/>
      <c r="AH67" s="276"/>
      <c r="AI67" s="161"/>
      <c r="AJ67" s="161"/>
      <c r="AK67" s="161"/>
      <c r="AL67" s="158"/>
      <c r="AM67" s="133"/>
    </row>
    <row r="68" spans="1:39" ht="15" customHeight="1">
      <c r="A68" s="30"/>
      <c r="B68" s="147"/>
      <c r="C68" s="28">
        <v>4</v>
      </c>
      <c r="D68" s="214" t="s">
        <v>122</v>
      </c>
      <c r="E68" s="210" t="s">
        <v>38</v>
      </c>
      <c r="F68" s="210" t="s">
        <v>118</v>
      </c>
      <c r="G68" s="124">
        <v>576</v>
      </c>
      <c r="H68" s="125">
        <v>120</v>
      </c>
      <c r="I68" s="126">
        <v>4</v>
      </c>
      <c r="J68" s="26">
        <f t="shared" si="10"/>
        <v>700</v>
      </c>
      <c r="K68" s="172">
        <f t="shared" si="11"/>
        <v>0.82285714285714284</v>
      </c>
      <c r="L68" s="213" t="s">
        <v>177</v>
      </c>
      <c r="M68" s="213"/>
      <c r="N68" s="223"/>
      <c r="O68" s="210"/>
      <c r="P68" s="35"/>
      <c r="Q68" s="154"/>
      <c r="R68" s="133"/>
      <c r="S68" s="156"/>
      <c r="T68" s="288"/>
      <c r="U68" s="104"/>
      <c r="V68" s="103"/>
      <c r="W68" s="104"/>
      <c r="X68" s="104"/>
      <c r="Y68" s="104"/>
      <c r="Z68" s="235">
        <f>IF(U68&lt;&gt;"",X68*VLOOKUP(U68,Listas!$H$3:$L$23,3,0),0)</f>
        <v>0</v>
      </c>
      <c r="AA68" s="235">
        <f>IF(U68&lt;&gt;"",Y68*VLOOKUP(U68,Listas!$H$3:$L$23,3,0),0)</f>
        <v>0</v>
      </c>
      <c r="AB68" s="235">
        <f>IF(U68&lt;&gt;"",X68*VLOOKUP(U68,Listas!$H$3:$L$23,4,0),0)</f>
        <v>0</v>
      </c>
      <c r="AC68" s="235">
        <f>IF(U68&lt;&gt;"",Y68*VLOOKUP(U68,Listas!$H$3:$L$23,4,0),0)</f>
        <v>0</v>
      </c>
      <c r="AD68" s="289"/>
      <c r="AE68" s="88" t="str">
        <f>IF(COUNT(X68)=1,VLOOKUP(U68,Listas!$R$6:$U$18,'02-09 T2'!W68+1,FALSE),IF(COUNT('02-09 T2'!Y68)=1,VLOOKUP('02-09 T2'!U68,Listas!$R$22:$U$34,'02-09 T2'!W68+1,FALSE),""))</f>
        <v/>
      </c>
      <c r="AF68" s="290"/>
      <c r="AG68" s="291"/>
      <c r="AH68" s="292"/>
      <c r="AI68" s="161"/>
      <c r="AJ68" s="161"/>
      <c r="AK68" s="161"/>
      <c r="AL68" s="158"/>
      <c r="AM68" s="133"/>
    </row>
    <row r="69" spans="1:39" ht="15" customHeight="1">
      <c r="A69" s="30"/>
      <c r="B69" s="147"/>
      <c r="C69" s="28">
        <v>5</v>
      </c>
      <c r="D69" s="214" t="s">
        <v>122</v>
      </c>
      <c r="E69" s="210" t="s">
        <v>38</v>
      </c>
      <c r="F69" s="210" t="s">
        <v>118</v>
      </c>
      <c r="G69" s="124">
        <v>720</v>
      </c>
      <c r="H69" s="125">
        <v>40</v>
      </c>
      <c r="I69" s="126">
        <v>9</v>
      </c>
      <c r="J69" s="26">
        <f t="shared" si="10"/>
        <v>769</v>
      </c>
      <c r="K69" s="172">
        <f t="shared" si="11"/>
        <v>0.93628088426527956</v>
      </c>
      <c r="L69" s="213" t="s">
        <v>177</v>
      </c>
      <c r="M69" s="213"/>
      <c r="N69" s="223"/>
      <c r="O69" s="210"/>
      <c r="P69" s="35"/>
      <c r="Q69" s="154"/>
      <c r="R69" s="133"/>
      <c r="S69" s="156"/>
      <c r="T69" s="270">
        <v>8</v>
      </c>
      <c r="U69" s="211"/>
      <c r="V69" s="210"/>
      <c r="W69" s="211"/>
      <c r="X69" s="211"/>
      <c r="Y69" s="211"/>
      <c r="Z69" s="234">
        <f>IF(U69&lt;&gt;"",X69*VLOOKUP(U69,Listas!$H$3:$L$23,3,0),0)</f>
        <v>0</v>
      </c>
      <c r="AA69" s="234">
        <f>IF(U69&lt;&gt;"",Y69*VLOOKUP(U69,Listas!$H$3:$L$23,3,0),0)</f>
        <v>0</v>
      </c>
      <c r="AB69" s="234">
        <f>IF(U69&lt;&gt;"",X69*VLOOKUP(U69,Listas!$H$3:$L$23,4,0),0)</f>
        <v>0</v>
      </c>
      <c r="AC69" s="234">
        <f>IF(U69&lt;&gt;"",Y69*VLOOKUP(U69,Listas!$H$3:$L$23,4,0),0)</f>
        <v>0</v>
      </c>
      <c r="AD69" s="272">
        <f>+SUM(AB69:AB70)+SUM(AC69:AC70)</f>
        <v>0</v>
      </c>
      <c r="AE69" s="87" t="str">
        <f>IF(COUNT(X69)=1,VLOOKUP(U69,Listas!$R$6:$U$18,'02-09 T2'!W69+1,FALSE),IF(COUNT('02-09 T2'!Y69)=1,VLOOKUP('02-09 T2'!U69,Listas!$R$22:$U$34,'02-09 T2'!W69+1,FALSE),""))</f>
        <v/>
      </c>
      <c r="AF69" s="274"/>
      <c r="AG69" s="275"/>
      <c r="AH69" s="276"/>
      <c r="AI69" s="161"/>
      <c r="AJ69" s="161"/>
      <c r="AK69" s="161"/>
      <c r="AL69" s="158"/>
      <c r="AM69" s="133"/>
    </row>
    <row r="70" spans="1:39" ht="15" customHeight="1" thickBot="1">
      <c r="A70" s="30"/>
      <c r="B70" s="147"/>
      <c r="C70" s="28">
        <v>6</v>
      </c>
      <c r="D70" s="214" t="s">
        <v>130</v>
      </c>
      <c r="E70" s="210" t="s">
        <v>38</v>
      </c>
      <c r="F70" s="210" t="s">
        <v>118</v>
      </c>
      <c r="G70" s="228">
        <v>768</v>
      </c>
      <c r="H70" s="125">
        <v>0</v>
      </c>
      <c r="I70" s="126">
        <v>11</v>
      </c>
      <c r="J70" s="26">
        <f t="shared" si="10"/>
        <v>779</v>
      </c>
      <c r="K70" s="172">
        <f t="shared" si="11"/>
        <v>0.98587933247753534</v>
      </c>
      <c r="L70" s="213"/>
      <c r="M70" s="213"/>
      <c r="N70" s="223"/>
      <c r="O70" s="210"/>
      <c r="P70" s="35"/>
      <c r="Q70" s="154"/>
      <c r="R70" s="133"/>
      <c r="S70" s="156"/>
      <c r="T70" s="271"/>
      <c r="U70" s="104"/>
      <c r="V70" s="103"/>
      <c r="W70" s="104"/>
      <c r="X70" s="104"/>
      <c r="Y70" s="117"/>
      <c r="Z70" s="238">
        <f>IF(U70&lt;&gt;"",X70*VLOOKUP(U70,Listas!$H$3:$L$23,3,0),0)</f>
        <v>0</v>
      </c>
      <c r="AA70" s="238">
        <f>IF(U70&lt;&gt;"",Y70*VLOOKUP(U70,Listas!$H$3:$L$23,3,0),0)</f>
        <v>0</v>
      </c>
      <c r="AB70" s="238">
        <f>IF(U70&lt;&gt;"",X70*VLOOKUP(U70,Listas!$H$3:$L$23,4,0),0)</f>
        <v>0</v>
      </c>
      <c r="AC70" s="238">
        <f>IF(U70&lt;&gt;"",Y70*VLOOKUP(U70,Listas!$H$3:$L$23,4,0),0)</f>
        <v>0</v>
      </c>
      <c r="AD70" s="273"/>
      <c r="AE70" s="90" t="str">
        <f>IF(COUNT(X70)=1,VLOOKUP(U70,Listas!$R$6:$U$18,'02-09 T2'!W70+1,FALSE),IF(COUNT('02-09 T2'!Y70)=1,VLOOKUP('02-09 T2'!U70,Listas!$R$22:$U$34,'02-09 T2'!W70+1,FALSE),""))</f>
        <v/>
      </c>
      <c r="AF70" s="277"/>
      <c r="AG70" s="278"/>
      <c r="AH70" s="279"/>
      <c r="AI70" s="161"/>
      <c r="AJ70" s="161"/>
      <c r="AK70" s="161"/>
      <c r="AL70" s="158"/>
      <c r="AM70" s="133"/>
    </row>
    <row r="71" spans="1:39" ht="15" customHeight="1" thickBot="1">
      <c r="A71" s="30"/>
      <c r="B71" s="147"/>
      <c r="C71" s="28">
        <v>7</v>
      </c>
      <c r="D71" s="214" t="s">
        <v>130</v>
      </c>
      <c r="E71" s="210" t="s">
        <v>38</v>
      </c>
      <c r="F71" s="210" t="s">
        <v>118</v>
      </c>
      <c r="G71" s="124">
        <v>672</v>
      </c>
      <c r="H71" s="125">
        <v>40</v>
      </c>
      <c r="I71" s="126">
        <v>24</v>
      </c>
      <c r="J71" s="26">
        <f t="shared" si="10"/>
        <v>736</v>
      </c>
      <c r="K71" s="172">
        <f t="shared" si="11"/>
        <v>0.91304347826086951</v>
      </c>
      <c r="L71" s="213" t="s">
        <v>178</v>
      </c>
      <c r="M71" s="213"/>
      <c r="N71" s="223"/>
      <c r="O71" s="210"/>
      <c r="P71" s="35"/>
      <c r="Q71" s="154"/>
      <c r="R71" s="133"/>
      <c r="S71" s="156"/>
      <c r="T71" s="120"/>
      <c r="U71" s="239"/>
      <c r="V71" s="239"/>
      <c r="W71" s="239"/>
      <c r="X71" s="111">
        <f t="shared" ref="X71:AC71" si="12">+SUM(X55:X70)</f>
        <v>18</v>
      </c>
      <c r="Y71" s="111">
        <f t="shared" si="12"/>
        <v>13</v>
      </c>
      <c r="Z71" s="111">
        <f t="shared" si="12"/>
        <v>656</v>
      </c>
      <c r="AA71" s="111">
        <f t="shared" si="12"/>
        <v>468</v>
      </c>
      <c r="AB71" s="111">
        <f t="shared" si="12"/>
        <v>15988</v>
      </c>
      <c r="AC71" s="111">
        <f t="shared" si="12"/>
        <v>10296</v>
      </c>
      <c r="AD71" s="121">
        <f>+SUM(AD55:AD70)</f>
        <v>26284</v>
      </c>
      <c r="AE71" s="121">
        <f>+SUM(AE55:AE70)</f>
        <v>8557.9831932773122</v>
      </c>
      <c r="AF71" s="280"/>
      <c r="AG71" s="280"/>
      <c r="AH71" s="281"/>
      <c r="AI71" s="161"/>
      <c r="AJ71" s="161"/>
      <c r="AK71" s="161"/>
      <c r="AL71" s="158"/>
      <c r="AM71" s="133"/>
    </row>
    <row r="72" spans="1:39" ht="15" customHeight="1" thickBot="1">
      <c r="A72" s="30"/>
      <c r="B72" s="147"/>
      <c r="C72" s="236">
        <v>8</v>
      </c>
      <c r="D72" s="214" t="s">
        <v>130</v>
      </c>
      <c r="E72" s="210" t="s">
        <v>38</v>
      </c>
      <c r="F72" s="210" t="s">
        <v>118</v>
      </c>
      <c r="G72" s="218">
        <v>792</v>
      </c>
      <c r="H72" s="220">
        <v>20</v>
      </c>
      <c r="I72" s="219">
        <v>12</v>
      </c>
      <c r="J72" s="238">
        <f t="shared" si="10"/>
        <v>824</v>
      </c>
      <c r="K72" s="173">
        <f t="shared" si="11"/>
        <v>0.96116504854368934</v>
      </c>
      <c r="L72" s="213"/>
      <c r="M72" s="213"/>
      <c r="N72" s="223"/>
      <c r="O72" s="210"/>
      <c r="P72" s="35"/>
      <c r="Q72" s="154"/>
      <c r="R72" s="133"/>
      <c r="S72" s="156"/>
      <c r="T72" s="161"/>
      <c r="U72" s="161"/>
      <c r="V72" s="161"/>
      <c r="W72" s="161"/>
      <c r="X72" s="157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161"/>
      <c r="AJ72" s="161"/>
      <c r="AK72" s="161"/>
      <c r="AL72" s="158"/>
      <c r="AM72" s="133"/>
    </row>
    <row r="73" spans="1:39" ht="15" customHeight="1" thickBot="1">
      <c r="A73" s="30"/>
      <c r="B73" s="147"/>
      <c r="C73" s="174" t="s">
        <v>7</v>
      </c>
      <c r="D73" s="110"/>
      <c r="E73" s="110"/>
      <c r="F73" s="110"/>
      <c r="G73" s="111">
        <f>SUM(G65:G72)</f>
        <v>5760</v>
      </c>
      <c r="H73" s="111">
        <f>SUM(H65:H72)</f>
        <v>315</v>
      </c>
      <c r="I73" s="111">
        <f>SUM(I65:I72)</f>
        <v>71</v>
      </c>
      <c r="J73" s="111">
        <f>SUM(J65:J72)</f>
        <v>6146</v>
      </c>
      <c r="K73" s="175">
        <f t="shared" si="11"/>
        <v>0.93719492352749756</v>
      </c>
      <c r="L73" s="110"/>
      <c r="M73" s="112">
        <f>SUM(M65:M72)</f>
        <v>20</v>
      </c>
      <c r="N73" s="224"/>
      <c r="O73" s="176"/>
      <c r="P73" s="35"/>
      <c r="Q73" s="154"/>
      <c r="R73" s="133"/>
      <c r="S73" s="156"/>
      <c r="T73" s="282" t="s">
        <v>80</v>
      </c>
      <c r="U73" s="283"/>
      <c r="V73" s="284"/>
      <c r="W73" s="157"/>
      <c r="X73" s="161"/>
      <c r="Y73" s="157"/>
      <c r="Z73" s="161"/>
      <c r="AA73" s="161"/>
      <c r="AB73" s="161"/>
      <c r="AC73" s="282" t="s">
        <v>98</v>
      </c>
      <c r="AD73" s="283"/>
      <c r="AE73" s="284"/>
      <c r="AF73" s="157"/>
      <c r="AG73" s="161"/>
      <c r="AH73" s="157"/>
      <c r="AI73" s="161"/>
      <c r="AJ73" s="161"/>
      <c r="AK73" s="161"/>
      <c r="AL73" s="158"/>
      <c r="AM73" s="133"/>
    </row>
    <row r="74" spans="1:39" ht="15" customHeight="1" thickBot="1">
      <c r="A74" s="30"/>
      <c r="B74" s="147"/>
      <c r="C74" s="41"/>
      <c r="D74" s="41"/>
      <c r="E74" s="41"/>
      <c r="F74" s="41"/>
      <c r="G74" s="42"/>
      <c r="H74" s="42"/>
      <c r="I74" s="42"/>
      <c r="J74" s="42"/>
      <c r="K74" s="177"/>
      <c r="L74" s="41"/>
      <c r="M74" s="41"/>
      <c r="N74" s="41"/>
      <c r="O74" s="35"/>
      <c r="P74" s="35"/>
      <c r="Q74" s="154"/>
      <c r="R74" s="133"/>
      <c r="S74" s="156"/>
      <c r="T74" s="285"/>
      <c r="U74" s="286"/>
      <c r="V74" s="287"/>
      <c r="W74" s="157"/>
      <c r="X74" s="161"/>
      <c r="Y74" s="157"/>
      <c r="Z74" s="161"/>
      <c r="AA74" s="161"/>
      <c r="AB74" s="161"/>
      <c r="AC74" s="285"/>
      <c r="AD74" s="286"/>
      <c r="AE74" s="287"/>
      <c r="AF74" s="157"/>
      <c r="AG74" s="161"/>
      <c r="AH74" s="157"/>
      <c r="AI74" s="161"/>
      <c r="AJ74" s="161"/>
      <c r="AK74" s="161"/>
      <c r="AL74" s="158"/>
      <c r="AM74" s="133"/>
    </row>
    <row r="75" spans="1:39" ht="15" customHeight="1">
      <c r="A75" s="30"/>
      <c r="B75" s="147"/>
      <c r="C75" s="253">
        <v>6</v>
      </c>
      <c r="D75" s="255">
        <f>K86</f>
        <v>0.95338114754098358</v>
      </c>
      <c r="E75" s="35"/>
      <c r="F75" s="35"/>
      <c r="G75" s="35"/>
      <c r="H75" s="35"/>
      <c r="I75" s="35"/>
      <c r="J75" s="35"/>
      <c r="K75" s="35"/>
      <c r="L75" s="36"/>
      <c r="M75" s="35"/>
      <c r="N75" s="35"/>
      <c r="O75" s="35"/>
      <c r="P75" s="35"/>
      <c r="Q75" s="154"/>
      <c r="R75" s="133"/>
      <c r="S75" s="156"/>
      <c r="T75" s="47" t="s">
        <v>57</v>
      </c>
      <c r="U75" s="23" t="s">
        <v>81</v>
      </c>
      <c r="V75" s="23" t="s">
        <v>4</v>
      </c>
      <c r="W75" s="23" t="s">
        <v>82</v>
      </c>
      <c r="X75" s="240" t="s">
        <v>26</v>
      </c>
      <c r="Y75" s="267" t="s">
        <v>78</v>
      </c>
      <c r="Z75" s="268"/>
      <c r="AA75" s="269"/>
      <c r="AB75" s="161"/>
      <c r="AC75" s="106" t="s">
        <v>57</v>
      </c>
      <c r="AD75" s="23" t="s">
        <v>81</v>
      </c>
      <c r="AE75" s="23" t="s">
        <v>4</v>
      </c>
      <c r="AF75" s="23" t="s">
        <v>82</v>
      </c>
      <c r="AG75" s="240" t="s">
        <v>26</v>
      </c>
      <c r="AH75" s="267" t="s">
        <v>78</v>
      </c>
      <c r="AI75" s="268"/>
      <c r="AJ75" s="267" t="s">
        <v>77</v>
      </c>
      <c r="AK75" s="269"/>
      <c r="AL75" s="158"/>
      <c r="AM75" s="133"/>
    </row>
    <row r="76" spans="1:39" ht="15" customHeight="1" thickBot="1">
      <c r="A76" s="30"/>
      <c r="B76" s="147"/>
      <c r="C76" s="254"/>
      <c r="D76" s="256"/>
      <c r="E76" s="131"/>
      <c r="F76" s="131"/>
      <c r="G76" s="131"/>
      <c r="H76" s="131"/>
      <c r="I76" s="131"/>
      <c r="J76" s="131"/>
      <c r="K76" s="131"/>
      <c r="L76" s="36"/>
      <c r="M76" s="35"/>
      <c r="N76" s="35"/>
      <c r="O76" s="35"/>
      <c r="P76" s="35"/>
      <c r="Q76" s="154"/>
      <c r="R76" s="133"/>
      <c r="S76" s="156"/>
      <c r="T76" s="107">
        <v>1</v>
      </c>
      <c r="U76" s="101"/>
      <c r="V76" s="100"/>
      <c r="W76" s="101"/>
      <c r="X76" s="101"/>
      <c r="Y76" s="262"/>
      <c r="Z76" s="262"/>
      <c r="AA76" s="263"/>
      <c r="AB76" s="157"/>
      <c r="AC76" s="107">
        <v>1</v>
      </c>
      <c r="AD76" s="211"/>
      <c r="AE76" s="211"/>
      <c r="AF76" s="210"/>
      <c r="AG76" s="210"/>
      <c r="AH76" s="264"/>
      <c r="AI76" s="265"/>
      <c r="AJ76" s="264"/>
      <c r="AK76" s="266"/>
      <c r="AL76" s="158"/>
      <c r="AM76" s="133"/>
    </row>
    <row r="77" spans="1:39" ht="15" customHeight="1">
      <c r="A77" s="30"/>
      <c r="B77" s="147"/>
      <c r="C77" s="29" t="s">
        <v>2</v>
      </c>
      <c r="D77" s="23" t="s">
        <v>6</v>
      </c>
      <c r="E77" s="23" t="s">
        <v>3</v>
      </c>
      <c r="F77" s="23" t="s">
        <v>58</v>
      </c>
      <c r="G77" s="231" t="s">
        <v>0</v>
      </c>
      <c r="H77" s="231" t="s">
        <v>1</v>
      </c>
      <c r="I77" s="231" t="s">
        <v>18</v>
      </c>
      <c r="J77" s="231" t="s">
        <v>5</v>
      </c>
      <c r="K77" s="23" t="s">
        <v>13</v>
      </c>
      <c r="L77" s="231" t="s">
        <v>17</v>
      </c>
      <c r="M77" s="23" t="s">
        <v>9</v>
      </c>
      <c r="N77" s="240" t="s">
        <v>77</v>
      </c>
      <c r="O77" s="24" t="s">
        <v>12</v>
      </c>
      <c r="P77" s="35"/>
      <c r="Q77" s="154"/>
      <c r="R77" s="133"/>
      <c r="S77" s="156"/>
      <c r="T77" s="107">
        <v>2</v>
      </c>
      <c r="U77" s="101"/>
      <c r="V77" s="100"/>
      <c r="W77" s="101"/>
      <c r="X77" s="101"/>
      <c r="Y77" s="262"/>
      <c r="Z77" s="262"/>
      <c r="AA77" s="263"/>
      <c r="AB77" s="157"/>
      <c r="AC77" s="107">
        <v>2</v>
      </c>
      <c r="AD77" s="211"/>
      <c r="AE77" s="211"/>
      <c r="AF77" s="211"/>
      <c r="AG77" s="211"/>
      <c r="AH77" s="264"/>
      <c r="AI77" s="265"/>
      <c r="AJ77" s="264"/>
      <c r="AK77" s="266"/>
      <c r="AL77" s="158"/>
      <c r="AM77" s="133"/>
    </row>
    <row r="78" spans="1:39" ht="15" customHeight="1">
      <c r="A78" s="30"/>
      <c r="B78" s="147"/>
      <c r="C78" s="232">
        <v>1</v>
      </c>
      <c r="D78" s="210" t="s">
        <v>172</v>
      </c>
      <c r="E78" s="210" t="s">
        <v>29</v>
      </c>
      <c r="F78" s="210" t="s">
        <v>151</v>
      </c>
      <c r="G78" s="124">
        <v>768</v>
      </c>
      <c r="H78" s="125">
        <v>10</v>
      </c>
      <c r="I78" s="126">
        <v>25</v>
      </c>
      <c r="J78" s="234">
        <f t="shared" ref="J78:J85" si="13">SUM(G78:I78)</f>
        <v>803</v>
      </c>
      <c r="K78" s="171">
        <f t="shared" ref="K78:K86" si="14">IF(J78&lt;&gt;0,G78/J78,0)</f>
        <v>0.95641344956413454</v>
      </c>
      <c r="L78" s="212" t="s">
        <v>174</v>
      </c>
      <c r="M78" s="213">
        <v>15</v>
      </c>
      <c r="N78" s="223">
        <v>51</v>
      </c>
      <c r="O78" s="210"/>
      <c r="P78" s="35"/>
      <c r="Q78" s="154"/>
      <c r="R78" s="133"/>
      <c r="S78" s="156"/>
      <c r="T78" s="107">
        <v>3</v>
      </c>
      <c r="U78" s="101"/>
      <c r="V78" s="100"/>
      <c r="W78" s="101"/>
      <c r="X78" s="101"/>
      <c r="Y78" s="262"/>
      <c r="Z78" s="262"/>
      <c r="AA78" s="263"/>
      <c r="AB78" s="157"/>
      <c r="AC78" s="107">
        <v>3</v>
      </c>
      <c r="AD78" s="211"/>
      <c r="AE78" s="210"/>
      <c r="AF78" s="211"/>
      <c r="AG78" s="211"/>
      <c r="AH78" s="264"/>
      <c r="AI78" s="265"/>
      <c r="AJ78" s="264"/>
      <c r="AK78" s="266"/>
      <c r="AL78" s="158"/>
      <c r="AM78" s="133"/>
    </row>
    <row r="79" spans="1:39" ht="15" customHeight="1">
      <c r="A79" s="30"/>
      <c r="B79" s="147"/>
      <c r="C79" s="28">
        <v>2</v>
      </c>
      <c r="D79" s="210" t="s">
        <v>172</v>
      </c>
      <c r="E79" s="210" t="s">
        <v>29</v>
      </c>
      <c r="F79" s="210" t="s">
        <v>151</v>
      </c>
      <c r="G79" s="124">
        <v>896</v>
      </c>
      <c r="H79" s="125">
        <v>10</v>
      </c>
      <c r="I79" s="126">
        <v>3</v>
      </c>
      <c r="J79" s="26">
        <f t="shared" si="13"/>
        <v>909</v>
      </c>
      <c r="K79" s="172">
        <f t="shared" si="14"/>
        <v>0.98569856985698567</v>
      </c>
      <c r="L79" s="212"/>
      <c r="M79" s="207">
        <v>15</v>
      </c>
      <c r="N79" s="223"/>
      <c r="O79" s="210"/>
      <c r="P79" s="35"/>
      <c r="Q79" s="154"/>
      <c r="R79" s="133"/>
      <c r="S79" s="156"/>
      <c r="T79" s="107">
        <v>4</v>
      </c>
      <c r="U79" s="101"/>
      <c r="V79" s="100"/>
      <c r="W79" s="101"/>
      <c r="X79" s="101"/>
      <c r="Y79" s="262"/>
      <c r="Z79" s="262"/>
      <c r="AA79" s="263"/>
      <c r="AB79" s="157"/>
      <c r="AC79" s="107">
        <v>4</v>
      </c>
      <c r="AD79" s="101"/>
      <c r="AE79" s="210"/>
      <c r="AF79" s="211"/>
      <c r="AG79" s="211"/>
      <c r="AH79" s="264"/>
      <c r="AI79" s="265"/>
      <c r="AJ79" s="264"/>
      <c r="AK79" s="266"/>
      <c r="AL79" s="158"/>
      <c r="AM79" s="133"/>
    </row>
    <row r="80" spans="1:39" ht="15" customHeight="1">
      <c r="A80" s="30"/>
      <c r="B80" s="147"/>
      <c r="C80" s="28">
        <v>3</v>
      </c>
      <c r="D80" s="210" t="s">
        <v>176</v>
      </c>
      <c r="E80" s="210" t="s">
        <v>29</v>
      </c>
      <c r="F80" s="210" t="s">
        <v>151</v>
      </c>
      <c r="G80" s="124">
        <v>736</v>
      </c>
      <c r="H80" s="125">
        <v>0</v>
      </c>
      <c r="I80" s="126">
        <v>10</v>
      </c>
      <c r="J80" s="26">
        <f t="shared" si="13"/>
        <v>746</v>
      </c>
      <c r="K80" s="172">
        <f t="shared" si="14"/>
        <v>0.98659517426273458</v>
      </c>
      <c r="L80" s="212"/>
      <c r="M80" s="213"/>
      <c r="N80" s="223">
        <v>51</v>
      </c>
      <c r="O80" s="210"/>
      <c r="P80" s="35"/>
      <c r="Q80" s="154"/>
      <c r="R80" s="133"/>
      <c r="S80" s="156"/>
      <c r="T80" s="107">
        <v>5</v>
      </c>
      <c r="U80" s="101"/>
      <c r="V80" s="100"/>
      <c r="W80" s="101"/>
      <c r="X80" s="101"/>
      <c r="Y80" s="262"/>
      <c r="Z80" s="262"/>
      <c r="AA80" s="263"/>
      <c r="AB80" s="157"/>
      <c r="AC80" s="107">
        <v>5</v>
      </c>
      <c r="AD80" s="101"/>
      <c r="AE80" s="210"/>
      <c r="AF80" s="211"/>
      <c r="AG80" s="50"/>
      <c r="AH80" s="264"/>
      <c r="AI80" s="265"/>
      <c r="AJ80" s="264"/>
      <c r="AK80" s="266"/>
      <c r="AL80" s="158"/>
      <c r="AM80" s="133"/>
    </row>
    <row r="81" spans="1:39" ht="15" customHeight="1">
      <c r="A81" s="30"/>
      <c r="B81" s="147"/>
      <c r="C81" s="28">
        <v>4</v>
      </c>
      <c r="D81" s="210" t="s">
        <v>176</v>
      </c>
      <c r="E81" s="210" t="s">
        <v>29</v>
      </c>
      <c r="F81" s="210" t="s">
        <v>151</v>
      </c>
      <c r="G81" s="124">
        <v>672</v>
      </c>
      <c r="H81" s="125">
        <v>10</v>
      </c>
      <c r="I81" s="126">
        <v>5</v>
      </c>
      <c r="J81" s="26">
        <f t="shared" si="13"/>
        <v>687</v>
      </c>
      <c r="K81" s="172">
        <f t="shared" si="14"/>
        <v>0.97816593886462877</v>
      </c>
      <c r="L81" s="212"/>
      <c r="M81" s="213">
        <v>10</v>
      </c>
      <c r="N81" s="223">
        <v>51</v>
      </c>
      <c r="O81" s="210"/>
      <c r="P81" s="35"/>
      <c r="Q81" s="154"/>
      <c r="R81" s="133"/>
      <c r="S81" s="156"/>
      <c r="T81" s="107">
        <v>6</v>
      </c>
      <c r="U81" s="101"/>
      <c r="V81" s="100"/>
      <c r="W81" s="101"/>
      <c r="X81" s="101"/>
      <c r="Y81" s="262"/>
      <c r="Z81" s="262"/>
      <c r="AA81" s="263"/>
      <c r="AB81" s="157"/>
      <c r="AC81" s="107">
        <v>6</v>
      </c>
      <c r="AD81" s="101"/>
      <c r="AE81" s="100"/>
      <c r="AF81" s="101"/>
      <c r="AG81" s="101"/>
      <c r="AH81" s="262"/>
      <c r="AI81" s="262"/>
      <c r="AJ81" s="262"/>
      <c r="AK81" s="263"/>
      <c r="AL81" s="158"/>
      <c r="AM81" s="133"/>
    </row>
    <row r="82" spans="1:39" ht="15" customHeight="1">
      <c r="A82" s="30"/>
      <c r="B82" s="147"/>
      <c r="C82" s="28">
        <v>5</v>
      </c>
      <c r="D82" s="210" t="s">
        <v>176</v>
      </c>
      <c r="E82" s="210" t="s">
        <v>29</v>
      </c>
      <c r="F82" s="210" t="s">
        <v>151</v>
      </c>
      <c r="G82" s="124">
        <v>423</v>
      </c>
      <c r="H82" s="125">
        <v>20</v>
      </c>
      <c r="I82" s="126">
        <v>2</v>
      </c>
      <c r="J82" s="26">
        <f t="shared" si="13"/>
        <v>445</v>
      </c>
      <c r="K82" s="172">
        <f t="shared" si="14"/>
        <v>0.95056179775280902</v>
      </c>
      <c r="L82" s="212" t="s">
        <v>179</v>
      </c>
      <c r="M82" s="213"/>
      <c r="N82" s="223"/>
      <c r="O82" s="210"/>
      <c r="P82" s="35"/>
      <c r="Q82" s="154"/>
      <c r="R82" s="133"/>
      <c r="S82" s="156"/>
      <c r="T82" s="107">
        <v>7</v>
      </c>
      <c r="U82" s="101"/>
      <c r="V82" s="100"/>
      <c r="W82" s="101"/>
      <c r="X82" s="101"/>
      <c r="Y82" s="262"/>
      <c r="Z82" s="262"/>
      <c r="AA82" s="263"/>
      <c r="AB82" s="157"/>
      <c r="AC82" s="107">
        <v>7</v>
      </c>
      <c r="AD82" s="101"/>
      <c r="AE82" s="100"/>
      <c r="AF82" s="101"/>
      <c r="AG82" s="101"/>
      <c r="AH82" s="262"/>
      <c r="AI82" s="262"/>
      <c r="AJ82" s="262"/>
      <c r="AK82" s="263"/>
      <c r="AL82" s="158"/>
      <c r="AM82" s="133"/>
    </row>
    <row r="83" spans="1:39" ht="15" customHeight="1" thickBot="1">
      <c r="A83" s="30"/>
      <c r="B83" s="147"/>
      <c r="C83" s="28">
        <v>6</v>
      </c>
      <c r="D83" s="210" t="s">
        <v>173</v>
      </c>
      <c r="E83" s="210" t="s">
        <v>31</v>
      </c>
      <c r="F83" s="210" t="s">
        <v>151</v>
      </c>
      <c r="G83" s="228">
        <v>984</v>
      </c>
      <c r="H83" s="125">
        <v>100</v>
      </c>
      <c r="I83" s="126">
        <v>6</v>
      </c>
      <c r="J83" s="26">
        <f t="shared" si="13"/>
        <v>1090</v>
      </c>
      <c r="K83" s="172">
        <f t="shared" si="14"/>
        <v>0.9027522935779817</v>
      </c>
      <c r="L83" s="212" t="s">
        <v>179</v>
      </c>
      <c r="M83" s="213"/>
      <c r="N83" s="223"/>
      <c r="O83" s="210"/>
      <c r="P83" s="35"/>
      <c r="Q83" s="154"/>
      <c r="R83" s="133"/>
      <c r="S83" s="156"/>
      <c r="T83" s="119">
        <v>8</v>
      </c>
      <c r="U83" s="105"/>
      <c r="V83" s="102"/>
      <c r="W83" s="105"/>
      <c r="X83" s="105"/>
      <c r="Y83" s="257"/>
      <c r="Z83" s="257"/>
      <c r="AA83" s="258"/>
      <c r="AB83" s="157"/>
      <c r="AC83" s="119">
        <v>8</v>
      </c>
      <c r="AD83" s="105"/>
      <c r="AE83" s="102"/>
      <c r="AF83" s="105"/>
      <c r="AG83" s="105"/>
      <c r="AH83" s="257"/>
      <c r="AI83" s="257"/>
      <c r="AJ83" s="257"/>
      <c r="AK83" s="258"/>
      <c r="AL83" s="158"/>
      <c r="AM83" s="133"/>
    </row>
    <row r="84" spans="1:39" ht="15" customHeight="1" thickBot="1">
      <c r="A84" s="30"/>
      <c r="B84" s="147"/>
      <c r="C84" s="28">
        <v>7</v>
      </c>
      <c r="D84" s="210" t="s">
        <v>173</v>
      </c>
      <c r="E84" s="210" t="s">
        <v>31</v>
      </c>
      <c r="F84" s="210" t="s">
        <v>151</v>
      </c>
      <c r="G84" s="228">
        <v>600</v>
      </c>
      <c r="H84" s="125">
        <v>0</v>
      </c>
      <c r="I84" s="126">
        <v>10</v>
      </c>
      <c r="J84" s="26">
        <f t="shared" si="13"/>
        <v>610</v>
      </c>
      <c r="K84" s="172">
        <f t="shared" si="14"/>
        <v>0.98360655737704916</v>
      </c>
      <c r="L84" s="212"/>
      <c r="M84" s="213"/>
      <c r="N84" s="223"/>
      <c r="O84" s="210"/>
      <c r="P84" s="35"/>
      <c r="Q84" s="154"/>
      <c r="R84" s="133"/>
      <c r="S84" s="156"/>
      <c r="T84" s="179"/>
      <c r="U84" s="239"/>
      <c r="V84" s="239"/>
      <c r="W84" s="239"/>
      <c r="X84" s="123">
        <f>+SUM(X76:X83)</f>
        <v>0</v>
      </c>
      <c r="Y84" s="259"/>
      <c r="Z84" s="260"/>
      <c r="AA84" s="261"/>
      <c r="AB84" s="161"/>
      <c r="AC84" s="179"/>
      <c r="AD84" s="239"/>
      <c r="AE84" s="239"/>
      <c r="AF84" s="239"/>
      <c r="AG84" s="123">
        <f>+SUM(AG76:AG83)</f>
        <v>0</v>
      </c>
      <c r="AH84" s="259"/>
      <c r="AI84" s="260"/>
      <c r="AJ84" s="259"/>
      <c r="AK84" s="261"/>
      <c r="AL84" s="158"/>
      <c r="AM84" s="133"/>
    </row>
    <row r="85" spans="1:39" ht="15" customHeight="1" thickBot="1">
      <c r="A85" s="30"/>
      <c r="B85" s="147"/>
      <c r="C85" s="236">
        <v>8</v>
      </c>
      <c r="D85" s="210" t="s">
        <v>173</v>
      </c>
      <c r="E85" s="210" t="s">
        <v>31</v>
      </c>
      <c r="F85" s="210" t="s">
        <v>151</v>
      </c>
      <c r="G85" s="124">
        <v>504</v>
      </c>
      <c r="H85" s="220">
        <v>60</v>
      </c>
      <c r="I85" s="126">
        <v>2</v>
      </c>
      <c r="J85" s="238">
        <f t="shared" si="13"/>
        <v>566</v>
      </c>
      <c r="K85" s="173">
        <f t="shared" si="14"/>
        <v>0.89045936395759717</v>
      </c>
      <c r="L85" s="212" t="s">
        <v>180</v>
      </c>
      <c r="M85" s="109"/>
      <c r="N85" s="223"/>
      <c r="O85" s="210"/>
      <c r="P85" s="35"/>
      <c r="Q85" s="154"/>
      <c r="R85" s="133"/>
      <c r="S85" s="180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  <c r="AD85" s="181"/>
      <c r="AE85" s="181"/>
      <c r="AF85" s="181"/>
      <c r="AG85" s="181"/>
      <c r="AH85" s="181"/>
      <c r="AI85" s="181"/>
      <c r="AJ85" s="181"/>
      <c r="AK85" s="181"/>
      <c r="AL85" s="182"/>
      <c r="AM85" s="133"/>
    </row>
    <row r="86" spans="1:39" ht="15" customHeight="1" thickBot="1">
      <c r="A86" s="30"/>
      <c r="B86" s="147"/>
      <c r="C86" s="174" t="s">
        <v>7</v>
      </c>
      <c r="D86" s="110"/>
      <c r="E86" s="110"/>
      <c r="F86" s="110"/>
      <c r="G86" s="111">
        <f>SUM(G78:G85)</f>
        <v>5583</v>
      </c>
      <c r="H86" s="111">
        <f>SUM(H78:H85)</f>
        <v>210</v>
      </c>
      <c r="I86" s="111">
        <f>SUM(I78:I85)</f>
        <v>63</v>
      </c>
      <c r="J86" s="111">
        <f>SUM(J78:J85)</f>
        <v>5856</v>
      </c>
      <c r="K86" s="175">
        <f t="shared" si="14"/>
        <v>0.95338114754098358</v>
      </c>
      <c r="L86" s="239"/>
      <c r="M86" s="112">
        <f>SUM(M78:M85)</f>
        <v>40</v>
      </c>
      <c r="N86" s="224"/>
      <c r="O86" s="176"/>
      <c r="P86" s="35"/>
      <c r="Q86" s="154"/>
      <c r="R86" s="133"/>
      <c r="AM86" s="133"/>
    </row>
    <row r="87" spans="1:39" ht="15" customHeight="1" thickBot="1">
      <c r="A87" s="30"/>
      <c r="B87" s="147"/>
      <c r="C87" s="41"/>
      <c r="D87" s="41"/>
      <c r="E87" s="41"/>
      <c r="F87" s="41"/>
      <c r="G87" s="42"/>
      <c r="H87" s="42"/>
      <c r="I87" s="42"/>
      <c r="J87" s="42"/>
      <c r="K87" s="177"/>
      <c r="L87" s="42"/>
      <c r="M87" s="41"/>
      <c r="N87" s="41"/>
      <c r="O87" s="35"/>
      <c r="P87" s="35"/>
      <c r="Q87" s="154"/>
      <c r="R87" s="133"/>
      <c r="S87" s="183"/>
      <c r="T87" s="184"/>
      <c r="U87" s="184"/>
      <c r="V87" s="184"/>
      <c r="W87" s="184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4"/>
      <c r="AL87" s="185"/>
      <c r="AM87" s="133"/>
    </row>
    <row r="88" spans="1:39" ht="15" customHeight="1">
      <c r="A88" s="30"/>
      <c r="B88" s="147"/>
      <c r="C88" s="253">
        <v>7</v>
      </c>
      <c r="D88" s="255">
        <f>K99</f>
        <v>0.96237507348618456</v>
      </c>
      <c r="E88" s="35"/>
      <c r="F88" s="35"/>
      <c r="G88" s="35"/>
      <c r="H88" s="35"/>
      <c r="I88" s="35"/>
      <c r="J88" s="35"/>
      <c r="K88" s="35"/>
      <c r="L88" s="36"/>
      <c r="M88" s="35"/>
      <c r="N88" s="35"/>
      <c r="O88" s="35"/>
      <c r="P88" s="35"/>
      <c r="Q88" s="154"/>
      <c r="R88" s="133"/>
      <c r="S88" s="186"/>
      <c r="T88" s="221" t="s">
        <v>69</v>
      </c>
      <c r="U88" s="187"/>
      <c r="V88" s="187"/>
      <c r="W88" s="187"/>
      <c r="X88" s="187"/>
      <c r="Y88" s="187"/>
      <c r="Z88" s="187"/>
      <c r="AA88" s="187"/>
      <c r="AB88" s="187"/>
      <c r="AC88" s="187"/>
      <c r="AD88" s="187"/>
      <c r="AE88" s="187"/>
      <c r="AF88" s="187"/>
      <c r="AG88" s="187"/>
      <c r="AH88" s="187"/>
      <c r="AI88" s="187"/>
      <c r="AJ88" s="187"/>
      <c r="AK88" s="187"/>
      <c r="AL88" s="188"/>
      <c r="AM88" s="133"/>
    </row>
    <row r="89" spans="1:39" ht="15" customHeight="1" thickBot="1">
      <c r="A89" s="30"/>
      <c r="B89" s="147"/>
      <c r="C89" s="254"/>
      <c r="D89" s="256"/>
      <c r="E89" s="131"/>
      <c r="F89" s="131"/>
      <c r="G89" s="131"/>
      <c r="H89" s="131"/>
      <c r="I89" s="131"/>
      <c r="J89" s="131"/>
      <c r="K89" s="131"/>
      <c r="L89" s="36"/>
      <c r="M89" s="35"/>
      <c r="N89" s="35"/>
      <c r="O89" s="35"/>
      <c r="P89" s="35"/>
      <c r="Q89" s="154" t="s">
        <v>56</v>
      </c>
      <c r="R89" s="133"/>
      <c r="S89" s="189"/>
      <c r="T89" s="209"/>
      <c r="U89" s="209"/>
      <c r="V89" s="209"/>
      <c r="W89" s="190"/>
      <c r="X89" s="190"/>
      <c r="Y89" s="190"/>
      <c r="Z89" s="190"/>
      <c r="AA89" s="190"/>
      <c r="AB89" s="190"/>
      <c r="AC89" s="190"/>
      <c r="AD89" s="190"/>
      <c r="AE89" s="190"/>
      <c r="AF89" s="190"/>
      <c r="AG89" s="190"/>
      <c r="AH89" s="190"/>
      <c r="AI89" s="190"/>
      <c r="AJ89" s="190"/>
      <c r="AK89" s="190"/>
      <c r="AL89" s="191"/>
      <c r="AM89" s="133"/>
    </row>
    <row r="90" spans="1:39" ht="15" customHeight="1">
      <c r="A90" s="30"/>
      <c r="B90" s="147"/>
      <c r="C90" s="29" t="s">
        <v>2</v>
      </c>
      <c r="D90" s="23" t="s">
        <v>6</v>
      </c>
      <c r="E90" s="23" t="s">
        <v>3</v>
      </c>
      <c r="F90" s="23" t="s">
        <v>58</v>
      </c>
      <c r="G90" s="231" t="s">
        <v>0</v>
      </c>
      <c r="H90" s="231" t="s">
        <v>1</v>
      </c>
      <c r="I90" s="231" t="s">
        <v>18</v>
      </c>
      <c r="J90" s="231" t="s">
        <v>5</v>
      </c>
      <c r="K90" s="178" t="s">
        <v>13</v>
      </c>
      <c r="L90" s="231" t="s">
        <v>17</v>
      </c>
      <c r="M90" s="23" t="s">
        <v>9</v>
      </c>
      <c r="N90" s="240" t="s">
        <v>77</v>
      </c>
      <c r="O90" s="24" t="s">
        <v>12</v>
      </c>
      <c r="P90" s="35"/>
      <c r="Q90" s="154"/>
      <c r="R90" s="133"/>
      <c r="S90" s="189"/>
      <c r="T90" s="209"/>
      <c r="U90" s="209"/>
      <c r="V90" s="209"/>
      <c r="W90" s="190"/>
      <c r="X90" s="190"/>
      <c r="Y90" s="190"/>
      <c r="Z90" s="190"/>
      <c r="AA90" s="190"/>
      <c r="AB90" s="190"/>
      <c r="AC90" s="190"/>
      <c r="AD90" s="190"/>
      <c r="AE90" s="190"/>
      <c r="AF90" s="190"/>
      <c r="AG90" s="190"/>
      <c r="AH90" s="190"/>
      <c r="AI90" s="190"/>
      <c r="AJ90" s="190"/>
      <c r="AK90" s="190"/>
      <c r="AL90" s="191"/>
      <c r="AM90" s="133"/>
    </row>
    <row r="91" spans="1:39" ht="15" customHeight="1">
      <c r="A91" s="30"/>
      <c r="B91" s="147"/>
      <c r="C91" s="232">
        <v>1</v>
      </c>
      <c r="D91" s="214" t="s">
        <v>173</v>
      </c>
      <c r="E91" s="210" t="s">
        <v>60</v>
      </c>
      <c r="F91" s="229" t="s">
        <v>117</v>
      </c>
      <c r="G91" s="124">
        <v>687</v>
      </c>
      <c r="H91" s="125">
        <v>0</v>
      </c>
      <c r="I91" s="126">
        <v>25</v>
      </c>
      <c r="J91" s="234">
        <f t="shared" ref="J91:J98" si="15">+G91+H91+I91</f>
        <v>712</v>
      </c>
      <c r="K91" s="171">
        <f t="shared" ref="K91:K99" si="16">IF(J91&lt;&gt;0,G91/J91,0)</f>
        <v>0.9648876404494382</v>
      </c>
      <c r="L91" s="213"/>
      <c r="M91" s="213"/>
      <c r="N91" s="223"/>
      <c r="O91" s="210"/>
      <c r="P91" s="35"/>
      <c r="Q91" s="154"/>
      <c r="R91" s="133"/>
      <c r="S91" s="189"/>
      <c r="T91" s="209"/>
      <c r="U91" s="209"/>
      <c r="V91" s="209"/>
      <c r="W91" s="190"/>
      <c r="X91" s="190"/>
      <c r="Y91" s="190"/>
      <c r="Z91" s="190"/>
      <c r="AA91" s="190"/>
      <c r="AB91" s="190"/>
      <c r="AC91" s="190"/>
      <c r="AD91" s="190"/>
      <c r="AE91" s="190"/>
      <c r="AF91" s="190"/>
      <c r="AG91" s="190"/>
      <c r="AH91" s="190"/>
      <c r="AI91" s="190"/>
      <c r="AJ91" s="190"/>
      <c r="AK91" s="190"/>
      <c r="AL91" s="191"/>
      <c r="AM91" s="133"/>
    </row>
    <row r="92" spans="1:39" ht="15" customHeight="1">
      <c r="A92" s="30"/>
      <c r="B92" s="147"/>
      <c r="C92" s="28">
        <v>2</v>
      </c>
      <c r="D92" s="214" t="s">
        <v>173</v>
      </c>
      <c r="E92" s="210" t="s">
        <v>31</v>
      </c>
      <c r="F92" s="229" t="s">
        <v>151</v>
      </c>
      <c r="G92" s="124">
        <v>696</v>
      </c>
      <c r="H92" s="125">
        <v>20</v>
      </c>
      <c r="I92" s="126">
        <v>3</v>
      </c>
      <c r="J92" s="26">
        <f t="shared" si="15"/>
        <v>719</v>
      </c>
      <c r="K92" s="172">
        <f t="shared" si="16"/>
        <v>0.96801112656467314</v>
      </c>
      <c r="L92" s="213"/>
      <c r="M92" s="207"/>
      <c r="N92" s="213"/>
      <c r="O92" s="210"/>
      <c r="P92" s="35"/>
      <c r="Q92" s="154"/>
      <c r="R92" s="133"/>
      <c r="S92" s="189"/>
      <c r="T92" s="209"/>
      <c r="U92" s="209"/>
      <c r="V92" s="209"/>
      <c r="W92" s="190"/>
      <c r="X92" s="190"/>
      <c r="Y92" s="190"/>
      <c r="Z92" s="190"/>
      <c r="AA92" s="190"/>
      <c r="AB92" s="190"/>
      <c r="AC92" s="190"/>
      <c r="AD92" s="190"/>
      <c r="AE92" s="190"/>
      <c r="AF92" s="190"/>
      <c r="AG92" s="190"/>
      <c r="AH92" s="190"/>
      <c r="AI92" s="190"/>
      <c r="AJ92" s="190"/>
      <c r="AK92" s="190"/>
      <c r="AL92" s="191"/>
      <c r="AM92" s="133"/>
    </row>
    <row r="93" spans="1:39" ht="15" customHeight="1">
      <c r="A93" s="30"/>
      <c r="B93" s="147"/>
      <c r="C93" s="28">
        <v>3</v>
      </c>
      <c r="D93" s="210" t="s">
        <v>159</v>
      </c>
      <c r="E93" s="210" t="s">
        <v>31</v>
      </c>
      <c r="F93" s="229" t="s">
        <v>151</v>
      </c>
      <c r="G93" s="124">
        <v>696</v>
      </c>
      <c r="H93" s="125">
        <v>0</v>
      </c>
      <c r="I93" s="126">
        <v>10</v>
      </c>
      <c r="J93" s="26">
        <f>+G93+H93+I93</f>
        <v>706</v>
      </c>
      <c r="K93" s="172">
        <f>IF(J93&lt;&gt;0,G93/J93,0)</f>
        <v>0.98583569405099147</v>
      </c>
      <c r="L93" s="213"/>
      <c r="M93" s="213">
        <v>5</v>
      </c>
      <c r="N93" s="213">
        <v>66</v>
      </c>
      <c r="O93" s="210"/>
      <c r="P93" s="35"/>
      <c r="Q93" s="154"/>
      <c r="R93" s="133"/>
      <c r="S93" s="189"/>
      <c r="T93" s="209"/>
      <c r="U93" s="209"/>
      <c r="V93" s="209"/>
      <c r="W93" s="190"/>
      <c r="X93" s="190"/>
      <c r="Y93" s="190"/>
      <c r="Z93" s="190"/>
      <c r="AA93" s="190"/>
      <c r="AB93" s="190"/>
      <c r="AC93" s="190"/>
      <c r="AD93" s="190"/>
      <c r="AE93" s="190"/>
      <c r="AF93" s="190"/>
      <c r="AG93" s="190"/>
      <c r="AH93" s="190"/>
      <c r="AI93" s="190"/>
      <c r="AJ93" s="190"/>
      <c r="AK93" s="190"/>
      <c r="AL93" s="191"/>
      <c r="AM93" s="133"/>
    </row>
    <row r="94" spans="1:39" ht="15" customHeight="1">
      <c r="A94" s="30"/>
      <c r="B94" s="147"/>
      <c r="C94" s="28">
        <v>4</v>
      </c>
      <c r="D94" s="210" t="s">
        <v>159</v>
      </c>
      <c r="E94" s="210" t="s">
        <v>31</v>
      </c>
      <c r="F94" s="229" t="s">
        <v>151</v>
      </c>
      <c r="G94" s="124">
        <v>600</v>
      </c>
      <c r="H94" s="125">
        <v>40</v>
      </c>
      <c r="I94" s="126">
        <v>3</v>
      </c>
      <c r="J94" s="26">
        <f>+G94+H94+I94</f>
        <v>643</v>
      </c>
      <c r="K94" s="172">
        <f>IF(J94&lt;&gt;0,G94/J94,0)</f>
        <v>0.93312597200622083</v>
      </c>
      <c r="L94" s="213"/>
      <c r="M94" s="213"/>
      <c r="N94" s="213"/>
      <c r="O94" s="210"/>
      <c r="P94" s="35"/>
      <c r="Q94" s="154"/>
      <c r="R94" s="133"/>
      <c r="S94" s="189"/>
      <c r="T94" s="209"/>
      <c r="U94" s="209"/>
      <c r="V94" s="209"/>
      <c r="W94" s="190"/>
      <c r="X94" s="190"/>
      <c r="Y94" s="190"/>
      <c r="Z94" s="190"/>
      <c r="AA94" s="190"/>
      <c r="AB94" s="190"/>
      <c r="AC94" s="190"/>
      <c r="AD94" s="190"/>
      <c r="AE94" s="190"/>
      <c r="AF94" s="190"/>
      <c r="AG94" s="190"/>
      <c r="AH94" s="190"/>
      <c r="AI94" s="190"/>
      <c r="AJ94" s="190"/>
      <c r="AK94" s="190"/>
      <c r="AL94" s="191"/>
      <c r="AM94" s="133"/>
    </row>
    <row r="95" spans="1:39" ht="15" customHeight="1">
      <c r="A95" s="30"/>
      <c r="B95" s="147"/>
      <c r="C95" s="28">
        <v>5</v>
      </c>
      <c r="D95" s="210" t="s">
        <v>159</v>
      </c>
      <c r="E95" s="210" t="s">
        <v>31</v>
      </c>
      <c r="F95" s="229" t="s">
        <v>151</v>
      </c>
      <c r="G95" s="124">
        <v>456</v>
      </c>
      <c r="H95" s="125">
        <v>0</v>
      </c>
      <c r="I95" s="126">
        <v>3</v>
      </c>
      <c r="J95" s="26">
        <f t="shared" si="15"/>
        <v>459</v>
      </c>
      <c r="K95" s="172">
        <f t="shared" si="16"/>
        <v>0.99346405228758172</v>
      </c>
      <c r="L95" s="212"/>
      <c r="M95" s="213"/>
      <c r="N95" s="213"/>
      <c r="O95" s="210"/>
      <c r="P95" s="35"/>
      <c r="Q95" s="154"/>
      <c r="R95" s="133"/>
      <c r="S95" s="189"/>
      <c r="T95" s="209"/>
      <c r="U95" s="209"/>
      <c r="V95" s="209"/>
      <c r="W95" s="190"/>
      <c r="X95" s="190"/>
      <c r="Y95" s="190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1"/>
      <c r="AM95" s="133"/>
    </row>
    <row r="96" spans="1:39" ht="15" customHeight="1">
      <c r="A96" s="30"/>
      <c r="B96" s="147"/>
      <c r="C96" s="28">
        <v>6</v>
      </c>
      <c r="D96" s="210" t="s">
        <v>123</v>
      </c>
      <c r="E96" s="210" t="s">
        <v>31</v>
      </c>
      <c r="F96" s="229" t="s">
        <v>151</v>
      </c>
      <c r="G96" s="228">
        <v>384</v>
      </c>
      <c r="H96" s="125">
        <v>20</v>
      </c>
      <c r="I96" s="126">
        <v>1</v>
      </c>
      <c r="J96" s="26">
        <f t="shared" si="15"/>
        <v>405</v>
      </c>
      <c r="K96" s="172">
        <f t="shared" si="16"/>
        <v>0.94814814814814818</v>
      </c>
      <c r="L96" s="212"/>
      <c r="M96" s="213">
        <v>25</v>
      </c>
      <c r="N96" s="213">
        <v>51</v>
      </c>
      <c r="O96" s="210"/>
      <c r="P96" s="35"/>
      <c r="Q96" s="154"/>
      <c r="R96" s="133"/>
      <c r="S96" s="189"/>
      <c r="T96" s="209"/>
      <c r="U96" s="209"/>
      <c r="V96" s="209"/>
      <c r="W96" s="190"/>
      <c r="X96" s="190"/>
      <c r="Y96" s="190"/>
      <c r="Z96" s="190"/>
      <c r="AA96" s="190"/>
      <c r="AB96" s="190"/>
      <c r="AC96" s="190"/>
      <c r="AD96" s="190"/>
      <c r="AE96" s="190"/>
      <c r="AF96" s="190"/>
      <c r="AG96" s="190"/>
      <c r="AH96" s="190"/>
      <c r="AI96" s="190"/>
      <c r="AJ96" s="190"/>
      <c r="AK96" s="190"/>
      <c r="AL96" s="191"/>
      <c r="AM96" s="133"/>
    </row>
    <row r="97" spans="1:39" ht="15" customHeight="1">
      <c r="A97" s="30"/>
      <c r="B97" s="147"/>
      <c r="C97" s="28">
        <v>7</v>
      </c>
      <c r="D97" s="210" t="s">
        <v>123</v>
      </c>
      <c r="E97" s="210" t="s">
        <v>31</v>
      </c>
      <c r="F97" s="229" t="s">
        <v>151</v>
      </c>
      <c r="G97" s="124">
        <v>624</v>
      </c>
      <c r="H97" s="125">
        <v>20</v>
      </c>
      <c r="I97" s="126">
        <v>0</v>
      </c>
      <c r="J97" s="26">
        <f t="shared" si="15"/>
        <v>644</v>
      </c>
      <c r="K97" s="172">
        <f t="shared" si="16"/>
        <v>0.96894409937888204</v>
      </c>
      <c r="L97" s="212"/>
      <c r="M97" s="213"/>
      <c r="N97" s="213"/>
      <c r="O97" s="210"/>
      <c r="P97" s="35"/>
      <c r="Q97" s="154"/>
      <c r="R97" s="133"/>
      <c r="S97" s="189"/>
      <c r="T97" s="209"/>
      <c r="U97" s="209"/>
      <c r="V97" s="209"/>
      <c r="W97" s="190"/>
      <c r="X97" s="190"/>
      <c r="Y97" s="190"/>
      <c r="Z97" s="190"/>
      <c r="AA97" s="190"/>
      <c r="AB97" s="190"/>
      <c r="AC97" s="190"/>
      <c r="AD97" s="190"/>
      <c r="AE97" s="190"/>
      <c r="AF97" s="190"/>
      <c r="AG97" s="190"/>
      <c r="AH97" s="190"/>
      <c r="AI97" s="190"/>
      <c r="AJ97" s="190"/>
      <c r="AK97" s="190"/>
      <c r="AL97" s="191"/>
      <c r="AM97" s="133"/>
    </row>
    <row r="98" spans="1:39" ht="15" customHeight="1" thickBot="1">
      <c r="A98" s="30"/>
      <c r="B98" s="147"/>
      <c r="C98" s="236">
        <v>8</v>
      </c>
      <c r="D98" s="210" t="s">
        <v>123</v>
      </c>
      <c r="E98" s="210" t="s">
        <v>31</v>
      </c>
      <c r="F98" s="229" t="s">
        <v>151</v>
      </c>
      <c r="G98" s="205">
        <v>768</v>
      </c>
      <c r="H98" s="220">
        <v>40</v>
      </c>
      <c r="I98" s="206">
        <v>7</v>
      </c>
      <c r="J98" s="238">
        <f t="shared" si="15"/>
        <v>815</v>
      </c>
      <c r="K98" s="173">
        <f t="shared" si="16"/>
        <v>0.94233128834355828</v>
      </c>
      <c r="L98" s="212"/>
      <c r="M98" s="109"/>
      <c r="N98" s="213"/>
      <c r="O98" s="210"/>
      <c r="P98" s="35"/>
      <c r="Q98" s="154"/>
      <c r="R98" s="133"/>
      <c r="S98" s="189"/>
      <c r="T98" s="209"/>
      <c r="U98" s="209"/>
      <c r="V98" s="209"/>
      <c r="W98" s="190"/>
      <c r="X98" s="190"/>
      <c r="Y98" s="190"/>
      <c r="Z98" s="190"/>
      <c r="AA98" s="190"/>
      <c r="AB98" s="190"/>
      <c r="AC98" s="190"/>
      <c r="AD98" s="190"/>
      <c r="AE98" s="190"/>
      <c r="AF98" s="190"/>
      <c r="AG98" s="190"/>
      <c r="AH98" s="190"/>
      <c r="AI98" s="190"/>
      <c r="AJ98" s="190"/>
      <c r="AK98" s="190"/>
      <c r="AL98" s="191"/>
      <c r="AM98" s="133"/>
    </row>
    <row r="99" spans="1:39" ht="15" customHeight="1" thickBot="1">
      <c r="A99" s="30"/>
      <c r="B99" s="147"/>
      <c r="C99" s="174" t="s">
        <v>7</v>
      </c>
      <c r="D99" s="110"/>
      <c r="E99" s="110"/>
      <c r="F99" s="132"/>
      <c r="G99" s="111">
        <f>SUM(G91:G98)</f>
        <v>4911</v>
      </c>
      <c r="H99" s="111">
        <f>SUM(H91:H98)</f>
        <v>140</v>
      </c>
      <c r="I99" s="111">
        <f>SUM(I91:I98)</f>
        <v>52</v>
      </c>
      <c r="J99" s="111">
        <f>SUM(J91:J98)</f>
        <v>5103</v>
      </c>
      <c r="K99" s="175">
        <f t="shared" si="16"/>
        <v>0.96237507348618456</v>
      </c>
      <c r="L99" s="239"/>
      <c r="M99" s="112">
        <f>SUM(M91:M98)</f>
        <v>30</v>
      </c>
      <c r="N99" s="224"/>
      <c r="O99" s="176"/>
      <c r="P99" s="35"/>
      <c r="Q99" s="154"/>
      <c r="R99" s="133"/>
      <c r="S99" s="189"/>
      <c r="T99" s="209"/>
      <c r="U99" s="209"/>
      <c r="V99" s="209"/>
      <c r="W99" s="190"/>
      <c r="X99" s="190"/>
      <c r="Y99" s="190"/>
      <c r="Z99" s="190"/>
      <c r="AA99" s="190"/>
      <c r="AB99" s="190"/>
      <c r="AC99" s="190"/>
      <c r="AD99" s="190"/>
      <c r="AE99" s="190"/>
      <c r="AF99" s="190"/>
      <c r="AG99" s="190"/>
      <c r="AH99" s="190"/>
      <c r="AI99" s="190"/>
      <c r="AJ99" s="190"/>
      <c r="AK99" s="190"/>
      <c r="AL99" s="191"/>
      <c r="AM99" s="133"/>
    </row>
    <row r="100" spans="1:39" ht="15" customHeight="1" thickBot="1">
      <c r="A100" s="30"/>
      <c r="B100" s="147"/>
      <c r="C100" s="41"/>
      <c r="D100" s="41"/>
      <c r="E100" s="41"/>
      <c r="F100" s="131"/>
      <c r="G100" s="42"/>
      <c r="H100" s="42"/>
      <c r="I100" s="42"/>
      <c r="J100" s="42"/>
      <c r="K100" s="177"/>
      <c r="L100" s="42"/>
      <c r="M100" s="41"/>
      <c r="N100" s="41"/>
      <c r="O100" s="35"/>
      <c r="P100" s="35"/>
      <c r="Q100" s="154"/>
      <c r="R100" s="133"/>
      <c r="S100" s="189"/>
      <c r="T100" s="209"/>
      <c r="U100" s="209"/>
      <c r="V100" s="209"/>
      <c r="W100" s="190"/>
      <c r="X100" s="190"/>
      <c r="Y100" s="190"/>
      <c r="Z100" s="190"/>
      <c r="AA100" s="190"/>
      <c r="AB100" s="190"/>
      <c r="AC100" s="190"/>
      <c r="AD100" s="190"/>
      <c r="AE100" s="190"/>
      <c r="AF100" s="190"/>
      <c r="AG100" s="190"/>
      <c r="AH100" s="190"/>
      <c r="AI100" s="190"/>
      <c r="AJ100" s="190"/>
      <c r="AK100" s="190"/>
      <c r="AL100" s="191"/>
      <c r="AM100" s="133"/>
    </row>
    <row r="101" spans="1:39" ht="15" customHeight="1">
      <c r="A101" s="30"/>
      <c r="B101" s="147"/>
      <c r="C101" s="253">
        <v>8</v>
      </c>
      <c r="D101" s="255">
        <f>K112</f>
        <v>0.95487963096439388</v>
      </c>
      <c r="E101" s="35"/>
      <c r="F101" s="35"/>
      <c r="G101" s="35"/>
      <c r="H101" s="35"/>
      <c r="I101" s="35"/>
      <c r="J101" s="35"/>
      <c r="K101" s="35"/>
      <c r="L101" s="36"/>
      <c r="M101" s="35"/>
      <c r="N101" s="35"/>
      <c r="O101" s="35"/>
      <c r="P101" s="35"/>
      <c r="Q101" s="154"/>
      <c r="R101" s="133"/>
      <c r="S101" s="189"/>
      <c r="T101" s="209"/>
      <c r="U101" s="209"/>
      <c r="V101" s="209"/>
      <c r="W101" s="190"/>
      <c r="X101" s="190"/>
      <c r="Y101" s="190"/>
      <c r="Z101" s="190"/>
      <c r="AA101" s="190"/>
      <c r="AB101" s="190"/>
      <c r="AC101" s="190"/>
      <c r="AD101" s="190"/>
      <c r="AE101" s="190"/>
      <c r="AF101" s="190"/>
      <c r="AG101" s="190"/>
      <c r="AH101" s="190"/>
      <c r="AI101" s="190"/>
      <c r="AJ101" s="190"/>
      <c r="AK101" s="190"/>
      <c r="AL101" s="191"/>
      <c r="AM101" s="133"/>
    </row>
    <row r="102" spans="1:39" ht="15" customHeight="1" thickBot="1">
      <c r="A102" s="30"/>
      <c r="B102" s="147"/>
      <c r="C102" s="254"/>
      <c r="D102" s="256"/>
      <c r="E102" s="131"/>
      <c r="F102" s="131"/>
      <c r="G102" s="131"/>
      <c r="H102" s="131"/>
      <c r="I102" s="131"/>
      <c r="J102" s="131"/>
      <c r="K102" s="131"/>
      <c r="L102" s="36"/>
      <c r="M102" s="35"/>
      <c r="N102" s="35"/>
      <c r="O102" s="35"/>
      <c r="P102" s="35"/>
      <c r="Q102" s="154"/>
      <c r="R102" s="133"/>
      <c r="S102" s="189"/>
      <c r="T102" s="209"/>
      <c r="U102" s="209"/>
      <c r="V102" s="209"/>
      <c r="W102" s="190"/>
      <c r="X102" s="190"/>
      <c r="Y102" s="190"/>
      <c r="Z102" s="190"/>
      <c r="AA102" s="190"/>
      <c r="AB102" s="190"/>
      <c r="AC102" s="190"/>
      <c r="AD102" s="190"/>
      <c r="AE102" s="190"/>
      <c r="AF102" s="190"/>
      <c r="AG102" s="190"/>
      <c r="AH102" s="190"/>
      <c r="AI102" s="190"/>
      <c r="AJ102" s="190"/>
      <c r="AK102" s="190"/>
      <c r="AL102" s="191"/>
      <c r="AM102" s="133"/>
    </row>
    <row r="103" spans="1:39" ht="15" customHeight="1">
      <c r="A103" s="30"/>
      <c r="B103" s="147"/>
      <c r="C103" s="29" t="s">
        <v>2</v>
      </c>
      <c r="D103" s="23" t="s">
        <v>6</v>
      </c>
      <c r="E103" s="23" t="s">
        <v>3</v>
      </c>
      <c r="F103" s="23" t="s">
        <v>58</v>
      </c>
      <c r="G103" s="231" t="s">
        <v>0</v>
      </c>
      <c r="H103" s="231" t="s">
        <v>1</v>
      </c>
      <c r="I103" s="231" t="s">
        <v>18</v>
      </c>
      <c r="J103" s="231" t="s">
        <v>5</v>
      </c>
      <c r="K103" s="23" t="s">
        <v>13</v>
      </c>
      <c r="L103" s="231" t="s">
        <v>17</v>
      </c>
      <c r="M103" s="23" t="s">
        <v>9</v>
      </c>
      <c r="N103" s="240" t="s">
        <v>77</v>
      </c>
      <c r="O103" s="24" t="s">
        <v>12</v>
      </c>
      <c r="P103" s="35"/>
      <c r="Q103" s="154"/>
      <c r="R103" s="133"/>
      <c r="S103" s="189"/>
      <c r="T103" s="209"/>
      <c r="U103" s="209"/>
      <c r="V103" s="209"/>
      <c r="W103" s="190"/>
      <c r="X103" s="190"/>
      <c r="Y103" s="190"/>
      <c r="Z103" s="190"/>
      <c r="AA103" s="190"/>
      <c r="AB103" s="190"/>
      <c r="AC103" s="190"/>
      <c r="AD103" s="190"/>
      <c r="AE103" s="190"/>
      <c r="AF103" s="190"/>
      <c r="AG103" s="190"/>
      <c r="AH103" s="190"/>
      <c r="AI103" s="190"/>
      <c r="AJ103" s="190"/>
      <c r="AK103" s="190"/>
      <c r="AL103" s="191"/>
      <c r="AM103" s="133"/>
    </row>
    <row r="104" spans="1:39" ht="15" customHeight="1">
      <c r="A104" s="30"/>
      <c r="B104" s="147"/>
      <c r="C104" s="232">
        <v>1</v>
      </c>
      <c r="D104" s="214" t="s">
        <v>156</v>
      </c>
      <c r="E104" s="210" t="s">
        <v>63</v>
      </c>
      <c r="F104" s="210" t="s">
        <v>117</v>
      </c>
      <c r="G104" s="124">
        <v>768</v>
      </c>
      <c r="H104" s="125">
        <v>0</v>
      </c>
      <c r="I104" s="126">
        <v>93</v>
      </c>
      <c r="J104" s="234">
        <f t="shared" ref="J104:J111" si="17">+G104+H104+I104</f>
        <v>861</v>
      </c>
      <c r="K104" s="171">
        <f t="shared" ref="K104:K112" si="18">IF(J104&lt;&gt;0,G104/J104,0)</f>
        <v>0.89198606271777003</v>
      </c>
      <c r="L104" s="213" t="s">
        <v>157</v>
      </c>
      <c r="M104" s="213"/>
      <c r="N104" s="223"/>
      <c r="O104" s="210"/>
      <c r="P104" s="35"/>
      <c r="Q104" s="154"/>
      <c r="R104" s="133"/>
      <c r="S104" s="189"/>
      <c r="T104" s="209"/>
      <c r="U104" s="209"/>
      <c r="V104" s="209"/>
      <c r="W104" s="190"/>
      <c r="X104" s="190"/>
      <c r="Y104" s="190"/>
      <c r="Z104" s="190"/>
      <c r="AA104" s="190"/>
      <c r="AB104" s="190"/>
      <c r="AC104" s="190"/>
      <c r="AD104" s="190"/>
      <c r="AE104" s="190"/>
      <c r="AF104" s="190"/>
      <c r="AG104" s="190"/>
      <c r="AH104" s="190"/>
      <c r="AI104" s="190"/>
      <c r="AJ104" s="190"/>
      <c r="AK104" s="190"/>
      <c r="AL104" s="191"/>
      <c r="AM104" s="133"/>
    </row>
    <row r="105" spans="1:39" ht="15" customHeight="1">
      <c r="A105" s="30"/>
      <c r="B105" s="147"/>
      <c r="C105" s="28">
        <v>2</v>
      </c>
      <c r="D105" s="214" t="s">
        <v>156</v>
      </c>
      <c r="E105" s="210" t="s">
        <v>63</v>
      </c>
      <c r="F105" s="210" t="s">
        <v>117</v>
      </c>
      <c r="G105" s="124">
        <v>864</v>
      </c>
      <c r="H105" s="125">
        <v>0</v>
      </c>
      <c r="I105" s="126">
        <v>59</v>
      </c>
      <c r="J105" s="26">
        <f t="shared" si="17"/>
        <v>923</v>
      </c>
      <c r="K105" s="172">
        <f t="shared" si="18"/>
        <v>0.93607800650054174</v>
      </c>
      <c r="L105" s="213" t="s">
        <v>157</v>
      </c>
      <c r="M105" s="213">
        <v>5</v>
      </c>
      <c r="N105" s="223">
        <v>51</v>
      </c>
      <c r="O105" s="210"/>
      <c r="P105" s="35"/>
      <c r="Q105" s="154"/>
      <c r="R105" s="133"/>
      <c r="S105" s="189"/>
      <c r="T105" s="209"/>
      <c r="U105" s="209"/>
      <c r="V105" s="209"/>
      <c r="W105" s="190"/>
      <c r="X105" s="190"/>
      <c r="Y105" s="190"/>
      <c r="Z105" s="190"/>
      <c r="AA105" s="190"/>
      <c r="AB105" s="190"/>
      <c r="AC105" s="190"/>
      <c r="AD105" s="190"/>
      <c r="AE105" s="190"/>
      <c r="AF105" s="190"/>
      <c r="AG105" s="190"/>
      <c r="AH105" s="190"/>
      <c r="AI105" s="190"/>
      <c r="AJ105" s="190"/>
      <c r="AK105" s="190"/>
      <c r="AL105" s="191"/>
      <c r="AM105" s="133"/>
    </row>
    <row r="106" spans="1:39" ht="15" customHeight="1">
      <c r="A106" s="30"/>
      <c r="B106" s="147"/>
      <c r="C106" s="28">
        <v>3</v>
      </c>
      <c r="D106" s="214" t="s">
        <v>127</v>
      </c>
      <c r="E106" s="210" t="s">
        <v>63</v>
      </c>
      <c r="F106" s="210" t="s">
        <v>117</v>
      </c>
      <c r="G106" s="124">
        <v>960</v>
      </c>
      <c r="H106" s="125">
        <v>0</v>
      </c>
      <c r="I106" s="126">
        <v>7</v>
      </c>
      <c r="J106" s="26">
        <f t="shared" si="17"/>
        <v>967</v>
      </c>
      <c r="K106" s="172">
        <f t="shared" si="18"/>
        <v>0.99276111685625645</v>
      </c>
      <c r="L106" s="213"/>
      <c r="M106" s="213"/>
      <c r="N106" s="223"/>
      <c r="O106" s="210"/>
      <c r="P106" s="35"/>
      <c r="Q106" s="154"/>
      <c r="R106" s="133"/>
      <c r="S106" s="189"/>
      <c r="T106" s="209"/>
      <c r="U106" s="209"/>
      <c r="V106" s="209"/>
      <c r="W106" s="190"/>
      <c r="X106" s="190"/>
      <c r="Y106" s="190"/>
      <c r="Z106" s="190"/>
      <c r="AA106" s="190"/>
      <c r="AB106" s="190"/>
      <c r="AC106" s="190"/>
      <c r="AD106" s="190"/>
      <c r="AE106" s="190"/>
      <c r="AF106" s="190"/>
      <c r="AG106" s="190"/>
      <c r="AH106" s="190"/>
      <c r="AI106" s="190"/>
      <c r="AJ106" s="190"/>
      <c r="AK106" s="190"/>
      <c r="AL106" s="191"/>
      <c r="AM106" s="133"/>
    </row>
    <row r="107" spans="1:39" ht="15" customHeight="1">
      <c r="A107" s="30"/>
      <c r="B107" s="147"/>
      <c r="C107" s="28">
        <v>4</v>
      </c>
      <c r="D107" s="214" t="s">
        <v>127</v>
      </c>
      <c r="E107" s="210" t="s">
        <v>63</v>
      </c>
      <c r="F107" s="210" t="s">
        <v>117</v>
      </c>
      <c r="G107" s="124">
        <v>912</v>
      </c>
      <c r="H107" s="125">
        <v>0</v>
      </c>
      <c r="I107" s="126">
        <v>17</v>
      </c>
      <c r="J107" s="26">
        <f t="shared" si="17"/>
        <v>929</v>
      </c>
      <c r="K107" s="172">
        <f t="shared" si="18"/>
        <v>0.98170075349838537</v>
      </c>
      <c r="L107" s="213"/>
      <c r="M107" s="213"/>
      <c r="N107" s="223"/>
      <c r="O107" s="210"/>
      <c r="P107" s="35"/>
      <c r="Q107" s="154"/>
      <c r="R107" s="133"/>
      <c r="S107" s="189"/>
      <c r="T107" s="209"/>
      <c r="U107" s="209"/>
      <c r="V107" s="209"/>
      <c r="W107" s="190"/>
      <c r="X107" s="190"/>
      <c r="Y107" s="190"/>
      <c r="Z107" s="190"/>
      <c r="AA107" s="190"/>
      <c r="AB107" s="190"/>
      <c r="AC107" s="190"/>
      <c r="AD107" s="190"/>
      <c r="AE107" s="190"/>
      <c r="AF107" s="190"/>
      <c r="AG107" s="190"/>
      <c r="AH107" s="190"/>
      <c r="AI107" s="190"/>
      <c r="AJ107" s="190"/>
      <c r="AK107" s="190"/>
      <c r="AL107" s="191"/>
      <c r="AM107" s="133"/>
    </row>
    <row r="108" spans="1:39" ht="15" customHeight="1">
      <c r="A108" s="30"/>
      <c r="B108" s="147"/>
      <c r="C108" s="28">
        <v>5</v>
      </c>
      <c r="D108" s="214" t="s">
        <v>127</v>
      </c>
      <c r="E108" s="210" t="s">
        <v>63</v>
      </c>
      <c r="F108" s="210" t="s">
        <v>117</v>
      </c>
      <c r="G108" s="124">
        <v>720</v>
      </c>
      <c r="H108" s="125">
        <v>0</v>
      </c>
      <c r="I108" s="126">
        <v>20</v>
      </c>
      <c r="J108" s="26">
        <f t="shared" si="17"/>
        <v>740</v>
      </c>
      <c r="K108" s="172">
        <f t="shared" si="18"/>
        <v>0.97297297297297303</v>
      </c>
      <c r="L108" s="213"/>
      <c r="M108" s="213"/>
      <c r="N108" s="223"/>
      <c r="O108" s="210"/>
      <c r="P108" s="35"/>
      <c r="Q108" s="154"/>
      <c r="R108" s="133"/>
      <c r="S108" s="189"/>
      <c r="T108" s="209"/>
      <c r="U108" s="209"/>
      <c r="V108" s="209"/>
      <c r="W108" s="190"/>
      <c r="X108" s="190"/>
      <c r="Y108" s="190"/>
      <c r="Z108" s="190"/>
      <c r="AA108" s="190"/>
      <c r="AB108" s="190"/>
      <c r="AC108" s="190"/>
      <c r="AD108" s="190"/>
      <c r="AE108" s="190"/>
      <c r="AF108" s="190"/>
      <c r="AG108" s="190"/>
      <c r="AH108" s="190"/>
      <c r="AI108" s="190"/>
      <c r="AJ108" s="190"/>
      <c r="AK108" s="190"/>
      <c r="AL108" s="191"/>
      <c r="AM108" s="133"/>
    </row>
    <row r="109" spans="1:39" ht="15" customHeight="1">
      <c r="A109" s="30"/>
      <c r="B109" s="147"/>
      <c r="C109" s="28">
        <v>6</v>
      </c>
      <c r="D109" s="214" t="s">
        <v>158</v>
      </c>
      <c r="E109" s="210" t="s">
        <v>63</v>
      </c>
      <c r="F109" s="210" t="s">
        <v>117</v>
      </c>
      <c r="G109" s="228">
        <v>600</v>
      </c>
      <c r="H109" s="125">
        <v>0</v>
      </c>
      <c r="I109" s="126">
        <v>44</v>
      </c>
      <c r="J109" s="127">
        <f>+G109+H109+I109</f>
        <v>644</v>
      </c>
      <c r="K109" s="172">
        <f t="shared" si="18"/>
        <v>0.93167701863354035</v>
      </c>
      <c r="L109" s="213" t="s">
        <v>124</v>
      </c>
      <c r="M109" s="213"/>
      <c r="N109" s="223"/>
      <c r="O109" s="210"/>
      <c r="P109" s="35"/>
      <c r="Q109" s="154"/>
      <c r="R109" s="133"/>
      <c r="S109" s="189"/>
      <c r="T109" s="209"/>
      <c r="U109" s="209"/>
      <c r="V109" s="209"/>
      <c r="W109" s="190"/>
      <c r="X109" s="190"/>
      <c r="Y109" s="190"/>
      <c r="Z109" s="190"/>
      <c r="AA109" s="190"/>
      <c r="AB109" s="190"/>
      <c r="AC109" s="190"/>
      <c r="AD109" s="190"/>
      <c r="AE109" s="190"/>
      <c r="AF109" s="190"/>
      <c r="AG109" s="190"/>
      <c r="AH109" s="190"/>
      <c r="AI109" s="190"/>
      <c r="AJ109" s="190"/>
      <c r="AK109" s="190"/>
      <c r="AL109" s="191"/>
      <c r="AM109" s="133"/>
    </row>
    <row r="110" spans="1:39" ht="15" customHeight="1">
      <c r="A110" s="30"/>
      <c r="B110" s="147"/>
      <c r="C110" s="28">
        <v>7</v>
      </c>
      <c r="D110" s="214" t="s">
        <v>158</v>
      </c>
      <c r="E110" s="210" t="s">
        <v>34</v>
      </c>
      <c r="F110" s="210" t="s">
        <v>151</v>
      </c>
      <c r="G110" s="124">
        <v>984</v>
      </c>
      <c r="H110" s="125">
        <v>40</v>
      </c>
      <c r="I110" s="126">
        <v>10</v>
      </c>
      <c r="J110" s="26">
        <f t="shared" si="17"/>
        <v>1034</v>
      </c>
      <c r="K110" s="172">
        <f t="shared" si="18"/>
        <v>0.95164410058027082</v>
      </c>
      <c r="L110" s="213" t="s">
        <v>124</v>
      </c>
      <c r="M110" s="213"/>
      <c r="N110" s="223"/>
      <c r="O110" s="210"/>
      <c r="P110" s="35"/>
      <c r="Q110" s="154"/>
      <c r="R110" s="133"/>
      <c r="S110" s="189"/>
      <c r="T110" s="209"/>
      <c r="U110" s="209"/>
      <c r="V110" s="209"/>
      <c r="W110" s="190"/>
      <c r="X110" s="190"/>
      <c r="Y110" s="190"/>
      <c r="Z110" s="190"/>
      <c r="AA110" s="190"/>
      <c r="AB110" s="190"/>
      <c r="AC110" s="190"/>
      <c r="AD110" s="190"/>
      <c r="AE110" s="190"/>
      <c r="AF110" s="190"/>
      <c r="AG110" s="190"/>
      <c r="AH110" s="190"/>
      <c r="AI110" s="190"/>
      <c r="AJ110" s="190"/>
      <c r="AK110" s="190"/>
      <c r="AL110" s="191"/>
      <c r="AM110" s="133"/>
    </row>
    <row r="111" spans="1:39" ht="15" customHeight="1" thickBot="1">
      <c r="A111" s="30"/>
      <c r="B111" s="147"/>
      <c r="C111" s="236">
        <v>8</v>
      </c>
      <c r="D111" s="214" t="s">
        <v>158</v>
      </c>
      <c r="E111" s="210" t="s">
        <v>34</v>
      </c>
      <c r="F111" s="210" t="s">
        <v>151</v>
      </c>
      <c r="G111" s="124">
        <v>816</v>
      </c>
      <c r="H111" s="219">
        <v>20</v>
      </c>
      <c r="I111" s="126">
        <v>3</v>
      </c>
      <c r="J111" s="238">
        <f t="shared" si="17"/>
        <v>839</v>
      </c>
      <c r="K111" s="173">
        <f t="shared" si="18"/>
        <v>0.9725864123957092</v>
      </c>
      <c r="L111" s="213"/>
      <c r="M111" s="213"/>
      <c r="N111" s="223"/>
      <c r="O111" s="210"/>
      <c r="P111" s="35"/>
      <c r="Q111" s="154"/>
      <c r="R111" s="133"/>
      <c r="S111" s="189"/>
      <c r="T111" s="209"/>
      <c r="U111" s="209"/>
      <c r="V111" s="209"/>
      <c r="W111" s="190"/>
      <c r="X111" s="190"/>
      <c r="Y111" s="190"/>
      <c r="Z111" s="190"/>
      <c r="AA111" s="190"/>
      <c r="AB111" s="190"/>
      <c r="AC111" s="190"/>
      <c r="AD111" s="190"/>
      <c r="AE111" s="190"/>
      <c r="AF111" s="190"/>
      <c r="AG111" s="190"/>
      <c r="AH111" s="190"/>
      <c r="AI111" s="190"/>
      <c r="AJ111" s="190"/>
      <c r="AK111" s="190"/>
      <c r="AL111" s="191"/>
      <c r="AM111" s="133"/>
    </row>
    <row r="112" spans="1:39" ht="15" customHeight="1" thickBot="1">
      <c r="A112" s="30"/>
      <c r="B112" s="147"/>
      <c r="C112" s="174" t="s">
        <v>7</v>
      </c>
      <c r="D112" s="110"/>
      <c r="E112" s="110"/>
      <c r="F112" s="110"/>
      <c r="G112" s="111">
        <f>SUM(G104:G111)</f>
        <v>6624</v>
      </c>
      <c r="H112" s="111">
        <f>SUM(H104:H111)</f>
        <v>60</v>
      </c>
      <c r="I112" s="111">
        <f>SUM(I104:I111)</f>
        <v>253</v>
      </c>
      <c r="J112" s="111">
        <f>SUM(J104:J111)</f>
        <v>6937</v>
      </c>
      <c r="K112" s="175">
        <f t="shared" si="18"/>
        <v>0.95487963096439388</v>
      </c>
      <c r="L112" s="110"/>
      <c r="M112" s="112">
        <f>SUM(M104:M111)</f>
        <v>5</v>
      </c>
      <c r="N112" s="224"/>
      <c r="O112" s="176"/>
      <c r="P112" s="35"/>
      <c r="Q112" s="154"/>
      <c r="R112" s="133"/>
      <c r="S112" s="189"/>
      <c r="T112" s="209"/>
      <c r="U112" s="209"/>
      <c r="V112" s="209"/>
      <c r="W112" s="190"/>
      <c r="X112" s="190"/>
      <c r="Y112" s="190"/>
      <c r="Z112" s="190"/>
      <c r="AA112" s="190"/>
      <c r="AB112" s="190"/>
      <c r="AC112" s="190"/>
      <c r="AD112" s="190"/>
      <c r="AE112" s="190"/>
      <c r="AF112" s="190"/>
      <c r="AG112" s="190"/>
      <c r="AH112" s="190"/>
      <c r="AI112" s="190"/>
      <c r="AJ112" s="190"/>
      <c r="AK112" s="190"/>
      <c r="AL112" s="191"/>
      <c r="AM112" s="133"/>
    </row>
    <row r="113" spans="1:39" ht="15" customHeight="1" thickBot="1">
      <c r="A113" s="30"/>
      <c r="B113" s="147"/>
      <c r="C113" s="41"/>
      <c r="D113" s="41"/>
      <c r="E113" s="41"/>
      <c r="F113" s="41"/>
      <c r="G113" s="42"/>
      <c r="H113" s="42"/>
      <c r="I113" s="42"/>
      <c r="J113" s="42"/>
      <c r="K113" s="177"/>
      <c r="L113" s="41"/>
      <c r="M113" s="41"/>
      <c r="N113" s="41"/>
      <c r="O113" s="35"/>
      <c r="P113" s="35"/>
      <c r="Q113" s="154"/>
      <c r="R113" s="133"/>
      <c r="S113" s="189"/>
      <c r="T113" s="209"/>
      <c r="U113" s="209"/>
      <c r="V113" s="209"/>
      <c r="W113" s="190"/>
      <c r="X113" s="190"/>
      <c r="Y113" s="190"/>
      <c r="Z113" s="190"/>
      <c r="AA113" s="190"/>
      <c r="AB113" s="190"/>
      <c r="AC113" s="190"/>
      <c r="AD113" s="190"/>
      <c r="AE113" s="190"/>
      <c r="AF113" s="190"/>
      <c r="AG113" s="190"/>
      <c r="AH113" s="190"/>
      <c r="AI113" s="190"/>
      <c r="AJ113" s="190"/>
      <c r="AK113" s="190"/>
      <c r="AL113" s="191"/>
      <c r="AM113" s="133"/>
    </row>
    <row r="114" spans="1:39" ht="15" customHeight="1">
      <c r="A114" s="30"/>
      <c r="B114" s="147"/>
      <c r="C114" s="253" t="s">
        <v>68</v>
      </c>
      <c r="D114" s="255">
        <f>H125</f>
        <v>0.94409432811547067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154"/>
      <c r="R114" s="133"/>
      <c r="S114" s="189"/>
      <c r="T114" s="209"/>
      <c r="U114" s="209"/>
      <c r="V114" s="209"/>
      <c r="W114" s="190"/>
      <c r="X114" s="190"/>
      <c r="Y114" s="190"/>
      <c r="Z114" s="190"/>
      <c r="AA114" s="190"/>
      <c r="AB114" s="190"/>
      <c r="AC114" s="190"/>
      <c r="AD114" s="190"/>
      <c r="AE114" s="190"/>
      <c r="AF114" s="190"/>
      <c r="AG114" s="190"/>
      <c r="AH114" s="190"/>
      <c r="AI114" s="190"/>
      <c r="AJ114" s="190"/>
      <c r="AK114" s="190"/>
      <c r="AL114" s="191"/>
      <c r="AM114" s="133"/>
    </row>
    <row r="115" spans="1:39" ht="15" customHeight="1" thickBot="1">
      <c r="A115" s="30"/>
      <c r="B115" s="147"/>
      <c r="C115" s="254"/>
      <c r="D115" s="256"/>
      <c r="E115" s="131"/>
      <c r="F115" s="131"/>
      <c r="G115" s="131"/>
      <c r="H115" s="131"/>
      <c r="I115" s="131"/>
      <c r="J115" s="131"/>
      <c r="K115" s="131"/>
      <c r="L115" s="35"/>
      <c r="M115" s="35"/>
      <c r="N115" s="35"/>
      <c r="O115" s="35"/>
      <c r="P115" s="35"/>
      <c r="Q115" s="154"/>
      <c r="R115" s="133"/>
      <c r="S115" s="189"/>
      <c r="T115" s="209"/>
      <c r="U115" s="209"/>
      <c r="V115" s="209"/>
      <c r="W115" s="190"/>
      <c r="X115" s="190"/>
      <c r="Y115" s="190"/>
      <c r="Z115" s="190"/>
      <c r="AA115" s="190"/>
      <c r="AB115" s="190"/>
      <c r="AC115" s="190"/>
      <c r="AD115" s="190"/>
      <c r="AE115" s="190"/>
      <c r="AF115" s="190"/>
      <c r="AG115" s="190"/>
      <c r="AH115" s="190"/>
      <c r="AI115" s="190"/>
      <c r="AJ115" s="190"/>
      <c r="AK115" s="190"/>
      <c r="AL115" s="191"/>
      <c r="AM115" s="133"/>
    </row>
    <row r="116" spans="1:39" ht="15" customHeight="1">
      <c r="A116" s="30"/>
      <c r="B116" s="147"/>
      <c r="C116" s="29" t="s">
        <v>2</v>
      </c>
      <c r="D116" s="23" t="s">
        <v>0</v>
      </c>
      <c r="E116" s="23" t="s">
        <v>1</v>
      </c>
      <c r="F116" s="23" t="s">
        <v>18</v>
      </c>
      <c r="G116" s="23" t="s">
        <v>5</v>
      </c>
      <c r="H116" s="23" t="s">
        <v>13</v>
      </c>
      <c r="I116" s="249" t="s">
        <v>46</v>
      </c>
      <c r="J116" s="250"/>
      <c r="K116" s="24" t="s">
        <v>9</v>
      </c>
      <c r="L116" s="37"/>
      <c r="M116" s="37"/>
      <c r="N116" s="37"/>
      <c r="O116" s="35"/>
      <c r="P116" s="35"/>
      <c r="Q116" s="154"/>
      <c r="R116" s="133"/>
      <c r="S116" s="189"/>
      <c r="T116" s="209"/>
      <c r="U116" s="209"/>
      <c r="V116" s="209"/>
      <c r="W116" s="190"/>
      <c r="X116" s="190"/>
      <c r="Y116" s="190"/>
      <c r="Z116" s="190"/>
      <c r="AA116" s="190"/>
      <c r="AB116" s="190"/>
      <c r="AC116" s="190"/>
      <c r="AD116" s="190"/>
      <c r="AE116" s="190"/>
      <c r="AF116" s="190"/>
      <c r="AG116" s="190"/>
      <c r="AH116" s="190"/>
      <c r="AI116" s="190"/>
      <c r="AJ116" s="190"/>
      <c r="AK116" s="190"/>
      <c r="AL116" s="191"/>
    </row>
    <row r="117" spans="1:39" ht="15" customHeight="1">
      <c r="A117" s="30"/>
      <c r="B117" s="147"/>
      <c r="C117" s="232">
        <v>1</v>
      </c>
      <c r="D117" s="87">
        <f t="shared" ref="D117:G124" si="19">G13+G26+G39+G52+G65+G78+G91+G104</f>
        <v>5483</v>
      </c>
      <c r="E117" s="87">
        <f t="shared" si="19"/>
        <v>460</v>
      </c>
      <c r="F117" s="87">
        <f t="shared" si="19"/>
        <v>166</v>
      </c>
      <c r="G117" s="234">
        <f t="shared" si="19"/>
        <v>6109</v>
      </c>
      <c r="H117" s="171">
        <f t="shared" ref="H117:H125" si="20">IF(G117&lt;&gt;0,D117/G117,0)</f>
        <v>0.89752823702733675</v>
      </c>
      <c r="I117" s="251">
        <f>G117*8</f>
        <v>48872</v>
      </c>
      <c r="J117" s="252"/>
      <c r="K117" s="97">
        <f t="shared" ref="K117:K124" si="21">M13+M26+M39+M52+M65</f>
        <v>15</v>
      </c>
      <c r="L117" s="37"/>
      <c r="M117" s="37"/>
      <c r="N117" s="37"/>
      <c r="O117" s="35"/>
      <c r="P117" s="35"/>
      <c r="Q117" s="154"/>
      <c r="R117" s="133"/>
      <c r="S117" s="189"/>
      <c r="T117" s="209"/>
      <c r="U117" s="209"/>
      <c r="V117" s="209"/>
      <c r="W117" s="190"/>
      <c r="X117" s="190"/>
      <c r="Y117" s="190"/>
      <c r="Z117" s="190"/>
      <c r="AA117" s="190"/>
      <c r="AB117" s="190"/>
      <c r="AC117" s="190"/>
      <c r="AD117" s="190"/>
      <c r="AE117" s="190"/>
      <c r="AF117" s="190"/>
      <c r="AG117" s="190"/>
      <c r="AH117" s="190"/>
      <c r="AI117" s="190"/>
      <c r="AJ117" s="190"/>
      <c r="AK117" s="190"/>
      <c r="AL117" s="191"/>
    </row>
    <row r="118" spans="1:39" ht="15" customHeight="1">
      <c r="A118" s="30"/>
      <c r="B118" s="147"/>
      <c r="C118" s="28">
        <v>2</v>
      </c>
      <c r="D118" s="127">
        <f>G14+G27+G40+G53+G66+G79+G92+G105</f>
        <v>6257</v>
      </c>
      <c r="E118" s="127">
        <f t="shared" si="19"/>
        <v>335</v>
      </c>
      <c r="F118" s="127">
        <f t="shared" si="19"/>
        <v>108</v>
      </c>
      <c r="G118" s="26">
        <f t="shared" si="19"/>
        <v>6700</v>
      </c>
      <c r="H118" s="172">
        <f t="shared" si="20"/>
        <v>0.93388059701492532</v>
      </c>
      <c r="I118" s="243">
        <f>IF(G118&lt;&gt;"",AVERAGE(G117:G118)*8,"-")</f>
        <v>51236</v>
      </c>
      <c r="J118" s="244"/>
      <c r="K118" s="98">
        <f t="shared" si="21"/>
        <v>20</v>
      </c>
      <c r="L118" s="37"/>
      <c r="M118" s="37"/>
      <c r="N118" s="37"/>
      <c r="O118" s="35"/>
      <c r="P118" s="35"/>
      <c r="Q118" s="154"/>
      <c r="R118" s="133"/>
      <c r="S118" s="189"/>
      <c r="T118" s="209"/>
      <c r="U118" s="209"/>
      <c r="V118" s="209"/>
      <c r="W118" s="190"/>
      <c r="X118" s="190"/>
      <c r="Y118" s="190"/>
      <c r="Z118" s="190"/>
      <c r="AA118" s="190"/>
      <c r="AB118" s="190"/>
      <c r="AC118" s="190"/>
      <c r="AD118" s="190"/>
      <c r="AE118" s="190"/>
      <c r="AF118" s="190"/>
      <c r="AG118" s="190"/>
      <c r="AH118" s="190"/>
      <c r="AI118" s="190"/>
      <c r="AJ118" s="190"/>
      <c r="AK118" s="190"/>
      <c r="AL118" s="191"/>
    </row>
    <row r="119" spans="1:39" ht="15" customHeight="1">
      <c r="A119" s="30"/>
      <c r="B119" s="147"/>
      <c r="C119" s="28">
        <v>3</v>
      </c>
      <c r="D119" s="127">
        <f>G15+G28+G41+G54+G67+G80+G93+G106</f>
        <v>5465</v>
      </c>
      <c r="E119" s="127">
        <f t="shared" si="19"/>
        <v>164</v>
      </c>
      <c r="F119" s="127">
        <f t="shared" si="19"/>
        <v>47</v>
      </c>
      <c r="G119" s="26">
        <f t="shared" si="19"/>
        <v>5676</v>
      </c>
      <c r="H119" s="172">
        <f t="shared" si="20"/>
        <v>0.96282593375616632</v>
      </c>
      <c r="I119" s="243">
        <f>IF(G119&lt;&gt;"",AVERAGE(G117:G119)*8,"-")</f>
        <v>49293.333333333336</v>
      </c>
      <c r="J119" s="244"/>
      <c r="K119" s="98">
        <f>M15+M28+M41+M54+M67</f>
        <v>25</v>
      </c>
      <c r="L119" s="37"/>
      <c r="M119" s="37"/>
      <c r="N119" s="37"/>
      <c r="O119" s="35"/>
      <c r="P119" s="35"/>
      <c r="Q119" s="154"/>
      <c r="R119" s="133"/>
      <c r="S119" s="189"/>
      <c r="T119" s="209"/>
      <c r="U119" s="209"/>
      <c r="V119" s="209"/>
      <c r="W119" s="190"/>
      <c r="X119" s="190"/>
      <c r="Y119" s="190"/>
      <c r="Z119" s="190"/>
      <c r="AA119" s="190"/>
      <c r="AB119" s="190"/>
      <c r="AC119" s="190"/>
      <c r="AD119" s="190"/>
      <c r="AE119" s="190"/>
      <c r="AF119" s="190"/>
      <c r="AG119" s="190"/>
      <c r="AH119" s="190"/>
      <c r="AI119" s="190"/>
      <c r="AJ119" s="190"/>
      <c r="AK119" s="190"/>
      <c r="AL119" s="191"/>
    </row>
    <row r="120" spans="1:39" ht="15" customHeight="1">
      <c r="A120" s="30"/>
      <c r="B120" s="147"/>
      <c r="C120" s="28">
        <v>4</v>
      </c>
      <c r="D120" s="127">
        <f>G16+G29+G42+G55+G68+G81+G94+G107</f>
        <v>6216</v>
      </c>
      <c r="E120" s="127">
        <f t="shared" si="19"/>
        <v>400</v>
      </c>
      <c r="F120" s="127">
        <f t="shared" si="19"/>
        <v>55</v>
      </c>
      <c r="G120" s="26">
        <f t="shared" si="19"/>
        <v>6671</v>
      </c>
      <c r="H120" s="172">
        <f t="shared" si="20"/>
        <v>0.93179433368310594</v>
      </c>
      <c r="I120" s="243">
        <f>IF(G120&lt;&gt;"",AVERAGE(G117:G120)*8,"-")</f>
        <v>50312</v>
      </c>
      <c r="J120" s="244"/>
      <c r="K120" s="98">
        <f>M16+M29+M42+M55+M68</f>
        <v>10</v>
      </c>
      <c r="L120" s="37"/>
      <c r="M120" s="37"/>
      <c r="N120" s="37"/>
      <c r="O120" s="35"/>
      <c r="P120" s="35"/>
      <c r="Q120" s="154"/>
      <c r="R120" s="133"/>
      <c r="S120" s="189"/>
      <c r="T120" s="209"/>
      <c r="U120" s="209"/>
      <c r="V120" s="209"/>
      <c r="W120" s="190"/>
      <c r="X120" s="190"/>
      <c r="Y120" s="190"/>
      <c r="Z120" s="190"/>
      <c r="AA120" s="190"/>
      <c r="AB120" s="190"/>
      <c r="AC120" s="190"/>
      <c r="AD120" s="190"/>
      <c r="AE120" s="190"/>
      <c r="AF120" s="190"/>
      <c r="AG120" s="190"/>
      <c r="AH120" s="190"/>
      <c r="AI120" s="190"/>
      <c r="AJ120" s="190"/>
      <c r="AK120" s="190"/>
      <c r="AL120" s="191"/>
    </row>
    <row r="121" spans="1:39" ht="15" customHeight="1">
      <c r="A121" s="30"/>
      <c r="B121" s="147"/>
      <c r="C121" s="28">
        <v>5</v>
      </c>
      <c r="D121" s="127">
        <f t="shared" si="19"/>
        <v>5439</v>
      </c>
      <c r="E121" s="127">
        <f t="shared" si="19"/>
        <v>190</v>
      </c>
      <c r="F121" s="127">
        <f t="shared" si="19"/>
        <v>68</v>
      </c>
      <c r="G121" s="26">
        <f t="shared" si="19"/>
        <v>5697</v>
      </c>
      <c r="H121" s="172">
        <f t="shared" si="20"/>
        <v>0.95471300684570826</v>
      </c>
      <c r="I121" s="243">
        <f>IF(G121&lt;&gt;"",AVERAGE(G117:G121)*8,"-")</f>
        <v>49364.800000000003</v>
      </c>
      <c r="J121" s="244"/>
      <c r="K121" s="98">
        <f t="shared" si="21"/>
        <v>15</v>
      </c>
      <c r="L121" s="37"/>
      <c r="M121" s="37"/>
      <c r="N121" s="37"/>
      <c r="O121" s="35"/>
      <c r="P121" s="35"/>
      <c r="Q121" s="154"/>
      <c r="R121" s="133"/>
      <c r="S121" s="189"/>
      <c r="T121" s="209"/>
      <c r="U121" s="209"/>
      <c r="V121" s="209"/>
      <c r="W121" s="190"/>
      <c r="X121" s="190"/>
      <c r="Y121" s="190"/>
      <c r="Z121" s="190"/>
      <c r="AA121" s="190"/>
      <c r="AB121" s="190"/>
      <c r="AC121" s="190"/>
      <c r="AD121" s="190"/>
      <c r="AE121" s="190"/>
      <c r="AF121" s="190"/>
      <c r="AG121" s="190"/>
      <c r="AH121" s="190"/>
      <c r="AI121" s="190"/>
      <c r="AJ121" s="190"/>
      <c r="AK121" s="190"/>
      <c r="AL121" s="191"/>
    </row>
    <row r="122" spans="1:39" ht="15" customHeight="1">
      <c r="A122" s="30"/>
      <c r="B122" s="147"/>
      <c r="C122" s="28">
        <v>6</v>
      </c>
      <c r="D122" s="127">
        <f t="shared" si="19"/>
        <v>6006</v>
      </c>
      <c r="E122" s="127">
        <f t="shared" si="19"/>
        <v>190</v>
      </c>
      <c r="F122" s="127">
        <f t="shared" si="19"/>
        <v>100</v>
      </c>
      <c r="G122" s="26">
        <f t="shared" si="19"/>
        <v>6296</v>
      </c>
      <c r="H122" s="172">
        <f t="shared" si="20"/>
        <v>0.9539390088945362</v>
      </c>
      <c r="I122" s="243">
        <f>IF(G122&lt;&gt;"",AVERAGE(G117:G122)*8,"-")</f>
        <v>49532</v>
      </c>
      <c r="J122" s="244"/>
      <c r="K122" s="98">
        <f t="shared" si="21"/>
        <v>0</v>
      </c>
      <c r="L122" s="37"/>
      <c r="M122" s="37"/>
      <c r="N122" s="37"/>
      <c r="O122" s="35"/>
      <c r="P122" s="35"/>
      <c r="Q122" s="154"/>
      <c r="R122" s="133"/>
      <c r="S122" s="189"/>
      <c r="T122" s="209"/>
      <c r="U122" s="209"/>
      <c r="V122" s="209"/>
      <c r="W122" s="190"/>
      <c r="X122" s="190"/>
      <c r="Y122" s="190"/>
      <c r="Z122" s="190"/>
      <c r="AA122" s="190"/>
      <c r="AB122" s="190"/>
      <c r="AC122" s="190"/>
      <c r="AD122" s="190"/>
      <c r="AE122" s="190"/>
      <c r="AF122" s="190"/>
      <c r="AG122" s="190"/>
      <c r="AH122" s="190"/>
      <c r="AI122" s="190"/>
      <c r="AJ122" s="190"/>
      <c r="AK122" s="190"/>
      <c r="AL122" s="191"/>
    </row>
    <row r="123" spans="1:39" ht="15" customHeight="1">
      <c r="A123" s="30"/>
      <c r="B123" s="147"/>
      <c r="C123" s="28">
        <v>7</v>
      </c>
      <c r="D123" s="127">
        <f>G19+G32+G45+G58+G71+G84+G97+G110</f>
        <v>6066</v>
      </c>
      <c r="E123" s="127">
        <f>H19+H31+H45+H58+H71+H84+H97+H110</f>
        <v>180</v>
      </c>
      <c r="F123" s="127">
        <f t="shared" si="19"/>
        <v>69</v>
      </c>
      <c r="G123" s="26">
        <f t="shared" si="19"/>
        <v>6315</v>
      </c>
      <c r="H123" s="172">
        <f t="shared" si="20"/>
        <v>0.96057007125890737</v>
      </c>
      <c r="I123" s="243">
        <f>IF(G123&lt;&gt;"",AVERAGE(G117:G123)*8,"-")</f>
        <v>49673.142857142855</v>
      </c>
      <c r="J123" s="244"/>
      <c r="K123" s="98">
        <f t="shared" si="21"/>
        <v>0</v>
      </c>
      <c r="L123" s="37"/>
      <c r="M123" s="37"/>
      <c r="N123" s="37"/>
      <c r="O123" s="35"/>
      <c r="P123" s="35"/>
      <c r="Q123" s="154"/>
      <c r="R123" s="133"/>
      <c r="S123" s="189"/>
      <c r="T123" s="209"/>
      <c r="U123" s="209"/>
      <c r="V123" s="209"/>
      <c r="W123" s="190"/>
      <c r="X123" s="190"/>
      <c r="Y123" s="190"/>
      <c r="Z123" s="190"/>
      <c r="AA123" s="190"/>
      <c r="AB123" s="190"/>
      <c r="AC123" s="190"/>
      <c r="AD123" s="190"/>
      <c r="AE123" s="190"/>
      <c r="AF123" s="190"/>
      <c r="AG123" s="190"/>
      <c r="AH123" s="190"/>
      <c r="AI123" s="190"/>
      <c r="AJ123" s="190"/>
      <c r="AK123" s="190"/>
      <c r="AL123" s="191"/>
    </row>
    <row r="124" spans="1:39" ht="15" customHeight="1">
      <c r="A124" s="30"/>
      <c r="B124" s="147"/>
      <c r="C124" s="233">
        <v>8</v>
      </c>
      <c r="D124" s="88">
        <f>G20+G33+G46+G59+G72+G85+G98+G111</f>
        <v>5508</v>
      </c>
      <c r="E124" s="88">
        <f>H20+H32+H46+H59+H72+H85+H98+H111</f>
        <v>170</v>
      </c>
      <c r="F124" s="88">
        <f>I20+I32+I46+I59+I72+I85+I98+I111</f>
        <v>51</v>
      </c>
      <c r="G124" s="235">
        <f t="shared" si="19"/>
        <v>5726</v>
      </c>
      <c r="H124" s="192">
        <f t="shared" si="20"/>
        <v>0.96192804750261962</v>
      </c>
      <c r="I124" s="245">
        <f>IF(G124&lt;&gt;"",AVERAGE(G117:G124)*8,"-")</f>
        <v>49190</v>
      </c>
      <c r="J124" s="246"/>
      <c r="K124" s="99">
        <f t="shared" si="21"/>
        <v>40</v>
      </c>
      <c r="L124" s="37"/>
      <c r="M124" s="37"/>
      <c r="N124" s="37"/>
      <c r="O124" s="35"/>
      <c r="P124" s="35"/>
      <c r="Q124" s="154"/>
      <c r="R124" s="133"/>
      <c r="S124" s="189"/>
      <c r="T124" s="209"/>
      <c r="U124" s="209"/>
      <c r="V124" s="209"/>
      <c r="W124" s="190"/>
      <c r="X124" s="190"/>
      <c r="Y124" s="190"/>
      <c r="Z124" s="190"/>
      <c r="AA124" s="190"/>
      <c r="AB124" s="190"/>
      <c r="AC124" s="190"/>
      <c r="AD124" s="190"/>
      <c r="AE124" s="190"/>
      <c r="AF124" s="190"/>
      <c r="AG124" s="190"/>
      <c r="AH124" s="190"/>
      <c r="AI124" s="190"/>
      <c r="AJ124" s="190"/>
      <c r="AK124" s="190"/>
      <c r="AL124" s="191"/>
    </row>
    <row r="125" spans="1:39" ht="15" customHeight="1" thickBot="1">
      <c r="A125" s="30"/>
      <c r="B125" s="147"/>
      <c r="C125" s="193" t="s">
        <v>7</v>
      </c>
      <c r="D125" s="129">
        <f>SUM(D117:D124)</f>
        <v>46440</v>
      </c>
      <c r="E125" s="25">
        <f>SUM(E117:E124)</f>
        <v>2089</v>
      </c>
      <c r="F125" s="129">
        <f>SUM(F117:F124)</f>
        <v>664</v>
      </c>
      <c r="G125" s="25">
        <f>SUM(G117:G124)</f>
        <v>49190</v>
      </c>
      <c r="H125" s="194">
        <f t="shared" si="20"/>
        <v>0.94409432811547067</v>
      </c>
      <c r="I125" s="247"/>
      <c r="J125" s="248"/>
      <c r="K125" s="27">
        <f>SUM(K117:K124)</f>
        <v>125</v>
      </c>
      <c r="L125" s="37"/>
      <c r="M125" s="37"/>
      <c r="N125" s="37"/>
      <c r="O125" s="35"/>
      <c r="P125" s="35"/>
      <c r="Q125" s="154"/>
      <c r="R125" s="133"/>
      <c r="S125" s="189"/>
      <c r="T125" s="209"/>
      <c r="U125" s="209"/>
      <c r="V125" s="209"/>
      <c r="W125" s="190"/>
      <c r="X125" s="190"/>
      <c r="Y125" s="190"/>
      <c r="Z125" s="190"/>
      <c r="AA125" s="190"/>
      <c r="AB125" s="190"/>
      <c r="AC125" s="190"/>
      <c r="AD125" s="190"/>
      <c r="AE125" s="190"/>
      <c r="AF125" s="190"/>
      <c r="AG125" s="190"/>
      <c r="AH125" s="190"/>
      <c r="AI125" s="190"/>
      <c r="AJ125" s="190"/>
      <c r="AK125" s="190"/>
      <c r="AL125" s="191"/>
    </row>
    <row r="126" spans="1:39" ht="15.75" customHeight="1" thickBot="1">
      <c r="A126" s="30"/>
      <c r="B126" s="195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196"/>
      <c r="R126" s="133"/>
      <c r="S126" s="197"/>
      <c r="T126" s="198"/>
      <c r="U126" s="198"/>
      <c r="V126" s="198"/>
      <c r="W126" s="198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  <c r="AI126" s="198"/>
      <c r="AJ126" s="198"/>
      <c r="AK126" s="198"/>
      <c r="AL126" s="199"/>
    </row>
    <row r="127" spans="1:39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133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</row>
    <row r="128" spans="1:39">
      <c r="A128" s="30"/>
      <c r="B128" s="30"/>
      <c r="C128" s="200" t="s">
        <v>64</v>
      </c>
      <c r="D128" s="20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133"/>
      <c r="AI128" s="133"/>
      <c r="AJ128" s="133"/>
      <c r="AK128" s="133"/>
      <c r="AL128" s="133"/>
    </row>
    <row r="129" spans="1:40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133"/>
      <c r="S129" s="133"/>
      <c r="T129" s="133"/>
      <c r="U129" s="133"/>
      <c r="V129" s="133"/>
      <c r="W129" s="133"/>
      <c r="X129" s="201"/>
      <c r="Y129" s="133"/>
      <c r="Z129" s="133"/>
      <c r="AA129" s="133"/>
      <c r="AB129" s="133"/>
      <c r="AC129" s="133"/>
      <c r="AD129" s="133"/>
      <c r="AE129" s="133"/>
      <c r="AF129" s="133"/>
      <c r="AG129" s="133"/>
      <c r="AH129" s="133"/>
      <c r="AI129" s="133"/>
      <c r="AJ129" s="133"/>
      <c r="AK129" s="133"/>
      <c r="AL129" s="133"/>
    </row>
    <row r="130" spans="1:40" ht="15" customHeight="1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133"/>
      <c r="S130" s="133"/>
      <c r="T130" s="230"/>
      <c r="U130" s="133"/>
      <c r="V130" s="133"/>
      <c r="W130" s="133"/>
      <c r="X130" s="61"/>
      <c r="Y130" s="133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3"/>
      <c r="AJ130" s="133"/>
      <c r="AK130" s="133"/>
      <c r="AL130" s="133"/>
    </row>
    <row r="131" spans="1:40" ht="15" customHeight="1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133"/>
      <c r="S131" s="133"/>
      <c r="T131" s="230"/>
      <c r="U131" s="201"/>
      <c r="V131" s="201"/>
      <c r="W131" s="201"/>
      <c r="X131" s="63"/>
      <c r="Y131" s="201"/>
      <c r="Z131" s="201"/>
      <c r="AA131" s="201"/>
      <c r="AB131" s="133"/>
      <c r="AC131" s="133"/>
      <c r="AD131" s="133"/>
      <c r="AE131" s="133"/>
      <c r="AF131" s="133"/>
      <c r="AG131" s="133"/>
      <c r="AH131" s="133"/>
      <c r="AI131" s="133"/>
      <c r="AJ131" s="133"/>
      <c r="AK131" s="133"/>
      <c r="AL131" s="133"/>
    </row>
    <row r="132" spans="1:40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133"/>
      <c r="S132" s="133"/>
      <c r="T132" s="61"/>
      <c r="U132" s="61"/>
      <c r="V132" s="61"/>
      <c r="W132" s="61"/>
      <c r="X132" s="63"/>
      <c r="Y132" s="61"/>
      <c r="Z132" s="61"/>
      <c r="AA132" s="61"/>
      <c r="AB132" s="61"/>
      <c r="AC132" s="133"/>
      <c r="AD132" s="133"/>
      <c r="AE132" s="133"/>
      <c r="AF132" s="133"/>
      <c r="AG132" s="133"/>
      <c r="AH132" s="133"/>
      <c r="AI132" s="133"/>
      <c r="AJ132" s="133"/>
      <c r="AK132" s="133"/>
      <c r="AL132" s="133"/>
    </row>
    <row r="133" spans="1:40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133"/>
      <c r="S133" s="133"/>
      <c r="T133" s="63"/>
      <c r="U133" s="63"/>
      <c r="V133" s="91"/>
      <c r="W133" s="91"/>
      <c r="X133" s="63"/>
      <c r="Y133" s="63"/>
      <c r="Z133" s="63"/>
      <c r="AA133" s="63"/>
      <c r="AB133" s="64"/>
      <c r="AC133" s="133"/>
      <c r="AD133" s="133"/>
      <c r="AE133" s="133"/>
      <c r="AF133" s="133"/>
      <c r="AG133" s="133"/>
      <c r="AH133" s="133"/>
      <c r="AI133" s="133"/>
      <c r="AJ133" s="133"/>
      <c r="AK133" s="133"/>
      <c r="AL133" s="133"/>
    </row>
    <row r="134" spans="1:40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133"/>
      <c r="S134" s="133"/>
      <c r="T134" s="63"/>
      <c r="U134" s="63"/>
      <c r="V134" s="91"/>
      <c r="W134" s="91"/>
      <c r="X134" s="63"/>
      <c r="Y134" s="63"/>
      <c r="Z134" s="63"/>
      <c r="AA134" s="63"/>
      <c r="AB134" s="64"/>
      <c r="AC134" s="133"/>
      <c r="AD134" s="133"/>
      <c r="AE134" s="133"/>
      <c r="AF134" s="133"/>
      <c r="AG134" s="133"/>
      <c r="AH134" s="133"/>
      <c r="AI134" s="133"/>
      <c r="AJ134" s="133"/>
      <c r="AK134" s="133"/>
      <c r="AL134" s="133"/>
    </row>
    <row r="135" spans="1:40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133"/>
      <c r="S135" s="133"/>
      <c r="T135" s="63"/>
      <c r="U135" s="63"/>
      <c r="V135" s="91"/>
      <c r="W135" s="91"/>
      <c r="X135" s="63"/>
      <c r="Y135" s="63"/>
      <c r="Z135" s="63"/>
      <c r="AA135" s="63"/>
      <c r="AB135" s="64"/>
      <c r="AC135" s="133"/>
      <c r="AD135" s="133"/>
      <c r="AE135" s="133"/>
      <c r="AF135" s="133"/>
      <c r="AG135" s="133"/>
      <c r="AH135" s="133"/>
      <c r="AI135" s="133"/>
      <c r="AJ135" s="133"/>
      <c r="AK135" s="133"/>
      <c r="AL135" s="133"/>
    </row>
    <row r="136" spans="1:40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133"/>
      <c r="S136" s="133"/>
      <c r="T136" s="63"/>
      <c r="U136" s="63"/>
      <c r="V136" s="91"/>
      <c r="W136" s="91"/>
      <c r="X136" s="63"/>
      <c r="Y136" s="63"/>
      <c r="Z136" s="63"/>
      <c r="AA136" s="63"/>
      <c r="AB136" s="64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</row>
    <row r="137" spans="1:40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133"/>
      <c r="S137" s="133"/>
      <c r="T137" s="63"/>
      <c r="U137" s="63"/>
      <c r="V137" s="91"/>
      <c r="W137" s="91"/>
      <c r="X137" s="63"/>
      <c r="Y137" s="63"/>
      <c r="Z137" s="63"/>
      <c r="AA137" s="63"/>
      <c r="AB137" s="64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</row>
    <row r="138" spans="1:40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133"/>
      <c r="S138" s="133"/>
      <c r="T138" s="63"/>
      <c r="U138" s="63"/>
      <c r="V138" s="91"/>
      <c r="W138" s="91"/>
      <c r="X138" s="63"/>
      <c r="Y138" s="63"/>
      <c r="Z138" s="63"/>
      <c r="AA138" s="63"/>
      <c r="AB138" s="64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</row>
    <row r="139" spans="1:40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133"/>
      <c r="S139" s="133"/>
      <c r="T139" s="63"/>
      <c r="U139" s="63"/>
      <c r="V139" s="91"/>
      <c r="W139" s="91"/>
      <c r="X139" s="61"/>
      <c r="Y139" s="63"/>
      <c r="Z139" s="63"/>
      <c r="AA139" s="63"/>
      <c r="AB139" s="64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</row>
    <row r="140" spans="1:40" s="134" customFormat="1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133"/>
      <c r="S140" s="133"/>
      <c r="T140" s="63"/>
      <c r="U140" s="63"/>
      <c r="V140" s="91"/>
      <c r="W140" s="91"/>
      <c r="X140" s="133"/>
      <c r="Y140" s="63"/>
      <c r="Z140" s="63"/>
      <c r="AA140" s="63"/>
      <c r="AB140" s="64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30"/>
      <c r="AN140" s="30"/>
    </row>
    <row r="141" spans="1:40" s="134" customFormat="1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133"/>
      <c r="S141" s="133"/>
      <c r="T141" s="61"/>
      <c r="U141" s="61"/>
      <c r="V141" s="61"/>
      <c r="W141" s="61"/>
      <c r="X141" s="133"/>
      <c r="Y141" s="61"/>
      <c r="Z141" s="61"/>
      <c r="AA141" s="61"/>
      <c r="AB141" s="65"/>
      <c r="AC141" s="133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30"/>
      <c r="AN141" s="30"/>
    </row>
    <row r="142" spans="1:40" s="134" customFormat="1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133"/>
      <c r="S142" s="133"/>
      <c r="T142" s="133"/>
      <c r="U142" s="133"/>
      <c r="V142" s="133"/>
      <c r="W142" s="133"/>
      <c r="X142" s="201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30"/>
      <c r="AN142" s="30"/>
    </row>
    <row r="143" spans="1:40" s="134" customFormat="1" ht="15" customHeight="1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133"/>
      <c r="S143" s="133"/>
      <c r="T143" s="230"/>
      <c r="U143" s="133"/>
      <c r="V143" s="133"/>
      <c r="W143" s="133"/>
      <c r="X143" s="61"/>
      <c r="Y143" s="133"/>
      <c r="Z143" s="133"/>
      <c r="AA143" s="133"/>
      <c r="AB143" s="133"/>
      <c r="AC143" s="133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30"/>
      <c r="AN143" s="30"/>
    </row>
    <row r="144" spans="1:40" s="134" customFormat="1" ht="15" customHeight="1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133"/>
      <c r="S144" s="133"/>
      <c r="T144" s="230"/>
      <c r="U144" s="202"/>
      <c r="V144" s="201"/>
      <c r="W144" s="201"/>
      <c r="X144" s="66"/>
      <c r="Y144" s="201"/>
      <c r="Z144" s="201"/>
      <c r="AA144" s="201"/>
      <c r="AB144" s="201"/>
      <c r="AC144" s="133"/>
      <c r="AD144" s="133"/>
      <c r="AE144" s="133"/>
      <c r="AF144" s="133"/>
      <c r="AG144" s="133"/>
      <c r="AH144" s="133"/>
      <c r="AI144" s="133"/>
      <c r="AJ144" s="133"/>
      <c r="AK144" s="133"/>
      <c r="AL144" s="133"/>
      <c r="AM144" s="30"/>
      <c r="AN144" s="30"/>
    </row>
    <row r="145" spans="1:40" s="134" customFormat="1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133"/>
      <c r="S145" s="133"/>
      <c r="T145" s="61"/>
      <c r="U145" s="61"/>
      <c r="V145" s="61"/>
      <c r="W145" s="61"/>
      <c r="X145" s="66"/>
      <c r="Y145" s="61"/>
      <c r="Z145" s="61"/>
      <c r="AA145" s="61"/>
      <c r="AB145" s="61"/>
      <c r="AC145" s="133"/>
      <c r="AD145" s="133"/>
      <c r="AE145" s="133"/>
      <c r="AF145" s="133"/>
      <c r="AG145" s="133"/>
      <c r="AH145" s="133"/>
      <c r="AI145" s="133"/>
      <c r="AJ145" s="133"/>
      <c r="AK145" s="133"/>
      <c r="AL145" s="133"/>
      <c r="AM145" s="30"/>
      <c r="AN145" s="30"/>
    </row>
    <row r="146" spans="1:40" s="134" customFormat="1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133"/>
      <c r="S146" s="133"/>
      <c r="T146" s="66"/>
      <c r="U146" s="66"/>
      <c r="V146" s="92"/>
      <c r="W146" s="92"/>
      <c r="X146" s="66"/>
      <c r="Y146" s="66"/>
      <c r="Z146" s="66"/>
      <c r="AA146" s="66"/>
      <c r="AB146" s="67"/>
      <c r="AC146" s="133"/>
      <c r="AD146" s="133"/>
      <c r="AE146" s="133"/>
      <c r="AF146" s="133"/>
      <c r="AG146" s="133"/>
      <c r="AH146" s="133"/>
      <c r="AI146" s="133"/>
      <c r="AJ146" s="133"/>
      <c r="AK146" s="133"/>
      <c r="AL146" s="133"/>
      <c r="AM146" s="30"/>
      <c r="AN146" s="30"/>
    </row>
    <row r="147" spans="1:40" s="134" customFormat="1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133"/>
      <c r="S147" s="133"/>
      <c r="T147" s="66"/>
      <c r="U147" s="66"/>
      <c r="V147" s="92"/>
      <c r="W147" s="92"/>
      <c r="X147" s="66"/>
      <c r="Y147" s="66"/>
      <c r="Z147" s="66"/>
      <c r="AA147" s="66"/>
      <c r="AB147" s="67"/>
      <c r="AC147" s="133"/>
      <c r="AD147" s="133"/>
      <c r="AE147" s="133"/>
      <c r="AF147" s="133"/>
      <c r="AG147" s="133"/>
      <c r="AH147" s="133"/>
      <c r="AI147" s="133"/>
      <c r="AJ147" s="133"/>
      <c r="AK147" s="133"/>
      <c r="AL147" s="133"/>
      <c r="AM147" s="30"/>
      <c r="AN147" s="30"/>
    </row>
    <row r="148" spans="1:40" s="134" customFormat="1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133"/>
      <c r="S148" s="133"/>
      <c r="T148" s="66"/>
      <c r="U148" s="66"/>
      <c r="V148" s="92"/>
      <c r="W148" s="92"/>
      <c r="X148" s="66"/>
      <c r="Y148" s="66"/>
      <c r="Z148" s="66"/>
      <c r="AA148" s="66"/>
      <c r="AB148" s="67"/>
      <c r="AC148" s="133"/>
      <c r="AD148" s="133"/>
      <c r="AE148" s="133"/>
      <c r="AF148" s="133"/>
      <c r="AG148" s="133"/>
      <c r="AH148" s="133"/>
      <c r="AI148" s="133"/>
      <c r="AJ148" s="133"/>
      <c r="AK148" s="133"/>
      <c r="AL148" s="133"/>
      <c r="AM148" s="30"/>
      <c r="AN148" s="30"/>
    </row>
    <row r="149" spans="1:40" s="134" customFormat="1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133"/>
      <c r="S149" s="133"/>
      <c r="T149" s="66"/>
      <c r="U149" s="66"/>
      <c r="V149" s="92"/>
      <c r="W149" s="92"/>
      <c r="X149" s="66"/>
      <c r="Y149" s="66"/>
      <c r="Z149" s="66"/>
      <c r="AA149" s="66"/>
      <c r="AB149" s="67"/>
      <c r="AC149" s="133"/>
      <c r="AD149" s="133"/>
      <c r="AE149" s="133"/>
      <c r="AF149" s="133"/>
      <c r="AG149" s="133"/>
      <c r="AH149" s="133"/>
      <c r="AI149" s="133"/>
      <c r="AJ149" s="133"/>
      <c r="AK149" s="133"/>
      <c r="AL149" s="133"/>
      <c r="AM149" s="30"/>
      <c r="AN149" s="30"/>
    </row>
    <row r="150" spans="1:40" s="134" customFormat="1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133"/>
      <c r="S150" s="133"/>
      <c r="T150" s="66"/>
      <c r="U150" s="66"/>
      <c r="V150" s="92"/>
      <c r="W150" s="92"/>
      <c r="X150" s="66"/>
      <c r="Y150" s="66"/>
      <c r="Z150" s="66"/>
      <c r="AA150" s="66"/>
      <c r="AB150" s="67"/>
      <c r="AC150" s="133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30"/>
      <c r="AN150" s="30"/>
    </row>
    <row r="151" spans="1:40" s="134" customFormat="1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133"/>
      <c r="S151" s="133"/>
      <c r="T151" s="66"/>
      <c r="U151" s="66"/>
      <c r="V151" s="92"/>
      <c r="W151" s="92"/>
      <c r="X151" s="66"/>
      <c r="Y151" s="66"/>
      <c r="Z151" s="66"/>
      <c r="AA151" s="66"/>
      <c r="AB151" s="67"/>
      <c r="AC151" s="133"/>
      <c r="AD151" s="133"/>
      <c r="AE151" s="133"/>
      <c r="AF151" s="133"/>
      <c r="AG151" s="133"/>
      <c r="AH151" s="133"/>
      <c r="AI151" s="133"/>
      <c r="AJ151" s="133"/>
      <c r="AK151" s="133"/>
      <c r="AL151" s="133"/>
      <c r="AM151" s="30"/>
      <c r="AN151" s="30"/>
    </row>
    <row r="152" spans="1:40" s="134" customFormat="1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133"/>
      <c r="S152" s="133"/>
      <c r="T152" s="66"/>
      <c r="U152" s="66"/>
      <c r="V152" s="92"/>
      <c r="W152" s="92"/>
      <c r="X152" s="61"/>
      <c r="Y152" s="66"/>
      <c r="Z152" s="66"/>
      <c r="AA152" s="66"/>
      <c r="AB152" s="67"/>
      <c r="AC152" s="133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30"/>
      <c r="AN152" s="30"/>
    </row>
    <row r="153" spans="1:40" s="134" customFormat="1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133"/>
      <c r="S153" s="133"/>
      <c r="T153" s="66"/>
      <c r="U153" s="66"/>
      <c r="V153" s="92"/>
      <c r="W153" s="92"/>
      <c r="X153" s="133"/>
      <c r="Y153" s="66"/>
      <c r="Z153" s="66"/>
      <c r="AA153" s="66"/>
      <c r="AB153" s="67"/>
      <c r="AC153" s="133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30"/>
      <c r="AN153" s="30"/>
    </row>
    <row r="154" spans="1:40" s="134" customFormat="1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133"/>
      <c r="S154" s="133"/>
      <c r="T154" s="61"/>
      <c r="U154" s="61"/>
      <c r="V154" s="61"/>
      <c r="W154" s="61"/>
      <c r="X154" s="133"/>
      <c r="Y154" s="61"/>
      <c r="Z154" s="61"/>
      <c r="AA154" s="61"/>
      <c r="AB154" s="65"/>
      <c r="AC154" s="133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30"/>
      <c r="AN154" s="30"/>
    </row>
    <row r="155" spans="1:40" s="134" customFormat="1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133"/>
      <c r="S155" s="133"/>
      <c r="T155" s="133"/>
      <c r="U155" s="133"/>
      <c r="V155" s="133"/>
      <c r="W155" s="133"/>
      <c r="X155" s="201"/>
      <c r="Y155" s="133"/>
      <c r="Z155" s="133"/>
      <c r="AA155" s="133"/>
      <c r="AB155" s="133"/>
      <c r="AC155" s="133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30"/>
      <c r="AN155" s="30"/>
    </row>
    <row r="156" spans="1:40" s="134" customFormat="1" ht="15" customHeight="1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133"/>
      <c r="S156" s="133"/>
      <c r="T156" s="230"/>
      <c r="U156" s="230"/>
      <c r="V156" s="133"/>
      <c r="W156" s="133"/>
      <c r="X156" s="61"/>
      <c r="Y156" s="133"/>
      <c r="Z156" s="133"/>
      <c r="AA156" s="133"/>
      <c r="AB156" s="133"/>
      <c r="AC156" s="133"/>
      <c r="AD156" s="133"/>
      <c r="AE156" s="133"/>
      <c r="AF156" s="133"/>
      <c r="AG156" s="133"/>
      <c r="AH156" s="133"/>
      <c r="AI156" s="133"/>
      <c r="AJ156" s="133"/>
      <c r="AK156" s="133"/>
      <c r="AL156" s="133"/>
      <c r="AM156" s="30"/>
      <c r="AN156" s="30"/>
    </row>
    <row r="157" spans="1:40" s="134" customFormat="1" ht="15" customHeight="1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133"/>
      <c r="S157" s="133"/>
      <c r="T157" s="230"/>
      <c r="U157" s="230"/>
      <c r="V157" s="201"/>
      <c r="W157" s="201"/>
      <c r="X157" s="63"/>
      <c r="Y157" s="201"/>
      <c r="Z157" s="201"/>
      <c r="AA157" s="201"/>
      <c r="AB157" s="133"/>
      <c r="AC157" s="133"/>
      <c r="AD157" s="133"/>
      <c r="AE157" s="133"/>
      <c r="AF157" s="133"/>
      <c r="AG157" s="133"/>
      <c r="AH157" s="133"/>
      <c r="AI157" s="133"/>
      <c r="AJ157" s="133"/>
      <c r="AK157" s="133"/>
      <c r="AL157" s="133"/>
      <c r="AM157" s="30"/>
      <c r="AN157" s="30"/>
    </row>
    <row r="158" spans="1:40" s="134" customFormat="1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133"/>
      <c r="S158" s="133"/>
      <c r="T158" s="61"/>
      <c r="U158" s="61"/>
      <c r="V158" s="61"/>
      <c r="W158" s="61"/>
      <c r="X158" s="63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133"/>
      <c r="AM158" s="30" t="s">
        <v>83</v>
      </c>
      <c r="AN158" s="30"/>
    </row>
    <row r="159" spans="1:40" s="134" customFormat="1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133"/>
      <c r="S159" s="133"/>
      <c r="T159" s="63"/>
      <c r="U159" s="63"/>
      <c r="V159" s="63"/>
      <c r="W159" s="63"/>
      <c r="X159" s="63"/>
      <c r="Y159" s="63"/>
      <c r="Z159" s="63"/>
      <c r="AA159" s="63"/>
      <c r="AB159" s="64"/>
      <c r="AC159" s="64"/>
      <c r="AD159" s="64"/>
      <c r="AE159" s="63"/>
      <c r="AF159" s="63"/>
      <c r="AG159" s="64"/>
      <c r="AH159" s="64"/>
      <c r="AI159" s="64"/>
      <c r="AJ159" s="64"/>
      <c r="AK159" s="64"/>
      <c r="AL159" s="133"/>
      <c r="AM159" s="30"/>
      <c r="AN159" s="30"/>
    </row>
    <row r="160" spans="1:40" s="134" customFormat="1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133"/>
      <c r="S160" s="133"/>
      <c r="T160" s="63"/>
      <c r="U160" s="63"/>
      <c r="V160" s="63"/>
      <c r="W160" s="63"/>
      <c r="X160" s="63"/>
      <c r="Y160" s="63"/>
      <c r="Z160" s="63"/>
      <c r="AA160" s="63"/>
      <c r="AB160" s="64"/>
      <c r="AC160" s="64"/>
      <c r="AD160" s="64"/>
      <c r="AE160" s="63"/>
      <c r="AF160" s="63"/>
      <c r="AG160" s="64"/>
      <c r="AH160" s="64"/>
      <c r="AI160" s="64"/>
      <c r="AJ160" s="64"/>
      <c r="AK160" s="64"/>
      <c r="AL160" s="133"/>
      <c r="AM160" s="30"/>
      <c r="AN160" s="30"/>
    </row>
    <row r="161" spans="1:40" s="134" customFormat="1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133"/>
      <c r="S161" s="133"/>
      <c r="T161" s="63"/>
      <c r="U161" s="63"/>
      <c r="V161" s="91"/>
      <c r="W161" s="91"/>
      <c r="X161" s="63"/>
      <c r="Y161" s="63"/>
      <c r="Z161" s="63"/>
      <c r="AA161" s="63"/>
      <c r="AB161" s="64"/>
      <c r="AC161" s="64"/>
      <c r="AD161" s="64"/>
      <c r="AE161" s="63"/>
      <c r="AF161" s="63"/>
      <c r="AG161" s="64"/>
      <c r="AH161" s="64"/>
      <c r="AI161" s="64"/>
      <c r="AJ161" s="64"/>
      <c r="AK161" s="64"/>
      <c r="AL161" s="133"/>
      <c r="AM161" s="30"/>
      <c r="AN161" s="30"/>
    </row>
    <row r="162" spans="1:40" s="134" customFormat="1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133"/>
      <c r="S162" s="133"/>
      <c r="T162" s="63"/>
      <c r="U162" s="63"/>
      <c r="V162" s="63"/>
      <c r="W162" s="63"/>
      <c r="X162" s="63"/>
      <c r="Y162" s="63"/>
      <c r="Z162" s="63"/>
      <c r="AA162" s="63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133"/>
      <c r="AM162" s="30"/>
      <c r="AN162" s="30"/>
    </row>
    <row r="163" spans="1:40" s="134" customFormat="1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133"/>
      <c r="S163" s="133"/>
      <c r="T163" s="61"/>
      <c r="U163" s="63"/>
      <c r="V163" s="63"/>
      <c r="W163" s="63"/>
      <c r="X163" s="63"/>
      <c r="Y163" s="63"/>
      <c r="Z163" s="63"/>
      <c r="AA163" s="63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133"/>
      <c r="AM163" s="30"/>
      <c r="AN163" s="30"/>
    </row>
    <row r="164" spans="1:40" s="134" customFormat="1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133"/>
      <c r="S164" s="133"/>
      <c r="T164" s="61"/>
      <c r="U164" s="63"/>
      <c r="V164" s="63"/>
      <c r="W164" s="63"/>
      <c r="X164" s="63"/>
      <c r="Y164" s="63"/>
      <c r="Z164" s="63"/>
      <c r="AA164" s="63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133"/>
      <c r="AM164" s="30"/>
      <c r="AN164" s="30"/>
    </row>
    <row r="165" spans="1:40" s="134" customFormat="1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133"/>
      <c r="S165" s="133"/>
      <c r="T165" s="63"/>
      <c r="U165" s="63"/>
      <c r="V165" s="63"/>
      <c r="W165" s="63"/>
      <c r="X165" s="63"/>
      <c r="Y165" s="63"/>
      <c r="Z165" s="63"/>
      <c r="AA165" s="63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133"/>
      <c r="AM165" s="30"/>
      <c r="AN165" s="30"/>
    </row>
    <row r="166" spans="1:40" s="134" customFormat="1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133"/>
      <c r="S166" s="133"/>
      <c r="T166" s="63"/>
      <c r="U166" s="63"/>
      <c r="V166" s="63"/>
      <c r="W166" s="63"/>
      <c r="X166" s="63"/>
      <c r="Y166" s="63"/>
      <c r="Z166" s="63"/>
      <c r="AA166" s="63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133"/>
      <c r="AM166" s="30"/>
      <c r="AN166" s="30"/>
    </row>
    <row r="167" spans="1:40" s="134" customFormat="1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133"/>
      <c r="S167" s="133"/>
      <c r="T167" s="63"/>
      <c r="U167" s="63"/>
      <c r="V167" s="63"/>
      <c r="W167" s="63"/>
      <c r="X167" s="63"/>
      <c r="Y167" s="63"/>
      <c r="Z167" s="63"/>
      <c r="AA167" s="63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133"/>
      <c r="AM167" s="30"/>
      <c r="AN167" s="30"/>
    </row>
    <row r="168" spans="1:40">
      <c r="S168" s="133"/>
      <c r="T168" s="63"/>
      <c r="U168" s="63"/>
      <c r="V168" s="63"/>
      <c r="W168" s="63"/>
      <c r="X168" s="63"/>
      <c r="Y168" s="63"/>
      <c r="Z168" s="63"/>
      <c r="AA168" s="63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133"/>
    </row>
    <row r="169" spans="1:40">
      <c r="S169" s="133"/>
      <c r="T169" s="63"/>
      <c r="U169" s="63"/>
      <c r="V169" s="63"/>
      <c r="W169" s="63"/>
      <c r="X169" s="63"/>
      <c r="Y169" s="63"/>
      <c r="Z169" s="63"/>
      <c r="AA169" s="63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133"/>
    </row>
    <row r="170" spans="1:40">
      <c r="S170" s="133"/>
      <c r="T170" s="63"/>
      <c r="U170" s="63"/>
      <c r="V170" s="63"/>
      <c r="W170" s="63"/>
      <c r="X170" s="61"/>
      <c r="Y170" s="63"/>
      <c r="Z170" s="63"/>
      <c r="AA170" s="63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133"/>
    </row>
    <row r="171" spans="1:40">
      <c r="S171" s="133"/>
      <c r="T171" s="63"/>
      <c r="U171" s="63"/>
      <c r="V171" s="63"/>
      <c r="W171" s="63"/>
      <c r="X171" s="133"/>
      <c r="Y171" s="63"/>
      <c r="Z171" s="63"/>
      <c r="AA171" s="63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133"/>
    </row>
    <row r="172" spans="1:40">
      <c r="S172" s="133"/>
      <c r="T172" s="61"/>
      <c r="U172" s="61"/>
      <c r="V172" s="61"/>
      <c r="W172" s="61"/>
      <c r="X172" s="133"/>
      <c r="Y172" s="65"/>
      <c r="Z172" s="65"/>
      <c r="AA172" s="65"/>
      <c r="AB172" s="65"/>
      <c r="AC172" s="65"/>
      <c r="AD172" s="65"/>
      <c r="AE172" s="65"/>
      <c r="AF172" s="65"/>
      <c r="AG172" s="65"/>
      <c r="AH172" s="65"/>
      <c r="AI172" s="65"/>
      <c r="AJ172" s="65"/>
      <c r="AK172" s="65"/>
      <c r="AL172" s="133"/>
    </row>
    <row r="173" spans="1:40"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  <c r="AC173" s="133"/>
      <c r="AD173" s="133"/>
      <c r="AE173" s="133"/>
      <c r="AF173" s="133"/>
      <c r="AG173" s="133"/>
      <c r="AH173" s="133"/>
      <c r="AI173" s="133"/>
      <c r="AJ173" s="133"/>
      <c r="AK173" s="133"/>
      <c r="AL173" s="133"/>
    </row>
    <row r="174" spans="1:40" ht="15" customHeight="1">
      <c r="S174" s="133"/>
      <c r="T174" s="230"/>
      <c r="U174" s="133"/>
      <c r="V174" s="133"/>
      <c r="W174" s="133"/>
      <c r="X174" s="62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</row>
    <row r="175" spans="1:40" ht="15" customHeight="1">
      <c r="S175" s="133"/>
      <c r="T175" s="230"/>
      <c r="U175" s="133"/>
      <c r="V175" s="133"/>
      <c r="W175" s="133"/>
      <c r="X175" s="63"/>
      <c r="Y175" s="133"/>
      <c r="Z175" s="133"/>
      <c r="AA175" s="133"/>
      <c r="AB175" s="133"/>
      <c r="AC175" s="133"/>
      <c r="AD175" s="133"/>
      <c r="AE175" s="133"/>
      <c r="AF175" s="133"/>
      <c r="AG175" s="133"/>
      <c r="AH175" s="133"/>
      <c r="AI175" s="133"/>
      <c r="AJ175" s="133"/>
      <c r="AK175" s="133"/>
      <c r="AL175" s="133"/>
    </row>
    <row r="176" spans="1:40">
      <c r="S176" s="133"/>
      <c r="T176" s="62"/>
      <c r="U176" s="62"/>
      <c r="V176" s="62"/>
      <c r="W176" s="62"/>
      <c r="X176" s="63"/>
      <c r="Y176" s="62"/>
      <c r="Z176" s="133"/>
      <c r="AA176" s="133"/>
      <c r="AB176" s="133"/>
      <c r="AC176" s="133"/>
      <c r="AD176" s="133"/>
      <c r="AE176" s="133"/>
      <c r="AF176" s="133"/>
      <c r="AG176" s="133"/>
      <c r="AH176" s="133"/>
      <c r="AI176" s="133"/>
      <c r="AJ176" s="133"/>
      <c r="AK176" s="133"/>
      <c r="AL176" s="133"/>
    </row>
    <row r="177" spans="19:38">
      <c r="S177" s="133"/>
      <c r="T177" s="63"/>
      <c r="U177" s="63"/>
      <c r="V177" s="63"/>
      <c r="W177" s="63"/>
      <c r="X177" s="63"/>
      <c r="Y177" s="64"/>
      <c r="Z177" s="133"/>
      <c r="AA177" s="133"/>
      <c r="AB177" s="133"/>
      <c r="AC177" s="133"/>
      <c r="AD177" s="133"/>
      <c r="AE177" s="133"/>
      <c r="AF177" s="133"/>
      <c r="AG177" s="133"/>
      <c r="AH177" s="133"/>
      <c r="AI177" s="133"/>
      <c r="AJ177" s="133"/>
      <c r="AK177" s="133"/>
      <c r="AL177" s="133"/>
    </row>
    <row r="178" spans="19:38">
      <c r="S178" s="133"/>
      <c r="T178" s="63"/>
      <c r="U178" s="63"/>
      <c r="V178" s="63"/>
      <c r="W178" s="63"/>
      <c r="X178" s="61"/>
      <c r="Y178" s="64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133"/>
      <c r="AJ178" s="133"/>
      <c r="AK178" s="133"/>
      <c r="AL178" s="133"/>
    </row>
    <row r="179" spans="19:38">
      <c r="S179" s="133"/>
      <c r="T179" s="63"/>
      <c r="U179" s="63"/>
      <c r="V179" s="63"/>
      <c r="W179" s="63"/>
      <c r="X179" s="133"/>
      <c r="Y179" s="64"/>
      <c r="Z179" s="133"/>
      <c r="AA179" s="133"/>
      <c r="AB179" s="133"/>
      <c r="AC179" s="133"/>
      <c r="AD179" s="133"/>
      <c r="AE179" s="133"/>
      <c r="AF179" s="133"/>
      <c r="AG179" s="133"/>
      <c r="AH179" s="133"/>
      <c r="AI179" s="133"/>
      <c r="AJ179" s="133"/>
      <c r="AK179" s="133"/>
      <c r="AL179" s="133"/>
    </row>
    <row r="180" spans="19:38">
      <c r="S180" s="133"/>
      <c r="T180" s="61"/>
      <c r="U180" s="61"/>
      <c r="V180" s="61"/>
      <c r="W180" s="61"/>
      <c r="X180" s="133"/>
      <c r="Y180" s="65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</row>
    <row r="181" spans="19:38"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  <c r="AC181" s="133"/>
      <c r="AD181" s="133"/>
      <c r="AE181" s="133"/>
      <c r="AF181" s="133"/>
      <c r="AG181" s="133"/>
      <c r="AH181" s="133"/>
      <c r="AI181" s="133"/>
      <c r="AJ181" s="133"/>
      <c r="AK181" s="133"/>
      <c r="AL181" s="133"/>
    </row>
    <row r="182" spans="19:38"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  <c r="AC182" s="133"/>
      <c r="AD182" s="133"/>
      <c r="AE182" s="133"/>
      <c r="AF182" s="133"/>
      <c r="AG182" s="133"/>
      <c r="AH182" s="133"/>
      <c r="AI182" s="133"/>
      <c r="AJ182" s="133"/>
      <c r="AK182" s="133"/>
      <c r="AL182" s="133"/>
    </row>
    <row r="338" spans="9:9">
      <c r="I338" s="39" t="s">
        <v>59</v>
      </c>
    </row>
  </sheetData>
  <sheetProtection password="CFD7" sheet="1" objects="1" scenarios="1" selectLockedCells="1"/>
  <mergeCells count="161">
    <mergeCell ref="I122:J122"/>
    <mergeCell ref="I123:J123"/>
    <mergeCell ref="I124:J124"/>
    <mergeCell ref="I125:J125"/>
    <mergeCell ref="I116:J116"/>
    <mergeCell ref="I117:J117"/>
    <mergeCell ref="I118:J118"/>
    <mergeCell ref="I119:J119"/>
    <mergeCell ref="I120:J120"/>
    <mergeCell ref="I121:J121"/>
    <mergeCell ref="C88:C89"/>
    <mergeCell ref="D88:D89"/>
    <mergeCell ref="C101:C102"/>
    <mergeCell ref="D101:D102"/>
    <mergeCell ref="C114:C115"/>
    <mergeCell ref="D114:D115"/>
    <mergeCell ref="Y83:AA83"/>
    <mergeCell ref="AH83:AI83"/>
    <mergeCell ref="AJ83:AK83"/>
    <mergeCell ref="Y84:AA84"/>
    <mergeCell ref="AH84:AI84"/>
    <mergeCell ref="AJ84:AK84"/>
    <mergeCell ref="Y81:AA81"/>
    <mergeCell ref="AH81:AI81"/>
    <mergeCell ref="AJ81:AK81"/>
    <mergeCell ref="Y82:AA82"/>
    <mergeCell ref="AH82:AI82"/>
    <mergeCell ref="AJ82:AK82"/>
    <mergeCell ref="Y79:AA79"/>
    <mergeCell ref="AH79:AI79"/>
    <mergeCell ref="AJ79:AK79"/>
    <mergeCell ref="Y80:AA80"/>
    <mergeCell ref="AH80:AI80"/>
    <mergeCell ref="AJ80:AK80"/>
    <mergeCell ref="Y77:AA77"/>
    <mergeCell ref="AH77:AI77"/>
    <mergeCell ref="AJ77:AK77"/>
    <mergeCell ref="Y78:AA78"/>
    <mergeCell ref="AH78:AI78"/>
    <mergeCell ref="AJ78:AK78"/>
    <mergeCell ref="C75:C76"/>
    <mergeCell ref="D75:D76"/>
    <mergeCell ref="Y75:AA75"/>
    <mergeCell ref="AH75:AI75"/>
    <mergeCell ref="AJ75:AK75"/>
    <mergeCell ref="Y76:AA76"/>
    <mergeCell ref="AH76:AI76"/>
    <mergeCell ref="AJ76:AK76"/>
    <mergeCell ref="T69:T70"/>
    <mergeCell ref="AD69:AD70"/>
    <mergeCell ref="AF69:AH70"/>
    <mergeCell ref="AF71:AH71"/>
    <mergeCell ref="T73:V74"/>
    <mergeCell ref="AC73:AE74"/>
    <mergeCell ref="T65:T66"/>
    <mergeCell ref="AD65:AD66"/>
    <mergeCell ref="AF65:AH66"/>
    <mergeCell ref="T67:T68"/>
    <mergeCell ref="AD67:AD68"/>
    <mergeCell ref="AF67:AH68"/>
    <mergeCell ref="T61:T62"/>
    <mergeCell ref="AD61:AD62"/>
    <mergeCell ref="AF61:AH62"/>
    <mergeCell ref="C62:C63"/>
    <mergeCell ref="D62:D63"/>
    <mergeCell ref="T63:T64"/>
    <mergeCell ref="AD63:AD64"/>
    <mergeCell ref="AF63:AH64"/>
    <mergeCell ref="T57:T58"/>
    <mergeCell ref="AD57:AD58"/>
    <mergeCell ref="AF57:AH58"/>
    <mergeCell ref="T59:T60"/>
    <mergeCell ref="AD59:AD60"/>
    <mergeCell ref="AF59:AH60"/>
    <mergeCell ref="C49:C50"/>
    <mergeCell ref="D49:D50"/>
    <mergeCell ref="AD50:AF50"/>
    <mergeCell ref="T52:V53"/>
    <mergeCell ref="AF54:AH54"/>
    <mergeCell ref="T55:T56"/>
    <mergeCell ref="AD55:AD56"/>
    <mergeCell ref="AF55:AH56"/>
    <mergeCell ref="T46:T47"/>
    <mergeCell ref="AA46:AA47"/>
    <mergeCell ref="AC46:AC47"/>
    <mergeCell ref="AD46:AF47"/>
    <mergeCell ref="T48:T49"/>
    <mergeCell ref="AA48:AA49"/>
    <mergeCell ref="AC48:AC49"/>
    <mergeCell ref="AD48:AF49"/>
    <mergeCell ref="T42:T43"/>
    <mergeCell ref="AA42:AA43"/>
    <mergeCell ref="AC42:AC43"/>
    <mergeCell ref="AD42:AF43"/>
    <mergeCell ref="T44:T45"/>
    <mergeCell ref="AA44:AA45"/>
    <mergeCell ref="AC44:AC45"/>
    <mergeCell ref="AD44:AF45"/>
    <mergeCell ref="T38:T39"/>
    <mergeCell ref="AA38:AA39"/>
    <mergeCell ref="AC38:AC39"/>
    <mergeCell ref="AD38:AF39"/>
    <mergeCell ref="T40:T41"/>
    <mergeCell ref="AA40:AA41"/>
    <mergeCell ref="AC40:AC41"/>
    <mergeCell ref="AD40:AF41"/>
    <mergeCell ref="C36:C37"/>
    <mergeCell ref="D36:D37"/>
    <mergeCell ref="T36:T37"/>
    <mergeCell ref="AA36:AA37"/>
    <mergeCell ref="AC36:AC37"/>
    <mergeCell ref="AD36:AF37"/>
    <mergeCell ref="AD29:AF29"/>
    <mergeCell ref="T31:V32"/>
    <mergeCell ref="AD33:AF33"/>
    <mergeCell ref="T34:T35"/>
    <mergeCell ref="AA34:AA35"/>
    <mergeCell ref="AC34:AC35"/>
    <mergeCell ref="AD34:AF35"/>
    <mergeCell ref="T25:T26"/>
    <mergeCell ref="AA25:AA26"/>
    <mergeCell ref="AC25:AC26"/>
    <mergeCell ref="AD25:AF26"/>
    <mergeCell ref="T27:T28"/>
    <mergeCell ref="AA27:AA28"/>
    <mergeCell ref="AC27:AC28"/>
    <mergeCell ref="AD27:AF28"/>
    <mergeCell ref="T21:T22"/>
    <mergeCell ref="AA21:AA22"/>
    <mergeCell ref="AC21:AC22"/>
    <mergeCell ref="AD21:AF22"/>
    <mergeCell ref="C23:C24"/>
    <mergeCell ref="D23:D24"/>
    <mergeCell ref="T23:T24"/>
    <mergeCell ref="AA23:AA24"/>
    <mergeCell ref="AC23:AC24"/>
    <mergeCell ref="AD23:AF24"/>
    <mergeCell ref="T17:T18"/>
    <mergeCell ref="AA17:AA18"/>
    <mergeCell ref="AC17:AC18"/>
    <mergeCell ref="AD17:AF18"/>
    <mergeCell ref="T19:T20"/>
    <mergeCell ref="AA19:AA20"/>
    <mergeCell ref="AC19:AC20"/>
    <mergeCell ref="AD19:AF20"/>
    <mergeCell ref="AD12:AF12"/>
    <mergeCell ref="T13:T14"/>
    <mergeCell ref="AA13:AA14"/>
    <mergeCell ref="AC13:AC14"/>
    <mergeCell ref="AD13:AF14"/>
    <mergeCell ref="T15:T16"/>
    <mergeCell ref="AA15:AA16"/>
    <mergeCell ref="AC15:AC16"/>
    <mergeCell ref="AD15:AF16"/>
    <mergeCell ref="E7:F8"/>
    <mergeCell ref="W7:Y8"/>
    <mergeCell ref="AF7:AG7"/>
    <mergeCell ref="AF8:AG8"/>
    <mergeCell ref="C10:C11"/>
    <mergeCell ref="D10:D11"/>
    <mergeCell ref="T10:V11"/>
  </mergeCells>
  <conditionalFormatting sqref="K8 D10 K13:K21 D23 D36 K39:K47 D49 D62 K65:K73 D114 H117:H125 K26:K34 K52:K60">
    <cfRule type="cellIs" dxfId="4847" priority="2727" operator="greaterThanOrEqual">
      <formula>$L$8</formula>
    </cfRule>
  </conditionalFormatting>
  <conditionalFormatting sqref="K8 D10 K13:K21 D23 D36 K39:K47 D49 D62 K65:K73 D114 H117:H125 K26:K34 K52:K60">
    <cfRule type="cellIs" dxfId="4846" priority="2726" operator="lessThan">
      <formula>$L$8</formula>
    </cfRule>
  </conditionalFormatting>
  <conditionalFormatting sqref="X175:X177 X157:X169 X144:X151 X131:X138 G55">
    <cfRule type="containsText" dxfId="4845" priority="2717" operator="containsText" text="Cinza">
      <formula>NOT(ISERROR(SEARCH("Cinza",G55)))</formula>
    </cfRule>
    <cfRule type="containsText" dxfId="4844" priority="2718" operator="containsText" text="Púrpura">
      <formula>NOT(ISERROR(SEARCH("Púrpura",G55)))</formula>
    </cfRule>
    <cfRule type="containsText" dxfId="4843" priority="2719" operator="containsText" text="Rosa">
      <formula>NOT(ISERROR(SEARCH("Rosa",G55)))</formula>
    </cfRule>
    <cfRule type="containsText" dxfId="4842" priority="2720" operator="containsText" text="Castanho">
      <formula>NOT(ISERROR(SEARCH("Castanho",G55)))</formula>
    </cfRule>
    <cfRule type="containsText" dxfId="4841" priority="2721" operator="containsText" text="Verde Água">
      <formula>NOT(ISERROR(SEARCH("Verde Água",G55)))</formula>
    </cfRule>
    <cfRule type="containsText" dxfId="4840" priority="2722" operator="containsText" text="Azul Petróleo">
      <formula>NOT(ISERROR(SEARCH("Azul Petróleo",G55)))</formula>
    </cfRule>
    <cfRule type="containsText" dxfId="4839" priority="2723" operator="containsText" text="Preto">
      <formula>NOT(ISERROR(SEARCH("Preto",G55)))</formula>
    </cfRule>
    <cfRule type="containsText" priority="2724" operator="containsText" text="Branco">
      <formula>NOT(ISERROR(SEARCH("Branco",G55)))</formula>
    </cfRule>
    <cfRule type="containsText" dxfId="4838" priority="2725" operator="containsText" text="Bege">
      <formula>NOT(ISERROR(SEARCH("Bege",G55)))</formula>
    </cfRule>
  </conditionalFormatting>
  <conditionalFormatting sqref="V84 F73 F34:F37 F21:F24 F47:F50 F60:F63 G55">
    <cfRule type="containsText" dxfId="4837" priority="2708" operator="containsText" text="Escuro">
      <formula>NOT(ISERROR(SEARCH("Escuro",F21)))</formula>
    </cfRule>
    <cfRule type="containsText" dxfId="4836" priority="2709" operator="containsText" text="Cinza">
      <formula>NOT(ISERROR(SEARCH("Cinza",F21)))</formula>
    </cfRule>
    <cfRule type="containsText" dxfId="4835" priority="2710" operator="containsText" text="Púrpura">
      <formula>NOT(ISERROR(SEARCH("Púrpura",F21)))</formula>
    </cfRule>
    <cfRule type="containsText" dxfId="4834" priority="2711" operator="containsText" text="Rosa">
      <formula>NOT(ISERROR(SEARCH("Rosa",F21)))</formula>
    </cfRule>
    <cfRule type="containsText" dxfId="4833" priority="2712" operator="containsText" text="Castanho">
      <formula>NOT(ISERROR(SEARCH("Castanho",F21)))</formula>
    </cfRule>
    <cfRule type="containsText" dxfId="4832" priority="2713" operator="containsText" text="Verde Água">
      <formula>NOT(ISERROR(SEARCH("Verde Água",F21)))</formula>
    </cfRule>
    <cfRule type="containsText" dxfId="4831" priority="2714" operator="containsText" text="Azul Petróleo">
      <formula>NOT(ISERROR(SEARCH("Azul Petróleo",F21)))</formula>
    </cfRule>
    <cfRule type="containsText" dxfId="4830" priority="2715" operator="containsText" text="Preto">
      <formula>NOT(ISERROR(SEARCH("Preto",F21)))</formula>
    </cfRule>
    <cfRule type="containsText" priority="2716" operator="containsText" text="Branco">
      <formula>NOT(ISERROR(SEARCH("Branco",F21)))</formula>
    </cfRule>
  </conditionalFormatting>
  <conditionalFormatting sqref="D75 D88 D101 K104:K112 K91:K99 K78:K86">
    <cfRule type="cellIs" dxfId="4829" priority="2707" operator="greaterThanOrEqual">
      <formula>$L$8</formula>
    </cfRule>
  </conditionalFormatting>
  <conditionalFormatting sqref="D75 D88 K91:K99 D101 K104:K112 K78:K86">
    <cfRule type="cellIs" dxfId="4828" priority="2706" operator="lessThan">
      <formula>$L$8</formula>
    </cfRule>
  </conditionalFormatting>
  <conditionalFormatting sqref="F112 F75:F76 F86:F89 F99:F102">
    <cfRule type="containsText" dxfId="4827" priority="2697" operator="containsText" text="Escuro">
      <formula>NOT(ISERROR(SEARCH("Escuro",F75)))</formula>
    </cfRule>
    <cfRule type="containsText" dxfId="4826" priority="2698" operator="containsText" text="Cinza">
      <formula>NOT(ISERROR(SEARCH("Cinza",F75)))</formula>
    </cfRule>
    <cfRule type="containsText" dxfId="4825" priority="2699" operator="containsText" text="Púrpura">
      <formula>NOT(ISERROR(SEARCH("Púrpura",F75)))</formula>
    </cfRule>
    <cfRule type="containsText" dxfId="4824" priority="2700" operator="containsText" text="Rosa">
      <formula>NOT(ISERROR(SEARCH("Rosa",F75)))</formula>
    </cfRule>
    <cfRule type="containsText" dxfId="4823" priority="2701" operator="containsText" text="Castanho">
      <formula>NOT(ISERROR(SEARCH("Castanho",F75)))</formula>
    </cfRule>
    <cfRule type="containsText" dxfId="4822" priority="2702" operator="containsText" text="Verde Água">
      <formula>NOT(ISERROR(SEARCH("Verde Água",F75)))</formula>
    </cfRule>
    <cfRule type="containsText" dxfId="4821" priority="2703" operator="containsText" text="Azul Petróleo">
      <formula>NOT(ISERROR(SEARCH("Azul Petróleo",F75)))</formula>
    </cfRule>
    <cfRule type="containsText" dxfId="4820" priority="2704" operator="containsText" text="Preto">
      <formula>NOT(ISERROR(SEARCH("Preto",F75)))</formula>
    </cfRule>
    <cfRule type="containsText" priority="2705" operator="containsText" text="Branco">
      <formula>NOT(ISERROR(SEARCH("Branco",F75)))</formula>
    </cfRule>
  </conditionalFormatting>
  <conditionalFormatting sqref="G55">
    <cfRule type="containsText" dxfId="4819" priority="2687" operator="containsText" text="Escuro">
      <formula>NOT(ISERROR(SEARCH("Escuro",G55)))</formula>
    </cfRule>
    <cfRule type="containsText" dxfId="4818" priority="2688" operator="containsText" text="Cinza">
      <formula>NOT(ISERROR(SEARCH("Cinza",G55)))</formula>
    </cfRule>
    <cfRule type="containsText" dxfId="4817" priority="2689" operator="containsText" text="Púrpura">
      <formula>NOT(ISERROR(SEARCH("Púrpura",G55)))</formula>
    </cfRule>
    <cfRule type="containsText" dxfId="4816" priority="2690" operator="containsText" text="Rosa">
      <formula>NOT(ISERROR(SEARCH("Rosa",G55)))</formula>
    </cfRule>
    <cfRule type="containsText" dxfId="4815" priority="2691" operator="containsText" text="Castanho">
      <formula>NOT(ISERROR(SEARCH("Castanho",G55)))</formula>
    </cfRule>
    <cfRule type="containsText" dxfId="4814" priority="2692" operator="containsText" text="Verde Água">
      <formula>NOT(ISERROR(SEARCH("Verde Água",G55)))</formula>
    </cfRule>
    <cfRule type="containsText" dxfId="4813" priority="2693" operator="containsText" text="Azul Petróleo">
      <formula>NOT(ISERROR(SEARCH("Azul Petróleo",G55)))</formula>
    </cfRule>
    <cfRule type="containsText" dxfId="4812" priority="2694" operator="containsText" text="Preto">
      <formula>NOT(ISERROR(SEARCH("Preto",G55)))</formula>
    </cfRule>
    <cfRule type="containsText" priority="2695" operator="containsText" text="Branco">
      <formula>NOT(ISERROR(SEARCH("Branco",G55)))</formula>
    </cfRule>
    <cfRule type="containsText" dxfId="4811" priority="2696" operator="containsText" text="Bege">
      <formula>NOT(ISERROR(SEARCH("Bege",G55)))</formula>
    </cfRule>
  </conditionalFormatting>
  <conditionalFormatting sqref="M79">
    <cfRule type="containsText" dxfId="4810" priority="2677" operator="containsText" text="Escuro">
      <formula>NOT(ISERROR(SEARCH("Escuro",M79)))</formula>
    </cfRule>
    <cfRule type="containsText" dxfId="4809" priority="2678" operator="containsText" text="Cinza">
      <formula>NOT(ISERROR(SEARCH("Cinza",M79)))</formula>
    </cfRule>
    <cfRule type="containsText" dxfId="4808" priority="2679" operator="containsText" text="Púrpura">
      <formula>NOT(ISERROR(SEARCH("Púrpura",M79)))</formula>
    </cfRule>
    <cfRule type="containsText" dxfId="4807" priority="2680" operator="containsText" text="Rosa">
      <formula>NOT(ISERROR(SEARCH("Rosa",M79)))</formula>
    </cfRule>
    <cfRule type="containsText" dxfId="4806" priority="2681" operator="containsText" text="Castanho">
      <formula>NOT(ISERROR(SEARCH("Castanho",M79)))</formula>
    </cfRule>
    <cfRule type="containsText" dxfId="4805" priority="2682" operator="containsText" text="Verde Água">
      <formula>NOT(ISERROR(SEARCH("Verde Água",M79)))</formula>
    </cfRule>
    <cfRule type="containsText" dxfId="4804" priority="2683" operator="containsText" text="Azul Petróleo">
      <formula>NOT(ISERROR(SEARCH("Azul Petróleo",M79)))</formula>
    </cfRule>
    <cfRule type="containsText" dxfId="4803" priority="2684" operator="containsText" text="Preto">
      <formula>NOT(ISERROR(SEARCH("Preto",M79)))</formula>
    </cfRule>
    <cfRule type="containsText" priority="2685" operator="containsText" text="Branco">
      <formula>NOT(ISERROR(SEARCH("Branco",M79)))</formula>
    </cfRule>
    <cfRule type="containsText" dxfId="4802" priority="2686" operator="containsText" text="Bege">
      <formula>NOT(ISERROR(SEARCH("Bege",M79)))</formula>
    </cfRule>
  </conditionalFormatting>
  <conditionalFormatting sqref="M79">
    <cfRule type="containsText" dxfId="4801" priority="2668" operator="containsText" text="Cinza">
      <formula>NOT(ISERROR(SEARCH("Cinza",M79)))</formula>
    </cfRule>
    <cfRule type="containsText" dxfId="4800" priority="2669" operator="containsText" text="Púrpura">
      <formula>NOT(ISERROR(SEARCH("Púrpura",M79)))</formula>
    </cfRule>
    <cfRule type="containsText" dxfId="4799" priority="2670" operator="containsText" text="Rosa">
      <formula>NOT(ISERROR(SEARCH("Rosa",M79)))</formula>
    </cfRule>
    <cfRule type="containsText" dxfId="4798" priority="2671" operator="containsText" text="Castanho">
      <formula>NOT(ISERROR(SEARCH("Castanho",M79)))</formula>
    </cfRule>
    <cfRule type="containsText" dxfId="4797" priority="2672" operator="containsText" text="Verde Água">
      <formula>NOT(ISERROR(SEARCH("Verde Água",M79)))</formula>
    </cfRule>
    <cfRule type="containsText" dxfId="4796" priority="2673" operator="containsText" text="Azul Petróleo">
      <formula>NOT(ISERROR(SEARCH("Azul Petróleo",M79)))</formula>
    </cfRule>
    <cfRule type="containsText" dxfId="4795" priority="2674" operator="containsText" text="Preto">
      <formula>NOT(ISERROR(SEARCH("Preto",M79)))</formula>
    </cfRule>
    <cfRule type="containsText" priority="2675" operator="containsText" text="Branco">
      <formula>NOT(ISERROR(SEARCH("Branco",M79)))</formula>
    </cfRule>
    <cfRule type="containsText" dxfId="4794" priority="2676" operator="containsText" text="Bege">
      <formula>NOT(ISERROR(SEARCH("Bege",M79)))</formula>
    </cfRule>
  </conditionalFormatting>
  <conditionalFormatting sqref="M79">
    <cfRule type="containsText" dxfId="4793" priority="2659" operator="containsText" text="Cinza">
      <formula>NOT(ISERROR(SEARCH("Cinza",M79)))</formula>
    </cfRule>
    <cfRule type="containsText" dxfId="4792" priority="2660" operator="containsText" text="Púrpura">
      <formula>NOT(ISERROR(SEARCH("Púrpura",M79)))</formula>
    </cfRule>
    <cfRule type="containsText" dxfId="4791" priority="2661" operator="containsText" text="Rosa">
      <formula>NOT(ISERROR(SEARCH("Rosa",M79)))</formula>
    </cfRule>
    <cfRule type="containsText" dxfId="4790" priority="2662" operator="containsText" text="Castanho">
      <formula>NOT(ISERROR(SEARCH("Castanho",M79)))</formula>
    </cfRule>
    <cfRule type="containsText" dxfId="4789" priority="2663" operator="containsText" text="Verde Água">
      <formula>NOT(ISERROR(SEARCH("Verde Água",M79)))</formula>
    </cfRule>
    <cfRule type="containsText" dxfId="4788" priority="2664" operator="containsText" text="Azul Petróleo">
      <formula>NOT(ISERROR(SEARCH("Azul Petróleo",M79)))</formula>
    </cfRule>
    <cfRule type="containsText" dxfId="4787" priority="2665" operator="containsText" text="Preto">
      <formula>NOT(ISERROR(SEARCH("Preto",M79)))</formula>
    </cfRule>
    <cfRule type="containsText" priority="2666" operator="containsText" text="Branco">
      <formula>NOT(ISERROR(SEARCH("Branco",M79)))</formula>
    </cfRule>
    <cfRule type="containsText" dxfId="4786" priority="2667" operator="containsText" text="Bege">
      <formula>NOT(ISERROR(SEARCH("Bege",M79)))</formula>
    </cfRule>
  </conditionalFormatting>
  <conditionalFormatting sqref="M79">
    <cfRule type="containsText" dxfId="4785" priority="2650" operator="containsText" text="Cinza">
      <formula>NOT(ISERROR(SEARCH("Cinza",M79)))</formula>
    </cfRule>
    <cfRule type="containsText" dxfId="4784" priority="2651" operator="containsText" text="Púrpura">
      <formula>NOT(ISERROR(SEARCH("Púrpura",M79)))</formula>
    </cfRule>
    <cfRule type="containsText" dxfId="4783" priority="2652" operator="containsText" text="Rosa">
      <formula>NOT(ISERROR(SEARCH("Rosa",M79)))</formula>
    </cfRule>
    <cfRule type="containsText" dxfId="4782" priority="2653" operator="containsText" text="Castanho">
      <formula>NOT(ISERROR(SEARCH("Castanho",M79)))</formula>
    </cfRule>
    <cfRule type="containsText" dxfId="4781" priority="2654" operator="containsText" text="Verde Água">
      <formula>NOT(ISERROR(SEARCH("Verde Água",M79)))</formula>
    </cfRule>
    <cfRule type="containsText" dxfId="4780" priority="2655" operator="containsText" text="Azul Petróleo">
      <formula>NOT(ISERROR(SEARCH("Azul Petróleo",M79)))</formula>
    </cfRule>
    <cfRule type="containsText" dxfId="4779" priority="2656" operator="containsText" text="Preto">
      <formula>NOT(ISERROR(SEARCH("Preto",M79)))</formula>
    </cfRule>
    <cfRule type="containsText" priority="2657" operator="containsText" text="Branco">
      <formula>NOT(ISERROR(SEARCH("Branco",M79)))</formula>
    </cfRule>
    <cfRule type="containsText" dxfId="4778" priority="2658" operator="containsText" text="Bege">
      <formula>NOT(ISERROR(SEARCH("Bege",M79)))</formula>
    </cfRule>
  </conditionalFormatting>
  <conditionalFormatting sqref="M79">
    <cfRule type="containsText" dxfId="4777" priority="2641" operator="containsText" text="Cinza">
      <formula>NOT(ISERROR(SEARCH("Cinza",M79)))</formula>
    </cfRule>
    <cfRule type="containsText" dxfId="4776" priority="2642" operator="containsText" text="Púrpura">
      <formula>NOT(ISERROR(SEARCH("Púrpura",M79)))</formula>
    </cfRule>
    <cfRule type="containsText" dxfId="4775" priority="2643" operator="containsText" text="Rosa">
      <formula>NOT(ISERROR(SEARCH("Rosa",M79)))</formula>
    </cfRule>
    <cfRule type="containsText" dxfId="4774" priority="2644" operator="containsText" text="Castanho">
      <formula>NOT(ISERROR(SEARCH("Castanho",M79)))</formula>
    </cfRule>
    <cfRule type="containsText" dxfId="4773" priority="2645" operator="containsText" text="Verde Água">
      <formula>NOT(ISERROR(SEARCH("Verde Água",M79)))</formula>
    </cfRule>
    <cfRule type="containsText" dxfId="4772" priority="2646" operator="containsText" text="Azul Petróleo">
      <formula>NOT(ISERROR(SEARCH("Azul Petróleo",M79)))</formula>
    </cfRule>
    <cfRule type="containsText" dxfId="4771" priority="2647" operator="containsText" text="Preto">
      <formula>NOT(ISERROR(SEARCH("Preto",M79)))</formula>
    </cfRule>
    <cfRule type="containsText" priority="2648" operator="containsText" text="Branco">
      <formula>NOT(ISERROR(SEARCH("Branco",M79)))</formula>
    </cfRule>
    <cfRule type="containsText" dxfId="4770" priority="2649" operator="containsText" text="Bege">
      <formula>NOT(ISERROR(SEARCH("Bege",M79)))</formula>
    </cfRule>
  </conditionalFormatting>
  <conditionalFormatting sqref="M79">
    <cfRule type="containsText" dxfId="4769" priority="2632" operator="containsText" text="Cinza">
      <formula>NOT(ISERROR(SEARCH("Cinza",M79)))</formula>
    </cfRule>
    <cfRule type="containsText" dxfId="4768" priority="2633" operator="containsText" text="Púrpura">
      <formula>NOT(ISERROR(SEARCH("Púrpura",M79)))</formula>
    </cfRule>
    <cfRule type="containsText" dxfId="4767" priority="2634" operator="containsText" text="Rosa">
      <formula>NOT(ISERROR(SEARCH("Rosa",M79)))</formula>
    </cfRule>
    <cfRule type="containsText" dxfId="4766" priority="2635" operator="containsText" text="Castanho">
      <formula>NOT(ISERROR(SEARCH("Castanho",M79)))</formula>
    </cfRule>
    <cfRule type="containsText" dxfId="4765" priority="2636" operator="containsText" text="Verde Água">
      <formula>NOT(ISERROR(SEARCH("Verde Água",M79)))</formula>
    </cfRule>
    <cfRule type="containsText" dxfId="4764" priority="2637" operator="containsText" text="Azul Petróleo">
      <formula>NOT(ISERROR(SEARCH("Azul Petróleo",M79)))</formula>
    </cfRule>
    <cfRule type="containsText" dxfId="4763" priority="2638" operator="containsText" text="Preto">
      <formula>NOT(ISERROR(SEARCH("Preto",M79)))</formula>
    </cfRule>
    <cfRule type="containsText" priority="2639" operator="containsText" text="Branco">
      <formula>NOT(ISERROR(SEARCH("Branco",M79)))</formula>
    </cfRule>
    <cfRule type="containsText" dxfId="4762" priority="2640" operator="containsText" text="Bege">
      <formula>NOT(ISERROR(SEARCH("Bege",M79)))</formula>
    </cfRule>
  </conditionalFormatting>
  <conditionalFormatting sqref="M79">
    <cfRule type="containsText" dxfId="4761" priority="2623" operator="containsText" text="Cinza">
      <formula>NOT(ISERROR(SEARCH("Cinza",M79)))</formula>
    </cfRule>
    <cfRule type="containsText" dxfId="4760" priority="2624" operator="containsText" text="Púrpura">
      <formula>NOT(ISERROR(SEARCH("Púrpura",M79)))</formula>
    </cfRule>
    <cfRule type="containsText" dxfId="4759" priority="2625" operator="containsText" text="Rosa">
      <formula>NOT(ISERROR(SEARCH("Rosa",M79)))</formula>
    </cfRule>
    <cfRule type="containsText" dxfId="4758" priority="2626" operator="containsText" text="Castanho">
      <formula>NOT(ISERROR(SEARCH("Castanho",M79)))</formula>
    </cfRule>
    <cfRule type="containsText" dxfId="4757" priority="2627" operator="containsText" text="Verde Água">
      <formula>NOT(ISERROR(SEARCH("Verde Água",M79)))</formula>
    </cfRule>
    <cfRule type="containsText" dxfId="4756" priority="2628" operator="containsText" text="Azul Petróleo">
      <formula>NOT(ISERROR(SEARCH("Azul Petróleo",M79)))</formula>
    </cfRule>
    <cfRule type="containsText" dxfId="4755" priority="2629" operator="containsText" text="Preto">
      <formula>NOT(ISERROR(SEARCH("Preto",M79)))</formula>
    </cfRule>
    <cfRule type="containsText" priority="2630" operator="containsText" text="Branco">
      <formula>NOT(ISERROR(SEARCH("Branco",M79)))</formula>
    </cfRule>
    <cfRule type="containsText" dxfId="4754" priority="2631" operator="containsText" text="Bege">
      <formula>NOT(ISERROR(SEARCH("Bege",M79)))</formula>
    </cfRule>
  </conditionalFormatting>
  <conditionalFormatting sqref="M79">
    <cfRule type="containsText" dxfId="4753" priority="2614" operator="containsText" text="Cinza">
      <formula>NOT(ISERROR(SEARCH("Cinza",M79)))</formula>
    </cfRule>
    <cfRule type="containsText" dxfId="4752" priority="2615" operator="containsText" text="Púrpura">
      <formula>NOT(ISERROR(SEARCH("Púrpura",M79)))</formula>
    </cfRule>
    <cfRule type="containsText" dxfId="4751" priority="2616" operator="containsText" text="Rosa">
      <formula>NOT(ISERROR(SEARCH("Rosa",M79)))</formula>
    </cfRule>
    <cfRule type="containsText" dxfId="4750" priority="2617" operator="containsText" text="Castanho">
      <formula>NOT(ISERROR(SEARCH("Castanho",M79)))</formula>
    </cfRule>
    <cfRule type="containsText" dxfId="4749" priority="2618" operator="containsText" text="Verde Água">
      <formula>NOT(ISERROR(SEARCH("Verde Água",M79)))</formula>
    </cfRule>
    <cfRule type="containsText" dxfId="4748" priority="2619" operator="containsText" text="Azul Petróleo">
      <formula>NOT(ISERROR(SEARCH("Azul Petróleo",M79)))</formula>
    </cfRule>
    <cfRule type="containsText" dxfId="4747" priority="2620" operator="containsText" text="Preto">
      <formula>NOT(ISERROR(SEARCH("Preto",M79)))</formula>
    </cfRule>
    <cfRule type="containsText" priority="2621" operator="containsText" text="Branco">
      <formula>NOT(ISERROR(SEARCH("Branco",M79)))</formula>
    </cfRule>
    <cfRule type="containsText" dxfId="4746" priority="2622" operator="containsText" text="Bege">
      <formula>NOT(ISERROR(SEARCH("Bege",M79)))</formula>
    </cfRule>
  </conditionalFormatting>
  <conditionalFormatting sqref="M79">
    <cfRule type="containsText" dxfId="4745" priority="2605" operator="containsText" text="Cinza">
      <formula>NOT(ISERROR(SEARCH("Cinza",M79)))</formula>
    </cfRule>
    <cfRule type="containsText" dxfId="4744" priority="2606" operator="containsText" text="Púrpura">
      <formula>NOT(ISERROR(SEARCH("Púrpura",M79)))</formula>
    </cfRule>
    <cfRule type="containsText" dxfId="4743" priority="2607" operator="containsText" text="Rosa">
      <formula>NOT(ISERROR(SEARCH("Rosa",M79)))</formula>
    </cfRule>
    <cfRule type="containsText" dxfId="4742" priority="2608" operator="containsText" text="Castanho">
      <formula>NOT(ISERROR(SEARCH("Castanho",M79)))</formula>
    </cfRule>
    <cfRule type="containsText" dxfId="4741" priority="2609" operator="containsText" text="Verde Água">
      <formula>NOT(ISERROR(SEARCH("Verde Água",M79)))</formula>
    </cfRule>
    <cfRule type="containsText" dxfId="4740" priority="2610" operator="containsText" text="Azul Petróleo">
      <formula>NOT(ISERROR(SEARCH("Azul Petróleo",M79)))</formula>
    </cfRule>
    <cfRule type="containsText" dxfId="4739" priority="2611" operator="containsText" text="Preto">
      <formula>NOT(ISERROR(SEARCH("Preto",M79)))</formula>
    </cfRule>
    <cfRule type="containsText" priority="2612" operator="containsText" text="Branco">
      <formula>NOT(ISERROR(SEARCH("Branco",M79)))</formula>
    </cfRule>
    <cfRule type="containsText" dxfId="4738" priority="2613" operator="containsText" text="Bege">
      <formula>NOT(ISERROR(SEARCH("Bege",M79)))</formula>
    </cfRule>
  </conditionalFormatting>
  <conditionalFormatting sqref="M79">
    <cfRule type="containsText" dxfId="4737" priority="2596" operator="containsText" text="Cinza">
      <formula>NOT(ISERROR(SEARCH("Cinza",M79)))</formula>
    </cfRule>
    <cfRule type="containsText" dxfId="4736" priority="2597" operator="containsText" text="Púrpura">
      <formula>NOT(ISERROR(SEARCH("Púrpura",M79)))</formula>
    </cfRule>
    <cfRule type="containsText" dxfId="4735" priority="2598" operator="containsText" text="Rosa">
      <formula>NOT(ISERROR(SEARCH("Rosa",M79)))</formula>
    </cfRule>
    <cfRule type="containsText" dxfId="4734" priority="2599" operator="containsText" text="Castanho">
      <formula>NOT(ISERROR(SEARCH("Castanho",M79)))</formula>
    </cfRule>
    <cfRule type="containsText" dxfId="4733" priority="2600" operator="containsText" text="Verde Água">
      <formula>NOT(ISERROR(SEARCH("Verde Água",M79)))</formula>
    </cfRule>
    <cfRule type="containsText" dxfId="4732" priority="2601" operator="containsText" text="Azul Petróleo">
      <formula>NOT(ISERROR(SEARCH("Azul Petróleo",M79)))</formula>
    </cfRule>
    <cfRule type="containsText" dxfId="4731" priority="2602" operator="containsText" text="Preto">
      <formula>NOT(ISERROR(SEARCH("Preto",M79)))</formula>
    </cfRule>
    <cfRule type="containsText" priority="2603" operator="containsText" text="Branco">
      <formula>NOT(ISERROR(SEARCH("Branco",M79)))</formula>
    </cfRule>
    <cfRule type="containsText" dxfId="4730" priority="2604" operator="containsText" text="Bege">
      <formula>NOT(ISERROR(SEARCH("Bege",M79)))</formula>
    </cfRule>
  </conditionalFormatting>
  <conditionalFormatting sqref="M79">
    <cfRule type="containsText" dxfId="4729" priority="2587" operator="containsText" text="Cinza">
      <formula>NOT(ISERROR(SEARCH("Cinza",M79)))</formula>
    </cfRule>
    <cfRule type="containsText" dxfId="4728" priority="2588" operator="containsText" text="Púrpura">
      <formula>NOT(ISERROR(SEARCH("Púrpura",M79)))</formula>
    </cfRule>
    <cfRule type="containsText" dxfId="4727" priority="2589" operator="containsText" text="Rosa">
      <formula>NOT(ISERROR(SEARCH("Rosa",M79)))</formula>
    </cfRule>
    <cfRule type="containsText" dxfId="4726" priority="2590" operator="containsText" text="Castanho">
      <formula>NOT(ISERROR(SEARCH("Castanho",M79)))</formula>
    </cfRule>
    <cfRule type="containsText" dxfId="4725" priority="2591" operator="containsText" text="Verde Água">
      <formula>NOT(ISERROR(SEARCH("Verde Água",M79)))</formula>
    </cfRule>
    <cfRule type="containsText" dxfId="4724" priority="2592" operator="containsText" text="Azul Petróleo">
      <formula>NOT(ISERROR(SEARCH("Azul Petróleo",M79)))</formula>
    </cfRule>
    <cfRule type="containsText" dxfId="4723" priority="2593" operator="containsText" text="Preto">
      <formula>NOT(ISERROR(SEARCH("Preto",M79)))</formula>
    </cfRule>
    <cfRule type="containsText" priority="2594" operator="containsText" text="Branco">
      <formula>NOT(ISERROR(SEARCH("Branco",M79)))</formula>
    </cfRule>
    <cfRule type="containsText" dxfId="4722" priority="2595" operator="containsText" text="Bege">
      <formula>NOT(ISERROR(SEARCH("Bege",M79)))</formula>
    </cfRule>
  </conditionalFormatting>
  <conditionalFormatting sqref="M79">
    <cfRule type="containsText" dxfId="4721" priority="2578" operator="containsText" text="Cinza">
      <formula>NOT(ISERROR(SEARCH("Cinza",M79)))</formula>
    </cfRule>
    <cfRule type="containsText" dxfId="4720" priority="2579" operator="containsText" text="Púrpura">
      <formula>NOT(ISERROR(SEARCH("Púrpura",M79)))</formula>
    </cfRule>
    <cfRule type="containsText" dxfId="4719" priority="2580" operator="containsText" text="Rosa">
      <formula>NOT(ISERROR(SEARCH("Rosa",M79)))</formula>
    </cfRule>
    <cfRule type="containsText" dxfId="4718" priority="2581" operator="containsText" text="Castanho">
      <formula>NOT(ISERROR(SEARCH("Castanho",M79)))</formula>
    </cfRule>
    <cfRule type="containsText" dxfId="4717" priority="2582" operator="containsText" text="Verde Água">
      <formula>NOT(ISERROR(SEARCH("Verde Água",M79)))</formula>
    </cfRule>
    <cfRule type="containsText" dxfId="4716" priority="2583" operator="containsText" text="Azul Petróleo">
      <formula>NOT(ISERROR(SEARCH("Azul Petróleo",M79)))</formula>
    </cfRule>
    <cfRule type="containsText" dxfId="4715" priority="2584" operator="containsText" text="Preto">
      <formula>NOT(ISERROR(SEARCH("Preto",M79)))</formula>
    </cfRule>
    <cfRule type="containsText" priority="2585" operator="containsText" text="Branco">
      <formula>NOT(ISERROR(SEARCH("Branco",M79)))</formula>
    </cfRule>
    <cfRule type="containsText" dxfId="4714" priority="2586" operator="containsText" text="Bege">
      <formula>NOT(ISERROR(SEARCH("Bege",M79)))</formula>
    </cfRule>
  </conditionalFormatting>
  <conditionalFormatting sqref="M79">
    <cfRule type="containsText" dxfId="4713" priority="2569" operator="containsText" text="Cinza">
      <formula>NOT(ISERROR(SEARCH("Cinza",M79)))</formula>
    </cfRule>
    <cfRule type="containsText" dxfId="4712" priority="2570" operator="containsText" text="Púrpura">
      <formula>NOT(ISERROR(SEARCH("Púrpura",M79)))</formula>
    </cfRule>
    <cfRule type="containsText" dxfId="4711" priority="2571" operator="containsText" text="Rosa">
      <formula>NOT(ISERROR(SEARCH("Rosa",M79)))</formula>
    </cfRule>
    <cfRule type="containsText" dxfId="4710" priority="2572" operator="containsText" text="Castanho">
      <formula>NOT(ISERROR(SEARCH("Castanho",M79)))</formula>
    </cfRule>
    <cfRule type="containsText" dxfId="4709" priority="2573" operator="containsText" text="Verde Água">
      <formula>NOT(ISERROR(SEARCH("Verde Água",M79)))</formula>
    </cfRule>
    <cfRule type="containsText" dxfId="4708" priority="2574" operator="containsText" text="Azul Petróleo">
      <formula>NOT(ISERROR(SEARCH("Azul Petróleo",M79)))</formula>
    </cfRule>
    <cfRule type="containsText" dxfId="4707" priority="2575" operator="containsText" text="Preto">
      <formula>NOT(ISERROR(SEARCH("Preto",M79)))</formula>
    </cfRule>
    <cfRule type="containsText" priority="2576" operator="containsText" text="Branco">
      <formula>NOT(ISERROR(SEARCH("Branco",M79)))</formula>
    </cfRule>
    <cfRule type="containsText" dxfId="4706" priority="2577" operator="containsText" text="Bege">
      <formula>NOT(ISERROR(SEARCH("Bege",M79)))</formula>
    </cfRule>
  </conditionalFormatting>
  <conditionalFormatting sqref="M79">
    <cfRule type="containsText" dxfId="4705" priority="2560" operator="containsText" text="Cinza">
      <formula>NOT(ISERROR(SEARCH("Cinza",M79)))</formula>
    </cfRule>
    <cfRule type="containsText" dxfId="4704" priority="2561" operator="containsText" text="Púrpura">
      <formula>NOT(ISERROR(SEARCH("Púrpura",M79)))</formula>
    </cfRule>
    <cfRule type="containsText" dxfId="4703" priority="2562" operator="containsText" text="Rosa">
      <formula>NOT(ISERROR(SEARCH("Rosa",M79)))</formula>
    </cfRule>
    <cfRule type="containsText" dxfId="4702" priority="2563" operator="containsText" text="Castanho">
      <formula>NOT(ISERROR(SEARCH("Castanho",M79)))</formula>
    </cfRule>
    <cfRule type="containsText" dxfId="4701" priority="2564" operator="containsText" text="Verde Água">
      <formula>NOT(ISERROR(SEARCH("Verde Água",M79)))</formula>
    </cfRule>
    <cfRule type="containsText" dxfId="4700" priority="2565" operator="containsText" text="Azul Petróleo">
      <formula>NOT(ISERROR(SEARCH("Azul Petróleo",M79)))</formula>
    </cfRule>
    <cfRule type="containsText" dxfId="4699" priority="2566" operator="containsText" text="Preto">
      <formula>NOT(ISERROR(SEARCH("Preto",M79)))</formula>
    </cfRule>
    <cfRule type="containsText" priority="2567" operator="containsText" text="Branco">
      <formula>NOT(ISERROR(SEARCH("Branco",M79)))</formula>
    </cfRule>
    <cfRule type="containsText" dxfId="4698" priority="2568" operator="containsText" text="Bege">
      <formula>NOT(ISERROR(SEARCH("Bege",M79)))</formula>
    </cfRule>
  </conditionalFormatting>
  <conditionalFormatting sqref="M79">
    <cfRule type="containsText" dxfId="4697" priority="2551" operator="containsText" text="Cinza">
      <formula>NOT(ISERROR(SEARCH("Cinza",M79)))</formula>
    </cfRule>
    <cfRule type="containsText" dxfId="4696" priority="2552" operator="containsText" text="Púrpura">
      <formula>NOT(ISERROR(SEARCH("Púrpura",M79)))</formula>
    </cfRule>
    <cfRule type="containsText" dxfId="4695" priority="2553" operator="containsText" text="Rosa">
      <formula>NOT(ISERROR(SEARCH("Rosa",M79)))</formula>
    </cfRule>
    <cfRule type="containsText" dxfId="4694" priority="2554" operator="containsText" text="Castanho">
      <formula>NOT(ISERROR(SEARCH("Castanho",M79)))</formula>
    </cfRule>
    <cfRule type="containsText" dxfId="4693" priority="2555" operator="containsText" text="Verde Água">
      <formula>NOT(ISERROR(SEARCH("Verde Água",M79)))</formula>
    </cfRule>
    <cfRule type="containsText" dxfId="4692" priority="2556" operator="containsText" text="Azul Petróleo">
      <formula>NOT(ISERROR(SEARCH("Azul Petróleo",M79)))</formula>
    </cfRule>
    <cfRule type="containsText" dxfId="4691" priority="2557" operator="containsText" text="Preto">
      <formula>NOT(ISERROR(SEARCH("Preto",M79)))</formula>
    </cfRule>
    <cfRule type="containsText" priority="2558" operator="containsText" text="Branco">
      <formula>NOT(ISERROR(SEARCH("Branco",M79)))</formula>
    </cfRule>
    <cfRule type="containsText" dxfId="4690" priority="2559" operator="containsText" text="Bege">
      <formula>NOT(ISERROR(SEARCH("Bege",M79)))</formula>
    </cfRule>
  </conditionalFormatting>
  <conditionalFormatting sqref="M79">
    <cfRule type="containsText" dxfId="4689" priority="2542" operator="containsText" text="Cinza">
      <formula>NOT(ISERROR(SEARCH("Cinza",M79)))</formula>
    </cfRule>
    <cfRule type="containsText" dxfId="4688" priority="2543" operator="containsText" text="Púrpura">
      <formula>NOT(ISERROR(SEARCH("Púrpura",M79)))</formula>
    </cfRule>
    <cfRule type="containsText" dxfId="4687" priority="2544" operator="containsText" text="Rosa">
      <formula>NOT(ISERROR(SEARCH("Rosa",M79)))</formula>
    </cfRule>
    <cfRule type="containsText" dxfId="4686" priority="2545" operator="containsText" text="Castanho">
      <formula>NOT(ISERROR(SEARCH("Castanho",M79)))</formula>
    </cfRule>
    <cfRule type="containsText" dxfId="4685" priority="2546" operator="containsText" text="Verde Água">
      <formula>NOT(ISERROR(SEARCH("Verde Água",M79)))</formula>
    </cfRule>
    <cfRule type="containsText" dxfId="4684" priority="2547" operator="containsText" text="Azul Petróleo">
      <formula>NOT(ISERROR(SEARCH("Azul Petróleo",M79)))</formula>
    </cfRule>
    <cfRule type="containsText" dxfId="4683" priority="2548" operator="containsText" text="Preto">
      <formula>NOT(ISERROR(SEARCH("Preto",M79)))</formula>
    </cfRule>
    <cfRule type="containsText" priority="2549" operator="containsText" text="Branco">
      <formula>NOT(ISERROR(SEARCH("Branco",M79)))</formula>
    </cfRule>
    <cfRule type="containsText" dxfId="4682" priority="2550" operator="containsText" text="Bege">
      <formula>NOT(ISERROR(SEARCH("Bege",M79)))</formula>
    </cfRule>
  </conditionalFormatting>
  <conditionalFormatting sqref="M79">
    <cfRule type="containsText" dxfId="4681" priority="2533" operator="containsText" text="Cinza">
      <formula>NOT(ISERROR(SEARCH("Cinza",M79)))</formula>
    </cfRule>
    <cfRule type="containsText" dxfId="4680" priority="2534" operator="containsText" text="Púrpura">
      <formula>NOT(ISERROR(SEARCH("Púrpura",M79)))</formula>
    </cfRule>
    <cfRule type="containsText" dxfId="4679" priority="2535" operator="containsText" text="Rosa">
      <formula>NOT(ISERROR(SEARCH("Rosa",M79)))</formula>
    </cfRule>
    <cfRule type="containsText" dxfId="4678" priority="2536" operator="containsText" text="Castanho">
      <formula>NOT(ISERROR(SEARCH("Castanho",M79)))</formula>
    </cfRule>
    <cfRule type="containsText" dxfId="4677" priority="2537" operator="containsText" text="Verde Água">
      <formula>NOT(ISERROR(SEARCH("Verde Água",M79)))</formula>
    </cfRule>
    <cfRule type="containsText" dxfId="4676" priority="2538" operator="containsText" text="Azul Petróleo">
      <formula>NOT(ISERROR(SEARCH("Azul Petróleo",M79)))</formula>
    </cfRule>
    <cfRule type="containsText" dxfId="4675" priority="2539" operator="containsText" text="Preto">
      <formula>NOT(ISERROR(SEARCH("Preto",M79)))</formula>
    </cfRule>
    <cfRule type="containsText" priority="2540" operator="containsText" text="Branco">
      <formula>NOT(ISERROR(SEARCH("Branco",M79)))</formula>
    </cfRule>
    <cfRule type="containsText" dxfId="4674" priority="2541" operator="containsText" text="Bege">
      <formula>NOT(ISERROR(SEARCH("Bege",M79)))</formula>
    </cfRule>
  </conditionalFormatting>
  <conditionalFormatting sqref="M79">
    <cfRule type="containsText" dxfId="4673" priority="2524" operator="containsText" text="Cinza">
      <formula>NOT(ISERROR(SEARCH("Cinza",M79)))</formula>
    </cfRule>
    <cfRule type="containsText" dxfId="4672" priority="2525" operator="containsText" text="Púrpura">
      <formula>NOT(ISERROR(SEARCH("Púrpura",M79)))</formula>
    </cfRule>
    <cfRule type="containsText" dxfId="4671" priority="2526" operator="containsText" text="Rosa">
      <formula>NOT(ISERROR(SEARCH("Rosa",M79)))</formula>
    </cfRule>
    <cfRule type="containsText" dxfId="4670" priority="2527" operator="containsText" text="Castanho">
      <formula>NOT(ISERROR(SEARCH("Castanho",M79)))</formula>
    </cfRule>
    <cfRule type="containsText" dxfId="4669" priority="2528" operator="containsText" text="Verde Água">
      <formula>NOT(ISERROR(SEARCH("Verde Água",M79)))</formula>
    </cfRule>
    <cfRule type="containsText" dxfId="4668" priority="2529" operator="containsText" text="Azul Petróleo">
      <formula>NOT(ISERROR(SEARCH("Azul Petróleo",M79)))</formula>
    </cfRule>
    <cfRule type="containsText" dxfId="4667" priority="2530" operator="containsText" text="Preto">
      <formula>NOT(ISERROR(SEARCH("Preto",M79)))</formula>
    </cfRule>
    <cfRule type="containsText" priority="2531" operator="containsText" text="Branco">
      <formula>NOT(ISERROR(SEARCH("Branco",M79)))</formula>
    </cfRule>
    <cfRule type="containsText" dxfId="4666" priority="2532" operator="containsText" text="Bege">
      <formula>NOT(ISERROR(SEARCH("Bege",M79)))</formula>
    </cfRule>
  </conditionalFormatting>
  <conditionalFormatting sqref="M79">
    <cfRule type="containsText" dxfId="4665" priority="2515" operator="containsText" text="Cinza">
      <formula>NOT(ISERROR(SEARCH("Cinza",M79)))</formula>
    </cfRule>
    <cfRule type="containsText" dxfId="4664" priority="2516" operator="containsText" text="Púrpura">
      <formula>NOT(ISERROR(SEARCH("Púrpura",M79)))</formula>
    </cfRule>
    <cfRule type="containsText" dxfId="4663" priority="2517" operator="containsText" text="Rosa">
      <formula>NOT(ISERROR(SEARCH("Rosa",M79)))</formula>
    </cfRule>
    <cfRule type="containsText" dxfId="4662" priority="2518" operator="containsText" text="Castanho">
      <formula>NOT(ISERROR(SEARCH("Castanho",M79)))</formula>
    </cfRule>
    <cfRule type="containsText" dxfId="4661" priority="2519" operator="containsText" text="Verde Água">
      <formula>NOT(ISERROR(SEARCH("Verde Água",M79)))</formula>
    </cfRule>
    <cfRule type="containsText" dxfId="4660" priority="2520" operator="containsText" text="Azul Petróleo">
      <formula>NOT(ISERROR(SEARCH("Azul Petróleo",M79)))</formula>
    </cfRule>
    <cfRule type="containsText" dxfId="4659" priority="2521" operator="containsText" text="Preto">
      <formula>NOT(ISERROR(SEARCH("Preto",M79)))</formula>
    </cfRule>
    <cfRule type="containsText" priority="2522" operator="containsText" text="Branco">
      <formula>NOT(ISERROR(SEARCH("Branco",M79)))</formula>
    </cfRule>
    <cfRule type="containsText" dxfId="4658" priority="2523" operator="containsText" text="Bege">
      <formula>NOT(ISERROR(SEARCH("Bege",M79)))</formula>
    </cfRule>
  </conditionalFormatting>
  <conditionalFormatting sqref="M79">
    <cfRule type="containsText" dxfId="4657" priority="2506" operator="containsText" text="Cinza">
      <formula>NOT(ISERROR(SEARCH("Cinza",M79)))</formula>
    </cfRule>
    <cfRule type="containsText" dxfId="4656" priority="2507" operator="containsText" text="Púrpura">
      <formula>NOT(ISERROR(SEARCH("Púrpura",M79)))</formula>
    </cfRule>
    <cfRule type="containsText" dxfId="4655" priority="2508" operator="containsText" text="Rosa">
      <formula>NOT(ISERROR(SEARCH("Rosa",M79)))</formula>
    </cfRule>
    <cfRule type="containsText" dxfId="4654" priority="2509" operator="containsText" text="Castanho">
      <formula>NOT(ISERROR(SEARCH("Castanho",M79)))</formula>
    </cfRule>
    <cfRule type="containsText" dxfId="4653" priority="2510" operator="containsText" text="Verde Água">
      <formula>NOT(ISERROR(SEARCH("Verde Água",M79)))</formula>
    </cfRule>
    <cfRule type="containsText" dxfId="4652" priority="2511" operator="containsText" text="Azul Petróleo">
      <formula>NOT(ISERROR(SEARCH("Azul Petróleo",M79)))</formula>
    </cfRule>
    <cfRule type="containsText" dxfId="4651" priority="2512" operator="containsText" text="Preto">
      <formula>NOT(ISERROR(SEARCH("Preto",M79)))</formula>
    </cfRule>
    <cfRule type="containsText" priority="2513" operator="containsText" text="Branco">
      <formula>NOT(ISERROR(SEARCH("Branco",M79)))</formula>
    </cfRule>
    <cfRule type="containsText" dxfId="4650" priority="2514" operator="containsText" text="Bege">
      <formula>NOT(ISERROR(SEARCH("Bege",M79)))</formula>
    </cfRule>
  </conditionalFormatting>
  <conditionalFormatting sqref="M79">
    <cfRule type="containsText" dxfId="4649" priority="2497" operator="containsText" text="Cinza">
      <formula>NOT(ISERROR(SEARCH("Cinza",M79)))</formula>
    </cfRule>
    <cfRule type="containsText" dxfId="4648" priority="2498" operator="containsText" text="Púrpura">
      <formula>NOT(ISERROR(SEARCH("Púrpura",M79)))</formula>
    </cfRule>
    <cfRule type="containsText" dxfId="4647" priority="2499" operator="containsText" text="Rosa">
      <formula>NOT(ISERROR(SEARCH("Rosa",M79)))</formula>
    </cfRule>
    <cfRule type="containsText" dxfId="4646" priority="2500" operator="containsText" text="Castanho">
      <formula>NOT(ISERROR(SEARCH("Castanho",M79)))</formula>
    </cfRule>
    <cfRule type="containsText" dxfId="4645" priority="2501" operator="containsText" text="Verde Água">
      <formula>NOT(ISERROR(SEARCH("Verde Água",M79)))</formula>
    </cfRule>
    <cfRule type="containsText" dxfId="4644" priority="2502" operator="containsText" text="Azul Petróleo">
      <formula>NOT(ISERROR(SEARCH("Azul Petróleo",M79)))</formula>
    </cfRule>
    <cfRule type="containsText" dxfId="4643" priority="2503" operator="containsText" text="Preto">
      <formula>NOT(ISERROR(SEARCH("Preto",M79)))</formula>
    </cfRule>
    <cfRule type="containsText" priority="2504" operator="containsText" text="Branco">
      <formula>NOT(ISERROR(SEARCH("Branco",M79)))</formula>
    </cfRule>
    <cfRule type="containsText" dxfId="4642" priority="2505" operator="containsText" text="Bege">
      <formula>NOT(ISERROR(SEARCH("Bege",M79)))</formula>
    </cfRule>
  </conditionalFormatting>
  <conditionalFormatting sqref="M79">
    <cfRule type="containsText" dxfId="4641" priority="2488" operator="containsText" text="Cinza">
      <formula>NOT(ISERROR(SEARCH("Cinza",M79)))</formula>
    </cfRule>
    <cfRule type="containsText" dxfId="4640" priority="2489" operator="containsText" text="Púrpura">
      <formula>NOT(ISERROR(SEARCH("Púrpura",M79)))</formula>
    </cfRule>
    <cfRule type="containsText" dxfId="4639" priority="2490" operator="containsText" text="Rosa">
      <formula>NOT(ISERROR(SEARCH("Rosa",M79)))</formula>
    </cfRule>
    <cfRule type="containsText" dxfId="4638" priority="2491" operator="containsText" text="Castanho">
      <formula>NOT(ISERROR(SEARCH("Castanho",M79)))</formula>
    </cfRule>
    <cfRule type="containsText" dxfId="4637" priority="2492" operator="containsText" text="Verde Água">
      <formula>NOT(ISERROR(SEARCH("Verde Água",M79)))</formula>
    </cfRule>
    <cfRule type="containsText" dxfId="4636" priority="2493" operator="containsText" text="Azul Petróleo">
      <formula>NOT(ISERROR(SEARCH("Azul Petróleo",M79)))</formula>
    </cfRule>
    <cfRule type="containsText" dxfId="4635" priority="2494" operator="containsText" text="Preto">
      <formula>NOT(ISERROR(SEARCH("Preto",M79)))</formula>
    </cfRule>
    <cfRule type="containsText" priority="2495" operator="containsText" text="Branco">
      <formula>NOT(ISERROR(SEARCH("Branco",M79)))</formula>
    </cfRule>
    <cfRule type="containsText" dxfId="4634" priority="2496" operator="containsText" text="Bege">
      <formula>NOT(ISERROR(SEARCH("Bege",M79)))</formula>
    </cfRule>
  </conditionalFormatting>
  <conditionalFormatting sqref="M79">
    <cfRule type="containsText" dxfId="4633" priority="2479" operator="containsText" text="Cinza">
      <formula>NOT(ISERROR(SEARCH("Cinza",M79)))</formula>
    </cfRule>
    <cfRule type="containsText" dxfId="4632" priority="2480" operator="containsText" text="Púrpura">
      <formula>NOT(ISERROR(SEARCH("Púrpura",M79)))</formula>
    </cfRule>
    <cfRule type="containsText" dxfId="4631" priority="2481" operator="containsText" text="Rosa">
      <formula>NOT(ISERROR(SEARCH("Rosa",M79)))</formula>
    </cfRule>
    <cfRule type="containsText" dxfId="4630" priority="2482" operator="containsText" text="Castanho">
      <formula>NOT(ISERROR(SEARCH("Castanho",M79)))</formula>
    </cfRule>
    <cfRule type="containsText" dxfId="4629" priority="2483" operator="containsText" text="Verde Água">
      <formula>NOT(ISERROR(SEARCH("Verde Água",M79)))</formula>
    </cfRule>
    <cfRule type="containsText" dxfId="4628" priority="2484" operator="containsText" text="Azul Petróleo">
      <formula>NOT(ISERROR(SEARCH("Azul Petróleo",M79)))</formula>
    </cfRule>
    <cfRule type="containsText" dxfId="4627" priority="2485" operator="containsText" text="Preto">
      <formula>NOT(ISERROR(SEARCH("Preto",M79)))</formula>
    </cfRule>
    <cfRule type="containsText" priority="2486" operator="containsText" text="Branco">
      <formula>NOT(ISERROR(SEARCH("Branco",M79)))</formula>
    </cfRule>
    <cfRule type="containsText" dxfId="4626" priority="2487" operator="containsText" text="Bege">
      <formula>NOT(ISERROR(SEARCH("Bege",M79)))</formula>
    </cfRule>
  </conditionalFormatting>
  <conditionalFormatting sqref="M79">
    <cfRule type="containsText" dxfId="4625" priority="2470" operator="containsText" text="Cinza">
      <formula>NOT(ISERROR(SEARCH("Cinza",M79)))</formula>
    </cfRule>
    <cfRule type="containsText" dxfId="4624" priority="2471" operator="containsText" text="Púrpura">
      <formula>NOT(ISERROR(SEARCH("Púrpura",M79)))</formula>
    </cfRule>
    <cfRule type="containsText" dxfId="4623" priority="2472" operator="containsText" text="Rosa">
      <formula>NOT(ISERROR(SEARCH("Rosa",M79)))</formula>
    </cfRule>
    <cfRule type="containsText" dxfId="4622" priority="2473" operator="containsText" text="Castanho">
      <formula>NOT(ISERROR(SEARCH("Castanho",M79)))</formula>
    </cfRule>
    <cfRule type="containsText" dxfId="4621" priority="2474" operator="containsText" text="Verde Água">
      <formula>NOT(ISERROR(SEARCH("Verde Água",M79)))</formula>
    </cfRule>
    <cfRule type="containsText" dxfId="4620" priority="2475" operator="containsText" text="Azul Petróleo">
      <formula>NOT(ISERROR(SEARCH("Azul Petróleo",M79)))</formula>
    </cfRule>
    <cfRule type="containsText" dxfId="4619" priority="2476" operator="containsText" text="Preto">
      <formula>NOT(ISERROR(SEARCH("Preto",M79)))</formula>
    </cfRule>
    <cfRule type="containsText" priority="2477" operator="containsText" text="Branco">
      <formula>NOT(ISERROR(SEARCH("Branco",M79)))</formula>
    </cfRule>
    <cfRule type="containsText" dxfId="4618" priority="2478" operator="containsText" text="Bege">
      <formula>NOT(ISERROR(SEARCH("Bege",M79)))</formula>
    </cfRule>
  </conditionalFormatting>
  <conditionalFormatting sqref="M79">
    <cfRule type="containsText" dxfId="4617" priority="2461" operator="containsText" text="Cinza">
      <formula>NOT(ISERROR(SEARCH("Cinza",M79)))</formula>
    </cfRule>
    <cfRule type="containsText" dxfId="4616" priority="2462" operator="containsText" text="Púrpura">
      <formula>NOT(ISERROR(SEARCH("Púrpura",M79)))</formula>
    </cfRule>
    <cfRule type="containsText" dxfId="4615" priority="2463" operator="containsText" text="Rosa">
      <formula>NOT(ISERROR(SEARCH("Rosa",M79)))</formula>
    </cfRule>
    <cfRule type="containsText" dxfId="4614" priority="2464" operator="containsText" text="Castanho">
      <formula>NOT(ISERROR(SEARCH("Castanho",M79)))</formula>
    </cfRule>
    <cfRule type="containsText" dxfId="4613" priority="2465" operator="containsText" text="Verde Água">
      <formula>NOT(ISERROR(SEARCH("Verde Água",M79)))</formula>
    </cfRule>
    <cfRule type="containsText" dxfId="4612" priority="2466" operator="containsText" text="Azul Petróleo">
      <formula>NOT(ISERROR(SEARCH("Azul Petróleo",M79)))</formula>
    </cfRule>
    <cfRule type="containsText" dxfId="4611" priority="2467" operator="containsText" text="Preto">
      <formula>NOT(ISERROR(SEARCH("Preto",M79)))</formula>
    </cfRule>
    <cfRule type="containsText" priority="2468" operator="containsText" text="Branco">
      <formula>NOT(ISERROR(SEARCH("Branco",M79)))</formula>
    </cfRule>
    <cfRule type="containsText" dxfId="4610" priority="2469" operator="containsText" text="Bege">
      <formula>NOT(ISERROR(SEARCH("Bege",M79)))</formula>
    </cfRule>
  </conditionalFormatting>
  <conditionalFormatting sqref="M79">
    <cfRule type="containsText" dxfId="4609" priority="2452" operator="containsText" text="Cinza">
      <formula>NOT(ISERROR(SEARCH("Cinza",M79)))</formula>
    </cfRule>
    <cfRule type="containsText" dxfId="4608" priority="2453" operator="containsText" text="Púrpura">
      <formula>NOT(ISERROR(SEARCH("Púrpura",M79)))</formula>
    </cfRule>
    <cfRule type="containsText" dxfId="4607" priority="2454" operator="containsText" text="Rosa">
      <formula>NOT(ISERROR(SEARCH("Rosa",M79)))</formula>
    </cfRule>
    <cfRule type="containsText" dxfId="4606" priority="2455" operator="containsText" text="Castanho">
      <formula>NOT(ISERROR(SEARCH("Castanho",M79)))</formula>
    </cfRule>
    <cfRule type="containsText" dxfId="4605" priority="2456" operator="containsText" text="Verde Água">
      <formula>NOT(ISERROR(SEARCH("Verde Água",M79)))</formula>
    </cfRule>
    <cfRule type="containsText" dxfId="4604" priority="2457" operator="containsText" text="Azul Petróleo">
      <formula>NOT(ISERROR(SEARCH("Azul Petróleo",M79)))</formula>
    </cfRule>
    <cfRule type="containsText" dxfId="4603" priority="2458" operator="containsText" text="Preto">
      <formula>NOT(ISERROR(SEARCH("Preto",M79)))</formula>
    </cfRule>
    <cfRule type="containsText" priority="2459" operator="containsText" text="Branco">
      <formula>NOT(ISERROR(SEARCH("Branco",M79)))</formula>
    </cfRule>
    <cfRule type="containsText" dxfId="4602" priority="2460" operator="containsText" text="Bege">
      <formula>NOT(ISERROR(SEARCH("Bege",M79)))</formula>
    </cfRule>
  </conditionalFormatting>
  <conditionalFormatting sqref="M79">
    <cfRule type="containsText" dxfId="4601" priority="2443" operator="containsText" text="Cinza">
      <formula>NOT(ISERROR(SEARCH("Cinza",M79)))</formula>
    </cfRule>
    <cfRule type="containsText" dxfId="4600" priority="2444" operator="containsText" text="Púrpura">
      <formula>NOT(ISERROR(SEARCH("Púrpura",M79)))</formula>
    </cfRule>
    <cfRule type="containsText" dxfId="4599" priority="2445" operator="containsText" text="Rosa">
      <formula>NOT(ISERROR(SEARCH("Rosa",M79)))</formula>
    </cfRule>
    <cfRule type="containsText" dxfId="4598" priority="2446" operator="containsText" text="Castanho">
      <formula>NOT(ISERROR(SEARCH("Castanho",M79)))</formula>
    </cfRule>
    <cfRule type="containsText" dxfId="4597" priority="2447" operator="containsText" text="Verde Água">
      <formula>NOT(ISERROR(SEARCH("Verde Água",M79)))</formula>
    </cfRule>
    <cfRule type="containsText" dxfId="4596" priority="2448" operator="containsText" text="Azul Petróleo">
      <formula>NOT(ISERROR(SEARCH("Azul Petróleo",M79)))</formula>
    </cfRule>
    <cfRule type="containsText" dxfId="4595" priority="2449" operator="containsText" text="Preto">
      <formula>NOT(ISERROR(SEARCH("Preto",M79)))</formula>
    </cfRule>
    <cfRule type="containsText" priority="2450" operator="containsText" text="Branco">
      <formula>NOT(ISERROR(SEARCH("Branco",M79)))</formula>
    </cfRule>
    <cfRule type="containsText" dxfId="4594" priority="2451" operator="containsText" text="Bege">
      <formula>NOT(ISERROR(SEARCH("Bege",M79)))</formula>
    </cfRule>
  </conditionalFormatting>
  <conditionalFormatting sqref="M79">
    <cfRule type="containsText" dxfId="4593" priority="2434" operator="containsText" text="Cinza">
      <formula>NOT(ISERROR(SEARCH("Cinza",M79)))</formula>
    </cfRule>
    <cfRule type="containsText" dxfId="4592" priority="2435" operator="containsText" text="Púrpura">
      <formula>NOT(ISERROR(SEARCH("Púrpura",M79)))</formula>
    </cfRule>
    <cfRule type="containsText" dxfId="4591" priority="2436" operator="containsText" text="Rosa">
      <formula>NOT(ISERROR(SEARCH("Rosa",M79)))</formula>
    </cfRule>
    <cfRule type="containsText" dxfId="4590" priority="2437" operator="containsText" text="Castanho">
      <formula>NOT(ISERROR(SEARCH("Castanho",M79)))</formula>
    </cfRule>
    <cfRule type="containsText" dxfId="4589" priority="2438" operator="containsText" text="Verde Água">
      <formula>NOT(ISERROR(SEARCH("Verde Água",M79)))</formula>
    </cfRule>
    <cfRule type="containsText" dxfId="4588" priority="2439" operator="containsText" text="Azul Petróleo">
      <formula>NOT(ISERROR(SEARCH("Azul Petróleo",M79)))</formula>
    </cfRule>
    <cfRule type="containsText" dxfId="4587" priority="2440" operator="containsText" text="Preto">
      <formula>NOT(ISERROR(SEARCH("Preto",M79)))</formula>
    </cfRule>
    <cfRule type="containsText" priority="2441" operator="containsText" text="Branco">
      <formula>NOT(ISERROR(SEARCH("Branco",M79)))</formula>
    </cfRule>
    <cfRule type="containsText" dxfId="4586" priority="2442" operator="containsText" text="Bege">
      <formula>NOT(ISERROR(SEARCH("Bege",M79)))</formula>
    </cfRule>
  </conditionalFormatting>
  <conditionalFormatting sqref="M79">
    <cfRule type="containsText" dxfId="4585" priority="2425" operator="containsText" text="Cinza">
      <formula>NOT(ISERROR(SEARCH("Cinza",M79)))</formula>
    </cfRule>
    <cfRule type="containsText" dxfId="4584" priority="2426" operator="containsText" text="Púrpura">
      <formula>NOT(ISERROR(SEARCH("Púrpura",M79)))</formula>
    </cfRule>
    <cfRule type="containsText" dxfId="4583" priority="2427" operator="containsText" text="Rosa">
      <formula>NOT(ISERROR(SEARCH("Rosa",M79)))</formula>
    </cfRule>
    <cfRule type="containsText" dxfId="4582" priority="2428" operator="containsText" text="Castanho">
      <formula>NOT(ISERROR(SEARCH("Castanho",M79)))</formula>
    </cfRule>
    <cfRule type="containsText" dxfId="4581" priority="2429" operator="containsText" text="Verde Água">
      <formula>NOT(ISERROR(SEARCH("Verde Água",M79)))</formula>
    </cfRule>
    <cfRule type="containsText" dxfId="4580" priority="2430" operator="containsText" text="Azul Petróleo">
      <formula>NOT(ISERROR(SEARCH("Azul Petróleo",M79)))</formula>
    </cfRule>
    <cfRule type="containsText" dxfId="4579" priority="2431" operator="containsText" text="Preto">
      <formula>NOT(ISERROR(SEARCH("Preto",M79)))</formula>
    </cfRule>
    <cfRule type="containsText" priority="2432" operator="containsText" text="Branco">
      <formula>NOT(ISERROR(SEARCH("Branco",M79)))</formula>
    </cfRule>
    <cfRule type="containsText" dxfId="4578" priority="2433" operator="containsText" text="Bege">
      <formula>NOT(ISERROR(SEARCH("Bege",M79)))</formula>
    </cfRule>
  </conditionalFormatting>
  <conditionalFormatting sqref="M79">
    <cfRule type="containsText" dxfId="4577" priority="2416" operator="containsText" text="Cinza">
      <formula>NOT(ISERROR(SEARCH("Cinza",M79)))</formula>
    </cfRule>
    <cfRule type="containsText" dxfId="4576" priority="2417" operator="containsText" text="Púrpura">
      <formula>NOT(ISERROR(SEARCH("Púrpura",M79)))</formula>
    </cfRule>
    <cfRule type="containsText" dxfId="4575" priority="2418" operator="containsText" text="Rosa">
      <formula>NOT(ISERROR(SEARCH("Rosa",M79)))</formula>
    </cfRule>
    <cfRule type="containsText" dxfId="4574" priority="2419" operator="containsText" text="Castanho">
      <formula>NOT(ISERROR(SEARCH("Castanho",M79)))</formula>
    </cfRule>
    <cfRule type="containsText" dxfId="4573" priority="2420" operator="containsText" text="Verde Água">
      <formula>NOT(ISERROR(SEARCH("Verde Água",M79)))</formula>
    </cfRule>
    <cfRule type="containsText" dxfId="4572" priority="2421" operator="containsText" text="Azul Petróleo">
      <formula>NOT(ISERROR(SEARCH("Azul Petróleo",M79)))</formula>
    </cfRule>
    <cfRule type="containsText" dxfId="4571" priority="2422" operator="containsText" text="Preto">
      <formula>NOT(ISERROR(SEARCH("Preto",M79)))</formula>
    </cfRule>
    <cfRule type="containsText" priority="2423" operator="containsText" text="Branco">
      <formula>NOT(ISERROR(SEARCH("Branco",M79)))</formula>
    </cfRule>
    <cfRule type="containsText" dxfId="4570" priority="2424" operator="containsText" text="Bege">
      <formula>NOT(ISERROR(SEARCH("Bege",M79)))</formula>
    </cfRule>
  </conditionalFormatting>
  <conditionalFormatting sqref="M79">
    <cfRule type="containsText" dxfId="4569" priority="2407" operator="containsText" text="Cinza">
      <formula>NOT(ISERROR(SEARCH("Cinza",M79)))</formula>
    </cfRule>
    <cfRule type="containsText" dxfId="4568" priority="2408" operator="containsText" text="Púrpura">
      <formula>NOT(ISERROR(SEARCH("Púrpura",M79)))</formula>
    </cfRule>
    <cfRule type="containsText" dxfId="4567" priority="2409" operator="containsText" text="Rosa">
      <formula>NOT(ISERROR(SEARCH("Rosa",M79)))</formula>
    </cfRule>
    <cfRule type="containsText" dxfId="4566" priority="2410" operator="containsText" text="Castanho">
      <formula>NOT(ISERROR(SEARCH("Castanho",M79)))</formula>
    </cfRule>
    <cfRule type="containsText" dxfId="4565" priority="2411" operator="containsText" text="Verde Água">
      <formula>NOT(ISERROR(SEARCH("Verde Água",M79)))</formula>
    </cfRule>
    <cfRule type="containsText" dxfId="4564" priority="2412" operator="containsText" text="Azul Petróleo">
      <formula>NOT(ISERROR(SEARCH("Azul Petróleo",M79)))</formula>
    </cfRule>
    <cfRule type="containsText" dxfId="4563" priority="2413" operator="containsText" text="Preto">
      <formula>NOT(ISERROR(SEARCH("Preto",M79)))</formula>
    </cfRule>
    <cfRule type="containsText" priority="2414" operator="containsText" text="Branco">
      <formula>NOT(ISERROR(SEARCH("Branco",M79)))</formula>
    </cfRule>
    <cfRule type="containsText" dxfId="4562" priority="2415" operator="containsText" text="Bege">
      <formula>NOT(ISERROR(SEARCH("Bege",M79)))</formula>
    </cfRule>
  </conditionalFormatting>
  <conditionalFormatting sqref="M79">
    <cfRule type="containsText" dxfId="4561" priority="2398" operator="containsText" text="Cinza">
      <formula>NOT(ISERROR(SEARCH("Cinza",M79)))</formula>
    </cfRule>
    <cfRule type="containsText" dxfId="4560" priority="2399" operator="containsText" text="Púrpura">
      <formula>NOT(ISERROR(SEARCH("Púrpura",M79)))</formula>
    </cfRule>
    <cfRule type="containsText" dxfId="4559" priority="2400" operator="containsText" text="Rosa">
      <formula>NOT(ISERROR(SEARCH("Rosa",M79)))</formula>
    </cfRule>
    <cfRule type="containsText" dxfId="4558" priority="2401" operator="containsText" text="Castanho">
      <formula>NOT(ISERROR(SEARCH("Castanho",M79)))</formula>
    </cfRule>
    <cfRule type="containsText" dxfId="4557" priority="2402" operator="containsText" text="Verde Água">
      <formula>NOT(ISERROR(SEARCH("Verde Água",M79)))</formula>
    </cfRule>
    <cfRule type="containsText" dxfId="4556" priority="2403" operator="containsText" text="Azul Petróleo">
      <formula>NOT(ISERROR(SEARCH("Azul Petróleo",M79)))</formula>
    </cfRule>
    <cfRule type="containsText" dxfId="4555" priority="2404" operator="containsText" text="Preto">
      <formula>NOT(ISERROR(SEARCH("Preto",M79)))</formula>
    </cfRule>
    <cfRule type="containsText" priority="2405" operator="containsText" text="Branco">
      <formula>NOT(ISERROR(SEARCH("Branco",M79)))</formula>
    </cfRule>
    <cfRule type="containsText" dxfId="4554" priority="2406" operator="containsText" text="Bege">
      <formula>NOT(ISERROR(SEARCH("Bege",M79)))</formula>
    </cfRule>
  </conditionalFormatting>
  <conditionalFormatting sqref="M79">
    <cfRule type="containsText" dxfId="4553" priority="2389" operator="containsText" text="Escuro">
      <formula>NOT(ISERROR(SEARCH("Escuro",M79)))</formula>
    </cfRule>
    <cfRule type="containsText" dxfId="4552" priority="2390" operator="containsText" text="Cinza">
      <formula>NOT(ISERROR(SEARCH("Cinza",M79)))</formula>
    </cfRule>
    <cfRule type="containsText" dxfId="4551" priority="2391" operator="containsText" text="Púrpura">
      <formula>NOT(ISERROR(SEARCH("Púrpura",M79)))</formula>
    </cfRule>
    <cfRule type="containsText" dxfId="4550" priority="2392" operator="containsText" text="Rosa">
      <formula>NOT(ISERROR(SEARCH("Rosa",M79)))</formula>
    </cfRule>
    <cfRule type="containsText" dxfId="4549" priority="2393" operator="containsText" text="Castanho">
      <formula>NOT(ISERROR(SEARCH("Castanho",M79)))</formula>
    </cfRule>
    <cfRule type="containsText" dxfId="4548" priority="2394" operator="containsText" text="Verde Água">
      <formula>NOT(ISERROR(SEARCH("Verde Água",M79)))</formula>
    </cfRule>
    <cfRule type="containsText" dxfId="4547" priority="2395" operator="containsText" text="Azul Petróleo">
      <formula>NOT(ISERROR(SEARCH("Azul Petróleo",M79)))</formula>
    </cfRule>
    <cfRule type="containsText" dxfId="4546" priority="2396" operator="containsText" text="Preto">
      <formula>NOT(ISERROR(SEARCH("Preto",M79)))</formula>
    </cfRule>
    <cfRule type="containsText" priority="2397" operator="containsText" text="Branco">
      <formula>NOT(ISERROR(SEARCH("Branco",M79)))</formula>
    </cfRule>
  </conditionalFormatting>
  <conditionalFormatting sqref="M79">
    <cfRule type="containsText" dxfId="4545" priority="2379" operator="containsText" text="Escuro">
      <formula>NOT(ISERROR(SEARCH("Escuro",M79)))</formula>
    </cfRule>
    <cfRule type="containsText" dxfId="4544" priority="2380" operator="containsText" text="Cinza">
      <formula>NOT(ISERROR(SEARCH("Cinza",M79)))</formula>
    </cfRule>
    <cfRule type="containsText" dxfId="4543" priority="2381" operator="containsText" text="Púrpura">
      <formula>NOT(ISERROR(SEARCH("Púrpura",M79)))</formula>
    </cfRule>
    <cfRule type="containsText" dxfId="4542" priority="2382" operator="containsText" text="Rosa">
      <formula>NOT(ISERROR(SEARCH("Rosa",M79)))</formula>
    </cfRule>
    <cfRule type="containsText" dxfId="4541" priority="2383" operator="containsText" text="Castanho">
      <formula>NOT(ISERROR(SEARCH("Castanho",M79)))</formula>
    </cfRule>
    <cfRule type="containsText" dxfId="4540" priority="2384" operator="containsText" text="Verde Água">
      <formula>NOT(ISERROR(SEARCH("Verde Água",M79)))</formula>
    </cfRule>
    <cfRule type="containsText" dxfId="4539" priority="2385" operator="containsText" text="Azul Petróleo">
      <formula>NOT(ISERROR(SEARCH("Azul Petróleo",M79)))</formula>
    </cfRule>
    <cfRule type="containsText" dxfId="4538" priority="2386" operator="containsText" text="Preto">
      <formula>NOT(ISERROR(SEARCH("Preto",M79)))</formula>
    </cfRule>
    <cfRule type="containsText" priority="2387" operator="containsText" text="Branco">
      <formula>NOT(ISERROR(SEARCH("Branco",M79)))</formula>
    </cfRule>
    <cfRule type="containsText" dxfId="4537" priority="2388" operator="containsText" text="Bege">
      <formula>NOT(ISERROR(SEARCH("Bege",M79)))</formula>
    </cfRule>
  </conditionalFormatting>
  <conditionalFormatting sqref="M79">
    <cfRule type="containsText" dxfId="4536" priority="2370" operator="containsText" text="Cinza">
      <formula>NOT(ISERROR(SEARCH("Cinza",M79)))</formula>
    </cfRule>
    <cfRule type="containsText" dxfId="4535" priority="2371" operator="containsText" text="Púrpura">
      <formula>NOT(ISERROR(SEARCH("Púrpura",M79)))</formula>
    </cfRule>
    <cfRule type="containsText" dxfId="4534" priority="2372" operator="containsText" text="Rosa">
      <formula>NOT(ISERROR(SEARCH("Rosa",M79)))</formula>
    </cfRule>
    <cfRule type="containsText" dxfId="4533" priority="2373" operator="containsText" text="Castanho">
      <formula>NOT(ISERROR(SEARCH("Castanho",M79)))</formula>
    </cfRule>
    <cfRule type="containsText" dxfId="4532" priority="2374" operator="containsText" text="Verde Água">
      <formula>NOT(ISERROR(SEARCH("Verde Água",M79)))</formula>
    </cfRule>
    <cfRule type="containsText" dxfId="4531" priority="2375" operator="containsText" text="Azul Petróleo">
      <formula>NOT(ISERROR(SEARCH("Azul Petróleo",M79)))</formula>
    </cfRule>
    <cfRule type="containsText" dxfId="4530" priority="2376" operator="containsText" text="Preto">
      <formula>NOT(ISERROR(SEARCH("Preto",M79)))</formula>
    </cfRule>
    <cfRule type="containsText" priority="2377" operator="containsText" text="Branco">
      <formula>NOT(ISERROR(SEARCH("Branco",M79)))</formula>
    </cfRule>
    <cfRule type="containsText" dxfId="4529" priority="2378" operator="containsText" text="Bege">
      <formula>NOT(ISERROR(SEARCH("Bege",M79)))</formula>
    </cfRule>
  </conditionalFormatting>
  <conditionalFormatting sqref="M79">
    <cfRule type="containsText" dxfId="4528" priority="2361" operator="containsText" text="Cinza">
      <formula>NOT(ISERROR(SEARCH("Cinza",M79)))</formula>
    </cfRule>
    <cfRule type="containsText" dxfId="4527" priority="2362" operator="containsText" text="Púrpura">
      <formula>NOT(ISERROR(SEARCH("Púrpura",M79)))</formula>
    </cfRule>
    <cfRule type="containsText" dxfId="4526" priority="2363" operator="containsText" text="Rosa">
      <formula>NOT(ISERROR(SEARCH("Rosa",M79)))</formula>
    </cfRule>
    <cfRule type="containsText" dxfId="4525" priority="2364" operator="containsText" text="Castanho">
      <formula>NOT(ISERROR(SEARCH("Castanho",M79)))</formula>
    </cfRule>
    <cfRule type="containsText" dxfId="4524" priority="2365" operator="containsText" text="Verde Água">
      <formula>NOT(ISERROR(SEARCH("Verde Água",M79)))</formula>
    </cfRule>
    <cfRule type="containsText" dxfId="4523" priority="2366" operator="containsText" text="Azul Petróleo">
      <formula>NOT(ISERROR(SEARCH("Azul Petróleo",M79)))</formula>
    </cfRule>
    <cfRule type="containsText" dxfId="4522" priority="2367" operator="containsText" text="Preto">
      <formula>NOT(ISERROR(SEARCH("Preto",M79)))</formula>
    </cfRule>
    <cfRule type="containsText" priority="2368" operator="containsText" text="Branco">
      <formula>NOT(ISERROR(SEARCH("Branco",M79)))</formula>
    </cfRule>
    <cfRule type="containsText" dxfId="4521" priority="2369" operator="containsText" text="Bege">
      <formula>NOT(ISERROR(SEARCH("Bege",M79)))</formula>
    </cfRule>
  </conditionalFormatting>
  <conditionalFormatting sqref="M79">
    <cfRule type="containsText" dxfId="4520" priority="2352" operator="containsText" text="Cinza">
      <formula>NOT(ISERROR(SEARCH("Cinza",M79)))</formula>
    </cfRule>
    <cfRule type="containsText" dxfId="4519" priority="2353" operator="containsText" text="Púrpura">
      <formula>NOT(ISERROR(SEARCH("Púrpura",M79)))</formula>
    </cfRule>
    <cfRule type="containsText" dxfId="4518" priority="2354" operator="containsText" text="Rosa">
      <formula>NOT(ISERROR(SEARCH("Rosa",M79)))</formula>
    </cfRule>
    <cfRule type="containsText" dxfId="4517" priority="2355" operator="containsText" text="Castanho">
      <formula>NOT(ISERROR(SEARCH("Castanho",M79)))</formula>
    </cfRule>
    <cfRule type="containsText" dxfId="4516" priority="2356" operator="containsText" text="Verde Água">
      <formula>NOT(ISERROR(SEARCH("Verde Água",M79)))</formula>
    </cfRule>
    <cfRule type="containsText" dxfId="4515" priority="2357" operator="containsText" text="Azul Petróleo">
      <formula>NOT(ISERROR(SEARCH("Azul Petróleo",M79)))</formula>
    </cfRule>
    <cfRule type="containsText" dxfId="4514" priority="2358" operator="containsText" text="Preto">
      <formula>NOT(ISERROR(SEARCH("Preto",M79)))</formula>
    </cfRule>
    <cfRule type="containsText" priority="2359" operator="containsText" text="Branco">
      <formula>NOT(ISERROR(SEARCH("Branco",M79)))</formula>
    </cfRule>
    <cfRule type="containsText" dxfId="4513" priority="2360" operator="containsText" text="Bege">
      <formula>NOT(ISERROR(SEARCH("Bege",M79)))</formula>
    </cfRule>
  </conditionalFormatting>
  <conditionalFormatting sqref="M79">
    <cfRule type="containsText" dxfId="4512" priority="2343" operator="containsText" text="Cinza">
      <formula>NOT(ISERROR(SEARCH("Cinza",M79)))</formula>
    </cfRule>
    <cfRule type="containsText" dxfId="4511" priority="2344" operator="containsText" text="Púrpura">
      <formula>NOT(ISERROR(SEARCH("Púrpura",M79)))</formula>
    </cfRule>
    <cfRule type="containsText" dxfId="4510" priority="2345" operator="containsText" text="Rosa">
      <formula>NOT(ISERROR(SEARCH("Rosa",M79)))</formula>
    </cfRule>
    <cfRule type="containsText" dxfId="4509" priority="2346" operator="containsText" text="Castanho">
      <formula>NOT(ISERROR(SEARCH("Castanho",M79)))</formula>
    </cfRule>
    <cfRule type="containsText" dxfId="4508" priority="2347" operator="containsText" text="Verde Água">
      <formula>NOT(ISERROR(SEARCH("Verde Água",M79)))</formula>
    </cfRule>
    <cfRule type="containsText" dxfId="4507" priority="2348" operator="containsText" text="Azul Petróleo">
      <formula>NOT(ISERROR(SEARCH("Azul Petróleo",M79)))</formula>
    </cfRule>
    <cfRule type="containsText" dxfId="4506" priority="2349" operator="containsText" text="Preto">
      <formula>NOT(ISERROR(SEARCH("Preto",M79)))</formula>
    </cfRule>
    <cfRule type="containsText" priority="2350" operator="containsText" text="Branco">
      <formula>NOT(ISERROR(SEARCH("Branco",M79)))</formula>
    </cfRule>
    <cfRule type="containsText" dxfId="4505" priority="2351" operator="containsText" text="Bege">
      <formula>NOT(ISERROR(SEARCH("Bege",M79)))</formula>
    </cfRule>
  </conditionalFormatting>
  <conditionalFormatting sqref="M79">
    <cfRule type="containsText" dxfId="4504" priority="2334" operator="containsText" text="Cinza">
      <formula>NOT(ISERROR(SEARCH("Cinza",M79)))</formula>
    </cfRule>
    <cfRule type="containsText" dxfId="4503" priority="2335" operator="containsText" text="Púrpura">
      <formula>NOT(ISERROR(SEARCH("Púrpura",M79)))</formula>
    </cfRule>
    <cfRule type="containsText" dxfId="4502" priority="2336" operator="containsText" text="Rosa">
      <formula>NOT(ISERROR(SEARCH("Rosa",M79)))</formula>
    </cfRule>
    <cfRule type="containsText" dxfId="4501" priority="2337" operator="containsText" text="Castanho">
      <formula>NOT(ISERROR(SEARCH("Castanho",M79)))</formula>
    </cfRule>
    <cfRule type="containsText" dxfId="4500" priority="2338" operator="containsText" text="Verde Água">
      <formula>NOT(ISERROR(SEARCH("Verde Água",M79)))</formula>
    </cfRule>
    <cfRule type="containsText" dxfId="4499" priority="2339" operator="containsText" text="Azul Petróleo">
      <formula>NOT(ISERROR(SEARCH("Azul Petróleo",M79)))</formula>
    </cfRule>
    <cfRule type="containsText" dxfId="4498" priority="2340" operator="containsText" text="Preto">
      <formula>NOT(ISERROR(SEARCH("Preto",M79)))</formula>
    </cfRule>
    <cfRule type="containsText" priority="2341" operator="containsText" text="Branco">
      <formula>NOT(ISERROR(SEARCH("Branco",M79)))</formula>
    </cfRule>
    <cfRule type="containsText" dxfId="4497" priority="2342" operator="containsText" text="Bege">
      <formula>NOT(ISERROR(SEARCH("Bege",M79)))</formula>
    </cfRule>
  </conditionalFormatting>
  <conditionalFormatting sqref="M79">
    <cfRule type="containsText" dxfId="4496" priority="2325" operator="containsText" text="Cinza">
      <formula>NOT(ISERROR(SEARCH("Cinza",M79)))</formula>
    </cfRule>
    <cfRule type="containsText" dxfId="4495" priority="2326" operator="containsText" text="Púrpura">
      <formula>NOT(ISERROR(SEARCH("Púrpura",M79)))</formula>
    </cfRule>
    <cfRule type="containsText" dxfId="4494" priority="2327" operator="containsText" text="Rosa">
      <formula>NOT(ISERROR(SEARCH("Rosa",M79)))</formula>
    </cfRule>
    <cfRule type="containsText" dxfId="4493" priority="2328" operator="containsText" text="Castanho">
      <formula>NOT(ISERROR(SEARCH("Castanho",M79)))</formula>
    </cfRule>
    <cfRule type="containsText" dxfId="4492" priority="2329" operator="containsText" text="Verde Água">
      <formula>NOT(ISERROR(SEARCH("Verde Água",M79)))</formula>
    </cfRule>
    <cfRule type="containsText" dxfId="4491" priority="2330" operator="containsText" text="Azul Petróleo">
      <formula>NOT(ISERROR(SEARCH("Azul Petróleo",M79)))</formula>
    </cfRule>
    <cfRule type="containsText" dxfId="4490" priority="2331" operator="containsText" text="Preto">
      <formula>NOT(ISERROR(SEARCH("Preto",M79)))</formula>
    </cfRule>
    <cfRule type="containsText" priority="2332" operator="containsText" text="Branco">
      <formula>NOT(ISERROR(SEARCH("Branco",M79)))</formula>
    </cfRule>
    <cfRule type="containsText" dxfId="4489" priority="2333" operator="containsText" text="Bege">
      <formula>NOT(ISERROR(SEARCH("Bege",M79)))</formula>
    </cfRule>
  </conditionalFormatting>
  <conditionalFormatting sqref="M79">
    <cfRule type="containsText" dxfId="4488" priority="2316" operator="containsText" text="Cinza">
      <formula>NOT(ISERROR(SEARCH("Cinza",M79)))</formula>
    </cfRule>
    <cfRule type="containsText" dxfId="4487" priority="2317" operator="containsText" text="Púrpura">
      <formula>NOT(ISERROR(SEARCH("Púrpura",M79)))</formula>
    </cfRule>
    <cfRule type="containsText" dxfId="4486" priority="2318" operator="containsText" text="Rosa">
      <formula>NOT(ISERROR(SEARCH("Rosa",M79)))</formula>
    </cfRule>
    <cfRule type="containsText" dxfId="4485" priority="2319" operator="containsText" text="Castanho">
      <formula>NOT(ISERROR(SEARCH("Castanho",M79)))</formula>
    </cfRule>
    <cfRule type="containsText" dxfId="4484" priority="2320" operator="containsText" text="Verde Água">
      <formula>NOT(ISERROR(SEARCH("Verde Água",M79)))</formula>
    </cfRule>
    <cfRule type="containsText" dxfId="4483" priority="2321" operator="containsText" text="Azul Petróleo">
      <formula>NOT(ISERROR(SEARCH("Azul Petróleo",M79)))</formula>
    </cfRule>
    <cfRule type="containsText" dxfId="4482" priority="2322" operator="containsText" text="Preto">
      <formula>NOT(ISERROR(SEARCH("Preto",M79)))</formula>
    </cfRule>
    <cfRule type="containsText" priority="2323" operator="containsText" text="Branco">
      <formula>NOT(ISERROR(SEARCH("Branco",M79)))</formula>
    </cfRule>
    <cfRule type="containsText" dxfId="4481" priority="2324" operator="containsText" text="Bege">
      <formula>NOT(ISERROR(SEARCH("Bege",M79)))</formula>
    </cfRule>
  </conditionalFormatting>
  <conditionalFormatting sqref="M79">
    <cfRule type="containsText" dxfId="4480" priority="2307" operator="containsText" text="Cinza">
      <formula>NOT(ISERROR(SEARCH("Cinza",M79)))</formula>
    </cfRule>
    <cfRule type="containsText" dxfId="4479" priority="2308" operator="containsText" text="Púrpura">
      <formula>NOT(ISERROR(SEARCH("Púrpura",M79)))</formula>
    </cfRule>
    <cfRule type="containsText" dxfId="4478" priority="2309" operator="containsText" text="Rosa">
      <formula>NOT(ISERROR(SEARCH("Rosa",M79)))</formula>
    </cfRule>
    <cfRule type="containsText" dxfId="4477" priority="2310" operator="containsText" text="Castanho">
      <formula>NOT(ISERROR(SEARCH("Castanho",M79)))</formula>
    </cfRule>
    <cfRule type="containsText" dxfId="4476" priority="2311" operator="containsText" text="Verde Água">
      <formula>NOT(ISERROR(SEARCH("Verde Água",M79)))</formula>
    </cfRule>
    <cfRule type="containsText" dxfId="4475" priority="2312" operator="containsText" text="Azul Petróleo">
      <formula>NOT(ISERROR(SEARCH("Azul Petróleo",M79)))</formula>
    </cfRule>
    <cfRule type="containsText" dxfId="4474" priority="2313" operator="containsText" text="Preto">
      <formula>NOT(ISERROR(SEARCH("Preto",M79)))</formula>
    </cfRule>
    <cfRule type="containsText" priority="2314" operator="containsText" text="Branco">
      <formula>NOT(ISERROR(SEARCH("Branco",M79)))</formula>
    </cfRule>
    <cfRule type="containsText" dxfId="4473" priority="2315" operator="containsText" text="Bege">
      <formula>NOT(ISERROR(SEARCH("Bege",M79)))</formula>
    </cfRule>
  </conditionalFormatting>
  <conditionalFormatting sqref="M79">
    <cfRule type="containsText" dxfId="4472" priority="2298" operator="containsText" text="Cinza">
      <formula>NOT(ISERROR(SEARCH("Cinza",M79)))</formula>
    </cfRule>
    <cfRule type="containsText" dxfId="4471" priority="2299" operator="containsText" text="Púrpura">
      <formula>NOT(ISERROR(SEARCH("Púrpura",M79)))</formula>
    </cfRule>
    <cfRule type="containsText" dxfId="4470" priority="2300" operator="containsText" text="Rosa">
      <formula>NOT(ISERROR(SEARCH("Rosa",M79)))</formula>
    </cfRule>
    <cfRule type="containsText" dxfId="4469" priority="2301" operator="containsText" text="Castanho">
      <formula>NOT(ISERROR(SEARCH("Castanho",M79)))</formula>
    </cfRule>
    <cfRule type="containsText" dxfId="4468" priority="2302" operator="containsText" text="Verde Água">
      <formula>NOT(ISERROR(SEARCH("Verde Água",M79)))</formula>
    </cfRule>
    <cfRule type="containsText" dxfId="4467" priority="2303" operator="containsText" text="Azul Petróleo">
      <formula>NOT(ISERROR(SEARCH("Azul Petróleo",M79)))</formula>
    </cfRule>
    <cfRule type="containsText" dxfId="4466" priority="2304" operator="containsText" text="Preto">
      <formula>NOT(ISERROR(SEARCH("Preto",M79)))</formula>
    </cfRule>
    <cfRule type="containsText" priority="2305" operator="containsText" text="Branco">
      <formula>NOT(ISERROR(SEARCH("Branco",M79)))</formula>
    </cfRule>
    <cfRule type="containsText" dxfId="4465" priority="2306" operator="containsText" text="Bege">
      <formula>NOT(ISERROR(SEARCH("Bege",M79)))</formula>
    </cfRule>
  </conditionalFormatting>
  <conditionalFormatting sqref="M79">
    <cfRule type="containsText" dxfId="4464" priority="2289" operator="containsText" text="Cinza">
      <formula>NOT(ISERROR(SEARCH("Cinza",M79)))</formula>
    </cfRule>
    <cfRule type="containsText" dxfId="4463" priority="2290" operator="containsText" text="Púrpura">
      <formula>NOT(ISERROR(SEARCH("Púrpura",M79)))</formula>
    </cfRule>
    <cfRule type="containsText" dxfId="4462" priority="2291" operator="containsText" text="Rosa">
      <formula>NOT(ISERROR(SEARCH("Rosa",M79)))</formula>
    </cfRule>
    <cfRule type="containsText" dxfId="4461" priority="2292" operator="containsText" text="Castanho">
      <formula>NOT(ISERROR(SEARCH("Castanho",M79)))</formula>
    </cfRule>
    <cfRule type="containsText" dxfId="4460" priority="2293" operator="containsText" text="Verde Água">
      <formula>NOT(ISERROR(SEARCH("Verde Água",M79)))</formula>
    </cfRule>
    <cfRule type="containsText" dxfId="4459" priority="2294" operator="containsText" text="Azul Petróleo">
      <formula>NOT(ISERROR(SEARCH("Azul Petróleo",M79)))</formula>
    </cfRule>
    <cfRule type="containsText" dxfId="4458" priority="2295" operator="containsText" text="Preto">
      <formula>NOT(ISERROR(SEARCH("Preto",M79)))</formula>
    </cfRule>
    <cfRule type="containsText" priority="2296" operator="containsText" text="Branco">
      <formula>NOT(ISERROR(SEARCH("Branco",M79)))</formula>
    </cfRule>
    <cfRule type="containsText" dxfId="4457" priority="2297" operator="containsText" text="Bege">
      <formula>NOT(ISERROR(SEARCH("Bege",M79)))</formula>
    </cfRule>
  </conditionalFormatting>
  <conditionalFormatting sqref="M79">
    <cfRule type="containsText" dxfId="4456" priority="2280" operator="containsText" text="Cinza">
      <formula>NOT(ISERROR(SEARCH("Cinza",M79)))</formula>
    </cfRule>
    <cfRule type="containsText" dxfId="4455" priority="2281" operator="containsText" text="Púrpura">
      <formula>NOT(ISERROR(SEARCH("Púrpura",M79)))</formula>
    </cfRule>
    <cfRule type="containsText" dxfId="4454" priority="2282" operator="containsText" text="Rosa">
      <formula>NOT(ISERROR(SEARCH("Rosa",M79)))</formula>
    </cfRule>
    <cfRule type="containsText" dxfId="4453" priority="2283" operator="containsText" text="Castanho">
      <formula>NOT(ISERROR(SEARCH("Castanho",M79)))</formula>
    </cfRule>
    <cfRule type="containsText" dxfId="4452" priority="2284" operator="containsText" text="Verde Água">
      <formula>NOT(ISERROR(SEARCH("Verde Água",M79)))</formula>
    </cfRule>
    <cfRule type="containsText" dxfId="4451" priority="2285" operator="containsText" text="Azul Petróleo">
      <formula>NOT(ISERROR(SEARCH("Azul Petróleo",M79)))</formula>
    </cfRule>
    <cfRule type="containsText" dxfId="4450" priority="2286" operator="containsText" text="Preto">
      <formula>NOT(ISERROR(SEARCH("Preto",M79)))</formula>
    </cfRule>
    <cfRule type="containsText" priority="2287" operator="containsText" text="Branco">
      <formula>NOT(ISERROR(SEARCH("Branco",M79)))</formula>
    </cfRule>
    <cfRule type="containsText" dxfId="4449" priority="2288" operator="containsText" text="Bege">
      <formula>NOT(ISERROR(SEARCH("Bege",M79)))</formula>
    </cfRule>
  </conditionalFormatting>
  <conditionalFormatting sqref="M79">
    <cfRule type="containsText" dxfId="4448" priority="2271" operator="containsText" text="Cinza">
      <formula>NOT(ISERROR(SEARCH("Cinza",M79)))</formula>
    </cfRule>
    <cfRule type="containsText" dxfId="4447" priority="2272" operator="containsText" text="Púrpura">
      <formula>NOT(ISERROR(SEARCH("Púrpura",M79)))</formula>
    </cfRule>
    <cfRule type="containsText" dxfId="4446" priority="2273" operator="containsText" text="Rosa">
      <formula>NOT(ISERROR(SEARCH("Rosa",M79)))</formula>
    </cfRule>
    <cfRule type="containsText" dxfId="4445" priority="2274" operator="containsText" text="Castanho">
      <formula>NOT(ISERROR(SEARCH("Castanho",M79)))</formula>
    </cfRule>
    <cfRule type="containsText" dxfId="4444" priority="2275" operator="containsText" text="Verde Água">
      <formula>NOT(ISERROR(SEARCH("Verde Água",M79)))</formula>
    </cfRule>
    <cfRule type="containsText" dxfId="4443" priority="2276" operator="containsText" text="Azul Petróleo">
      <formula>NOT(ISERROR(SEARCH("Azul Petróleo",M79)))</formula>
    </cfRule>
    <cfRule type="containsText" dxfId="4442" priority="2277" operator="containsText" text="Preto">
      <formula>NOT(ISERROR(SEARCH("Preto",M79)))</formula>
    </cfRule>
    <cfRule type="containsText" priority="2278" operator="containsText" text="Branco">
      <formula>NOT(ISERROR(SEARCH("Branco",M79)))</formula>
    </cfRule>
    <cfRule type="containsText" dxfId="4441" priority="2279" operator="containsText" text="Bege">
      <formula>NOT(ISERROR(SEARCH("Bege",M79)))</formula>
    </cfRule>
  </conditionalFormatting>
  <conditionalFormatting sqref="M79">
    <cfRule type="containsText" dxfId="4440" priority="2262" operator="containsText" text="Cinza">
      <formula>NOT(ISERROR(SEARCH("Cinza",M79)))</formula>
    </cfRule>
    <cfRule type="containsText" dxfId="4439" priority="2263" operator="containsText" text="Púrpura">
      <formula>NOT(ISERROR(SEARCH("Púrpura",M79)))</formula>
    </cfRule>
    <cfRule type="containsText" dxfId="4438" priority="2264" operator="containsText" text="Rosa">
      <formula>NOT(ISERROR(SEARCH("Rosa",M79)))</formula>
    </cfRule>
    <cfRule type="containsText" dxfId="4437" priority="2265" operator="containsText" text="Castanho">
      <formula>NOT(ISERROR(SEARCH("Castanho",M79)))</formula>
    </cfRule>
    <cfRule type="containsText" dxfId="4436" priority="2266" operator="containsText" text="Verde Água">
      <formula>NOT(ISERROR(SEARCH("Verde Água",M79)))</formula>
    </cfRule>
    <cfRule type="containsText" dxfId="4435" priority="2267" operator="containsText" text="Azul Petróleo">
      <formula>NOT(ISERROR(SEARCH("Azul Petróleo",M79)))</formula>
    </cfRule>
    <cfRule type="containsText" dxfId="4434" priority="2268" operator="containsText" text="Preto">
      <formula>NOT(ISERROR(SEARCH("Preto",M79)))</formula>
    </cfRule>
    <cfRule type="containsText" priority="2269" operator="containsText" text="Branco">
      <formula>NOT(ISERROR(SEARCH("Branco",M79)))</formula>
    </cfRule>
    <cfRule type="containsText" dxfId="4433" priority="2270" operator="containsText" text="Bege">
      <formula>NOT(ISERROR(SEARCH("Bege",M79)))</formula>
    </cfRule>
  </conditionalFormatting>
  <conditionalFormatting sqref="M79">
    <cfRule type="containsText" dxfId="4432" priority="2253" operator="containsText" text="Cinza">
      <formula>NOT(ISERROR(SEARCH("Cinza",M79)))</formula>
    </cfRule>
    <cfRule type="containsText" dxfId="4431" priority="2254" operator="containsText" text="Púrpura">
      <formula>NOT(ISERROR(SEARCH("Púrpura",M79)))</formula>
    </cfRule>
    <cfRule type="containsText" dxfId="4430" priority="2255" operator="containsText" text="Rosa">
      <formula>NOT(ISERROR(SEARCH("Rosa",M79)))</formula>
    </cfRule>
    <cfRule type="containsText" dxfId="4429" priority="2256" operator="containsText" text="Castanho">
      <formula>NOT(ISERROR(SEARCH("Castanho",M79)))</formula>
    </cfRule>
    <cfRule type="containsText" dxfId="4428" priority="2257" operator="containsText" text="Verde Água">
      <formula>NOT(ISERROR(SEARCH("Verde Água",M79)))</formula>
    </cfRule>
    <cfRule type="containsText" dxfId="4427" priority="2258" operator="containsText" text="Azul Petróleo">
      <formula>NOT(ISERROR(SEARCH("Azul Petróleo",M79)))</formula>
    </cfRule>
    <cfRule type="containsText" dxfId="4426" priority="2259" operator="containsText" text="Preto">
      <formula>NOT(ISERROR(SEARCH("Preto",M79)))</formula>
    </cfRule>
    <cfRule type="containsText" priority="2260" operator="containsText" text="Branco">
      <formula>NOT(ISERROR(SEARCH("Branco",M79)))</formula>
    </cfRule>
    <cfRule type="containsText" dxfId="4425" priority="2261" operator="containsText" text="Bege">
      <formula>NOT(ISERROR(SEARCH("Bege",M79)))</formula>
    </cfRule>
  </conditionalFormatting>
  <conditionalFormatting sqref="M79">
    <cfRule type="containsText" dxfId="4424" priority="2244" operator="containsText" text="Cinza">
      <formula>NOT(ISERROR(SEARCH("Cinza",M79)))</formula>
    </cfRule>
    <cfRule type="containsText" dxfId="4423" priority="2245" operator="containsText" text="Púrpura">
      <formula>NOT(ISERROR(SEARCH("Púrpura",M79)))</formula>
    </cfRule>
    <cfRule type="containsText" dxfId="4422" priority="2246" operator="containsText" text="Rosa">
      <formula>NOT(ISERROR(SEARCH("Rosa",M79)))</formula>
    </cfRule>
    <cfRule type="containsText" dxfId="4421" priority="2247" operator="containsText" text="Castanho">
      <formula>NOT(ISERROR(SEARCH("Castanho",M79)))</formula>
    </cfRule>
    <cfRule type="containsText" dxfId="4420" priority="2248" operator="containsText" text="Verde Água">
      <formula>NOT(ISERROR(SEARCH("Verde Água",M79)))</formula>
    </cfRule>
    <cfRule type="containsText" dxfId="4419" priority="2249" operator="containsText" text="Azul Petróleo">
      <formula>NOT(ISERROR(SEARCH("Azul Petróleo",M79)))</formula>
    </cfRule>
    <cfRule type="containsText" dxfId="4418" priority="2250" operator="containsText" text="Preto">
      <formula>NOT(ISERROR(SEARCH("Preto",M79)))</formula>
    </cfRule>
    <cfRule type="containsText" priority="2251" operator="containsText" text="Branco">
      <formula>NOT(ISERROR(SEARCH("Branco",M79)))</formula>
    </cfRule>
    <cfRule type="containsText" dxfId="4417" priority="2252" operator="containsText" text="Bege">
      <formula>NOT(ISERROR(SEARCH("Bege",M79)))</formula>
    </cfRule>
  </conditionalFormatting>
  <conditionalFormatting sqref="M79">
    <cfRule type="containsText" dxfId="4416" priority="2235" operator="containsText" text="Cinza">
      <formula>NOT(ISERROR(SEARCH("Cinza",M79)))</formula>
    </cfRule>
    <cfRule type="containsText" dxfId="4415" priority="2236" operator="containsText" text="Púrpura">
      <formula>NOT(ISERROR(SEARCH("Púrpura",M79)))</formula>
    </cfRule>
    <cfRule type="containsText" dxfId="4414" priority="2237" operator="containsText" text="Rosa">
      <formula>NOT(ISERROR(SEARCH("Rosa",M79)))</formula>
    </cfRule>
    <cfRule type="containsText" dxfId="4413" priority="2238" operator="containsText" text="Castanho">
      <formula>NOT(ISERROR(SEARCH("Castanho",M79)))</formula>
    </cfRule>
    <cfRule type="containsText" dxfId="4412" priority="2239" operator="containsText" text="Verde Água">
      <formula>NOT(ISERROR(SEARCH("Verde Água",M79)))</formula>
    </cfRule>
    <cfRule type="containsText" dxfId="4411" priority="2240" operator="containsText" text="Azul Petróleo">
      <formula>NOT(ISERROR(SEARCH("Azul Petróleo",M79)))</formula>
    </cfRule>
    <cfRule type="containsText" dxfId="4410" priority="2241" operator="containsText" text="Preto">
      <formula>NOT(ISERROR(SEARCH("Preto",M79)))</formula>
    </cfRule>
    <cfRule type="containsText" priority="2242" operator="containsText" text="Branco">
      <formula>NOT(ISERROR(SEARCH("Branco",M79)))</formula>
    </cfRule>
    <cfRule type="containsText" dxfId="4409" priority="2243" operator="containsText" text="Bege">
      <formula>NOT(ISERROR(SEARCH("Bege",M79)))</formula>
    </cfRule>
  </conditionalFormatting>
  <conditionalFormatting sqref="M79">
    <cfRule type="containsText" dxfId="4408" priority="2226" operator="containsText" text="Cinza">
      <formula>NOT(ISERROR(SEARCH("Cinza",M79)))</formula>
    </cfRule>
    <cfRule type="containsText" dxfId="4407" priority="2227" operator="containsText" text="Púrpura">
      <formula>NOT(ISERROR(SEARCH("Púrpura",M79)))</formula>
    </cfRule>
    <cfRule type="containsText" dxfId="4406" priority="2228" operator="containsText" text="Rosa">
      <formula>NOT(ISERROR(SEARCH("Rosa",M79)))</formula>
    </cfRule>
    <cfRule type="containsText" dxfId="4405" priority="2229" operator="containsText" text="Castanho">
      <formula>NOT(ISERROR(SEARCH("Castanho",M79)))</formula>
    </cfRule>
    <cfRule type="containsText" dxfId="4404" priority="2230" operator="containsText" text="Verde Água">
      <formula>NOT(ISERROR(SEARCH("Verde Água",M79)))</formula>
    </cfRule>
    <cfRule type="containsText" dxfId="4403" priority="2231" operator="containsText" text="Azul Petróleo">
      <formula>NOT(ISERROR(SEARCH("Azul Petróleo",M79)))</formula>
    </cfRule>
    <cfRule type="containsText" dxfId="4402" priority="2232" operator="containsText" text="Preto">
      <formula>NOT(ISERROR(SEARCH("Preto",M79)))</formula>
    </cfRule>
    <cfRule type="containsText" priority="2233" operator="containsText" text="Branco">
      <formula>NOT(ISERROR(SEARCH("Branco",M79)))</formula>
    </cfRule>
    <cfRule type="containsText" dxfId="4401" priority="2234" operator="containsText" text="Bege">
      <formula>NOT(ISERROR(SEARCH("Bege",M79)))</formula>
    </cfRule>
  </conditionalFormatting>
  <conditionalFormatting sqref="M79">
    <cfRule type="containsText" dxfId="4400" priority="2217" operator="containsText" text="Cinza">
      <formula>NOT(ISERROR(SEARCH("Cinza",M79)))</formula>
    </cfRule>
    <cfRule type="containsText" dxfId="4399" priority="2218" operator="containsText" text="Púrpura">
      <formula>NOT(ISERROR(SEARCH("Púrpura",M79)))</formula>
    </cfRule>
    <cfRule type="containsText" dxfId="4398" priority="2219" operator="containsText" text="Rosa">
      <formula>NOT(ISERROR(SEARCH("Rosa",M79)))</formula>
    </cfRule>
    <cfRule type="containsText" dxfId="4397" priority="2220" operator="containsText" text="Castanho">
      <formula>NOT(ISERROR(SEARCH("Castanho",M79)))</formula>
    </cfRule>
    <cfRule type="containsText" dxfId="4396" priority="2221" operator="containsText" text="Verde Água">
      <formula>NOT(ISERROR(SEARCH("Verde Água",M79)))</formula>
    </cfRule>
    <cfRule type="containsText" dxfId="4395" priority="2222" operator="containsText" text="Azul Petróleo">
      <formula>NOT(ISERROR(SEARCH("Azul Petróleo",M79)))</formula>
    </cfRule>
    <cfRule type="containsText" dxfId="4394" priority="2223" operator="containsText" text="Preto">
      <formula>NOT(ISERROR(SEARCH("Preto",M79)))</formula>
    </cfRule>
    <cfRule type="containsText" priority="2224" operator="containsText" text="Branco">
      <formula>NOT(ISERROR(SEARCH("Branco",M79)))</formula>
    </cfRule>
    <cfRule type="containsText" dxfId="4393" priority="2225" operator="containsText" text="Bege">
      <formula>NOT(ISERROR(SEARCH("Bege",M79)))</formula>
    </cfRule>
  </conditionalFormatting>
  <conditionalFormatting sqref="M79">
    <cfRule type="containsText" dxfId="4392" priority="2208" operator="containsText" text="Cinza">
      <formula>NOT(ISERROR(SEARCH("Cinza",M79)))</formula>
    </cfRule>
    <cfRule type="containsText" dxfId="4391" priority="2209" operator="containsText" text="Púrpura">
      <formula>NOT(ISERROR(SEARCH("Púrpura",M79)))</formula>
    </cfRule>
    <cfRule type="containsText" dxfId="4390" priority="2210" operator="containsText" text="Rosa">
      <formula>NOT(ISERROR(SEARCH("Rosa",M79)))</formula>
    </cfRule>
    <cfRule type="containsText" dxfId="4389" priority="2211" operator="containsText" text="Castanho">
      <formula>NOT(ISERROR(SEARCH("Castanho",M79)))</formula>
    </cfRule>
    <cfRule type="containsText" dxfId="4388" priority="2212" operator="containsText" text="Verde Água">
      <formula>NOT(ISERROR(SEARCH("Verde Água",M79)))</formula>
    </cfRule>
    <cfRule type="containsText" dxfId="4387" priority="2213" operator="containsText" text="Azul Petróleo">
      <formula>NOT(ISERROR(SEARCH("Azul Petróleo",M79)))</formula>
    </cfRule>
    <cfRule type="containsText" dxfId="4386" priority="2214" operator="containsText" text="Preto">
      <formula>NOT(ISERROR(SEARCH("Preto",M79)))</formula>
    </cfRule>
    <cfRule type="containsText" priority="2215" operator="containsText" text="Branco">
      <formula>NOT(ISERROR(SEARCH("Branco",M79)))</formula>
    </cfRule>
    <cfRule type="containsText" dxfId="4385" priority="2216" operator="containsText" text="Bege">
      <formula>NOT(ISERROR(SEARCH("Bege",M79)))</formula>
    </cfRule>
  </conditionalFormatting>
  <conditionalFormatting sqref="M79">
    <cfRule type="containsText" dxfId="4384" priority="2199" operator="containsText" text="Cinza">
      <formula>NOT(ISERROR(SEARCH("Cinza",M79)))</formula>
    </cfRule>
    <cfRule type="containsText" dxfId="4383" priority="2200" operator="containsText" text="Púrpura">
      <formula>NOT(ISERROR(SEARCH("Púrpura",M79)))</formula>
    </cfRule>
    <cfRule type="containsText" dxfId="4382" priority="2201" operator="containsText" text="Rosa">
      <formula>NOT(ISERROR(SEARCH("Rosa",M79)))</formula>
    </cfRule>
    <cfRule type="containsText" dxfId="4381" priority="2202" operator="containsText" text="Castanho">
      <formula>NOT(ISERROR(SEARCH("Castanho",M79)))</formula>
    </cfRule>
    <cfRule type="containsText" dxfId="4380" priority="2203" operator="containsText" text="Verde Água">
      <formula>NOT(ISERROR(SEARCH("Verde Água",M79)))</formula>
    </cfRule>
    <cfRule type="containsText" dxfId="4379" priority="2204" operator="containsText" text="Azul Petróleo">
      <formula>NOT(ISERROR(SEARCH("Azul Petróleo",M79)))</formula>
    </cfRule>
    <cfRule type="containsText" dxfId="4378" priority="2205" operator="containsText" text="Preto">
      <formula>NOT(ISERROR(SEARCH("Preto",M79)))</formula>
    </cfRule>
    <cfRule type="containsText" priority="2206" operator="containsText" text="Branco">
      <formula>NOT(ISERROR(SEARCH("Branco",M79)))</formula>
    </cfRule>
    <cfRule type="containsText" dxfId="4377" priority="2207" operator="containsText" text="Bege">
      <formula>NOT(ISERROR(SEARCH("Bege",M79)))</formula>
    </cfRule>
  </conditionalFormatting>
  <conditionalFormatting sqref="M79">
    <cfRule type="containsText" dxfId="4376" priority="2190" operator="containsText" text="Cinza">
      <formula>NOT(ISERROR(SEARCH("Cinza",M79)))</formula>
    </cfRule>
    <cfRule type="containsText" dxfId="4375" priority="2191" operator="containsText" text="Púrpura">
      <formula>NOT(ISERROR(SEARCH("Púrpura",M79)))</formula>
    </cfRule>
    <cfRule type="containsText" dxfId="4374" priority="2192" operator="containsText" text="Rosa">
      <formula>NOT(ISERROR(SEARCH("Rosa",M79)))</formula>
    </cfRule>
    <cfRule type="containsText" dxfId="4373" priority="2193" operator="containsText" text="Castanho">
      <formula>NOT(ISERROR(SEARCH("Castanho",M79)))</formula>
    </cfRule>
    <cfRule type="containsText" dxfId="4372" priority="2194" operator="containsText" text="Verde Água">
      <formula>NOT(ISERROR(SEARCH("Verde Água",M79)))</formula>
    </cfRule>
    <cfRule type="containsText" dxfId="4371" priority="2195" operator="containsText" text="Azul Petróleo">
      <formula>NOT(ISERROR(SEARCH("Azul Petróleo",M79)))</formula>
    </cfRule>
    <cfRule type="containsText" dxfId="4370" priority="2196" operator="containsText" text="Preto">
      <formula>NOT(ISERROR(SEARCH("Preto",M79)))</formula>
    </cfRule>
    <cfRule type="containsText" priority="2197" operator="containsText" text="Branco">
      <formula>NOT(ISERROR(SEARCH("Branco",M79)))</formula>
    </cfRule>
    <cfRule type="containsText" dxfId="4369" priority="2198" operator="containsText" text="Bege">
      <formula>NOT(ISERROR(SEARCH("Bege",M79)))</formula>
    </cfRule>
  </conditionalFormatting>
  <conditionalFormatting sqref="M79">
    <cfRule type="containsText" dxfId="4368" priority="2181" operator="containsText" text="Cinza">
      <formula>NOT(ISERROR(SEARCH("Cinza",M79)))</formula>
    </cfRule>
    <cfRule type="containsText" dxfId="4367" priority="2182" operator="containsText" text="Púrpura">
      <formula>NOT(ISERROR(SEARCH("Púrpura",M79)))</formula>
    </cfRule>
    <cfRule type="containsText" dxfId="4366" priority="2183" operator="containsText" text="Rosa">
      <formula>NOT(ISERROR(SEARCH("Rosa",M79)))</formula>
    </cfRule>
    <cfRule type="containsText" dxfId="4365" priority="2184" operator="containsText" text="Castanho">
      <formula>NOT(ISERROR(SEARCH("Castanho",M79)))</formula>
    </cfRule>
    <cfRule type="containsText" dxfId="4364" priority="2185" operator="containsText" text="Verde Água">
      <formula>NOT(ISERROR(SEARCH("Verde Água",M79)))</formula>
    </cfRule>
    <cfRule type="containsText" dxfId="4363" priority="2186" operator="containsText" text="Azul Petróleo">
      <formula>NOT(ISERROR(SEARCH("Azul Petróleo",M79)))</formula>
    </cfRule>
    <cfRule type="containsText" dxfId="4362" priority="2187" operator="containsText" text="Preto">
      <formula>NOT(ISERROR(SEARCH("Preto",M79)))</formula>
    </cfRule>
    <cfRule type="containsText" priority="2188" operator="containsText" text="Branco">
      <formula>NOT(ISERROR(SEARCH("Branco",M79)))</formula>
    </cfRule>
    <cfRule type="containsText" dxfId="4361" priority="2189" operator="containsText" text="Bege">
      <formula>NOT(ISERROR(SEARCH("Bege",M79)))</formula>
    </cfRule>
  </conditionalFormatting>
  <conditionalFormatting sqref="M79">
    <cfRule type="containsText" dxfId="4360" priority="2172" operator="containsText" text="Cinza">
      <formula>NOT(ISERROR(SEARCH("Cinza",M79)))</formula>
    </cfRule>
    <cfRule type="containsText" dxfId="4359" priority="2173" operator="containsText" text="Púrpura">
      <formula>NOT(ISERROR(SEARCH("Púrpura",M79)))</formula>
    </cfRule>
    <cfRule type="containsText" dxfId="4358" priority="2174" operator="containsText" text="Rosa">
      <formula>NOT(ISERROR(SEARCH("Rosa",M79)))</formula>
    </cfRule>
    <cfRule type="containsText" dxfId="4357" priority="2175" operator="containsText" text="Castanho">
      <formula>NOT(ISERROR(SEARCH("Castanho",M79)))</formula>
    </cfRule>
    <cfRule type="containsText" dxfId="4356" priority="2176" operator="containsText" text="Verde Água">
      <formula>NOT(ISERROR(SEARCH("Verde Água",M79)))</formula>
    </cfRule>
    <cfRule type="containsText" dxfId="4355" priority="2177" operator="containsText" text="Azul Petróleo">
      <formula>NOT(ISERROR(SEARCH("Azul Petróleo",M79)))</formula>
    </cfRule>
    <cfRule type="containsText" dxfId="4354" priority="2178" operator="containsText" text="Preto">
      <formula>NOT(ISERROR(SEARCH("Preto",M79)))</formula>
    </cfRule>
    <cfRule type="containsText" priority="2179" operator="containsText" text="Branco">
      <formula>NOT(ISERROR(SEARCH("Branco",M79)))</formula>
    </cfRule>
    <cfRule type="containsText" dxfId="4353" priority="2180" operator="containsText" text="Bege">
      <formula>NOT(ISERROR(SEARCH("Bege",M79)))</formula>
    </cfRule>
  </conditionalFormatting>
  <conditionalFormatting sqref="M79">
    <cfRule type="containsText" dxfId="4352" priority="2163" operator="containsText" text="Cinza">
      <formula>NOT(ISERROR(SEARCH("Cinza",M79)))</formula>
    </cfRule>
    <cfRule type="containsText" dxfId="4351" priority="2164" operator="containsText" text="Púrpura">
      <formula>NOT(ISERROR(SEARCH("Púrpura",M79)))</formula>
    </cfRule>
    <cfRule type="containsText" dxfId="4350" priority="2165" operator="containsText" text="Rosa">
      <formula>NOT(ISERROR(SEARCH("Rosa",M79)))</formula>
    </cfRule>
    <cfRule type="containsText" dxfId="4349" priority="2166" operator="containsText" text="Castanho">
      <formula>NOT(ISERROR(SEARCH("Castanho",M79)))</formula>
    </cfRule>
    <cfRule type="containsText" dxfId="4348" priority="2167" operator="containsText" text="Verde Água">
      <formula>NOT(ISERROR(SEARCH("Verde Água",M79)))</formula>
    </cfRule>
    <cfRule type="containsText" dxfId="4347" priority="2168" operator="containsText" text="Azul Petróleo">
      <formula>NOT(ISERROR(SEARCH("Azul Petróleo",M79)))</formula>
    </cfRule>
    <cfRule type="containsText" dxfId="4346" priority="2169" operator="containsText" text="Preto">
      <formula>NOT(ISERROR(SEARCH("Preto",M79)))</formula>
    </cfRule>
    <cfRule type="containsText" priority="2170" operator="containsText" text="Branco">
      <formula>NOT(ISERROR(SEARCH("Branco",M79)))</formula>
    </cfRule>
    <cfRule type="containsText" dxfId="4345" priority="2171" operator="containsText" text="Bege">
      <formula>NOT(ISERROR(SEARCH("Bege",M79)))</formula>
    </cfRule>
  </conditionalFormatting>
  <conditionalFormatting sqref="M79">
    <cfRule type="containsText" dxfId="4344" priority="2154" operator="containsText" text="Cinza">
      <formula>NOT(ISERROR(SEARCH("Cinza",M79)))</formula>
    </cfRule>
    <cfRule type="containsText" dxfId="4343" priority="2155" operator="containsText" text="Púrpura">
      <formula>NOT(ISERROR(SEARCH("Púrpura",M79)))</formula>
    </cfRule>
    <cfRule type="containsText" dxfId="4342" priority="2156" operator="containsText" text="Rosa">
      <formula>NOT(ISERROR(SEARCH("Rosa",M79)))</formula>
    </cfRule>
    <cfRule type="containsText" dxfId="4341" priority="2157" operator="containsText" text="Castanho">
      <formula>NOT(ISERROR(SEARCH("Castanho",M79)))</formula>
    </cfRule>
    <cfRule type="containsText" dxfId="4340" priority="2158" operator="containsText" text="Verde Água">
      <formula>NOT(ISERROR(SEARCH("Verde Água",M79)))</formula>
    </cfRule>
    <cfRule type="containsText" dxfId="4339" priority="2159" operator="containsText" text="Azul Petróleo">
      <formula>NOT(ISERROR(SEARCH("Azul Petróleo",M79)))</formula>
    </cfRule>
    <cfRule type="containsText" dxfId="4338" priority="2160" operator="containsText" text="Preto">
      <formula>NOT(ISERROR(SEARCH("Preto",M79)))</formula>
    </cfRule>
    <cfRule type="containsText" priority="2161" operator="containsText" text="Branco">
      <formula>NOT(ISERROR(SEARCH("Branco",M79)))</formula>
    </cfRule>
    <cfRule type="containsText" dxfId="4337" priority="2162" operator="containsText" text="Bege">
      <formula>NOT(ISERROR(SEARCH("Bege",M79)))</formula>
    </cfRule>
  </conditionalFormatting>
  <conditionalFormatting sqref="M79">
    <cfRule type="containsText" dxfId="4336" priority="2145" operator="containsText" text="Cinza">
      <formula>NOT(ISERROR(SEARCH("Cinza",M79)))</formula>
    </cfRule>
    <cfRule type="containsText" dxfId="4335" priority="2146" operator="containsText" text="Púrpura">
      <formula>NOT(ISERROR(SEARCH("Púrpura",M79)))</formula>
    </cfRule>
    <cfRule type="containsText" dxfId="4334" priority="2147" operator="containsText" text="Rosa">
      <formula>NOT(ISERROR(SEARCH("Rosa",M79)))</formula>
    </cfRule>
    <cfRule type="containsText" dxfId="4333" priority="2148" operator="containsText" text="Castanho">
      <formula>NOT(ISERROR(SEARCH("Castanho",M79)))</formula>
    </cfRule>
    <cfRule type="containsText" dxfId="4332" priority="2149" operator="containsText" text="Verde Água">
      <formula>NOT(ISERROR(SEARCH("Verde Água",M79)))</formula>
    </cfRule>
    <cfRule type="containsText" dxfId="4331" priority="2150" operator="containsText" text="Azul Petróleo">
      <formula>NOT(ISERROR(SEARCH("Azul Petróleo",M79)))</formula>
    </cfRule>
    <cfRule type="containsText" dxfId="4330" priority="2151" operator="containsText" text="Preto">
      <formula>NOT(ISERROR(SEARCH("Preto",M79)))</formula>
    </cfRule>
    <cfRule type="containsText" priority="2152" operator="containsText" text="Branco">
      <formula>NOT(ISERROR(SEARCH("Branco",M79)))</formula>
    </cfRule>
    <cfRule type="containsText" dxfId="4329" priority="2153" operator="containsText" text="Bege">
      <formula>NOT(ISERROR(SEARCH("Bege",M79)))</formula>
    </cfRule>
  </conditionalFormatting>
  <conditionalFormatting sqref="M79">
    <cfRule type="containsText" dxfId="4328" priority="2136" operator="containsText" text="Cinza">
      <formula>NOT(ISERROR(SEARCH("Cinza",M79)))</formula>
    </cfRule>
    <cfRule type="containsText" dxfId="4327" priority="2137" operator="containsText" text="Púrpura">
      <formula>NOT(ISERROR(SEARCH("Púrpura",M79)))</formula>
    </cfRule>
    <cfRule type="containsText" dxfId="4326" priority="2138" operator="containsText" text="Rosa">
      <formula>NOT(ISERROR(SEARCH("Rosa",M79)))</formula>
    </cfRule>
    <cfRule type="containsText" dxfId="4325" priority="2139" operator="containsText" text="Castanho">
      <formula>NOT(ISERROR(SEARCH("Castanho",M79)))</formula>
    </cfRule>
    <cfRule type="containsText" dxfId="4324" priority="2140" operator="containsText" text="Verde Água">
      <formula>NOT(ISERROR(SEARCH("Verde Água",M79)))</formula>
    </cfRule>
    <cfRule type="containsText" dxfId="4323" priority="2141" operator="containsText" text="Azul Petróleo">
      <formula>NOT(ISERROR(SEARCH("Azul Petróleo",M79)))</formula>
    </cfRule>
    <cfRule type="containsText" dxfId="4322" priority="2142" operator="containsText" text="Preto">
      <formula>NOT(ISERROR(SEARCH("Preto",M79)))</formula>
    </cfRule>
    <cfRule type="containsText" priority="2143" operator="containsText" text="Branco">
      <formula>NOT(ISERROR(SEARCH("Branco",M79)))</formula>
    </cfRule>
    <cfRule type="containsText" dxfId="4321" priority="2144" operator="containsText" text="Bege">
      <formula>NOT(ISERROR(SEARCH("Bege",M79)))</formula>
    </cfRule>
  </conditionalFormatting>
  <conditionalFormatting sqref="M79">
    <cfRule type="containsText" dxfId="4320" priority="2127" operator="containsText" text="Cinza">
      <formula>NOT(ISERROR(SEARCH("Cinza",M79)))</formula>
    </cfRule>
    <cfRule type="containsText" dxfId="4319" priority="2128" operator="containsText" text="Púrpura">
      <formula>NOT(ISERROR(SEARCH("Púrpura",M79)))</formula>
    </cfRule>
    <cfRule type="containsText" dxfId="4318" priority="2129" operator="containsText" text="Rosa">
      <formula>NOT(ISERROR(SEARCH("Rosa",M79)))</formula>
    </cfRule>
    <cfRule type="containsText" dxfId="4317" priority="2130" operator="containsText" text="Castanho">
      <formula>NOT(ISERROR(SEARCH("Castanho",M79)))</formula>
    </cfRule>
    <cfRule type="containsText" dxfId="4316" priority="2131" operator="containsText" text="Verde Água">
      <formula>NOT(ISERROR(SEARCH("Verde Água",M79)))</formula>
    </cfRule>
    <cfRule type="containsText" dxfId="4315" priority="2132" operator="containsText" text="Azul Petróleo">
      <formula>NOT(ISERROR(SEARCH("Azul Petróleo",M79)))</formula>
    </cfRule>
    <cfRule type="containsText" dxfId="4314" priority="2133" operator="containsText" text="Preto">
      <formula>NOT(ISERROR(SEARCH("Preto",M79)))</formula>
    </cfRule>
    <cfRule type="containsText" priority="2134" operator="containsText" text="Branco">
      <formula>NOT(ISERROR(SEARCH("Branco",M79)))</formula>
    </cfRule>
    <cfRule type="containsText" dxfId="4313" priority="2135" operator="containsText" text="Bege">
      <formula>NOT(ISERROR(SEARCH("Bege",M79)))</formula>
    </cfRule>
  </conditionalFormatting>
  <conditionalFormatting sqref="M79">
    <cfRule type="containsText" dxfId="4312" priority="2118" operator="containsText" text="Cinza">
      <formula>NOT(ISERROR(SEARCH("Cinza",M79)))</formula>
    </cfRule>
    <cfRule type="containsText" dxfId="4311" priority="2119" operator="containsText" text="Púrpura">
      <formula>NOT(ISERROR(SEARCH("Púrpura",M79)))</formula>
    </cfRule>
    <cfRule type="containsText" dxfId="4310" priority="2120" operator="containsText" text="Rosa">
      <formula>NOT(ISERROR(SEARCH("Rosa",M79)))</formula>
    </cfRule>
    <cfRule type="containsText" dxfId="4309" priority="2121" operator="containsText" text="Castanho">
      <formula>NOT(ISERROR(SEARCH("Castanho",M79)))</formula>
    </cfRule>
    <cfRule type="containsText" dxfId="4308" priority="2122" operator="containsText" text="Verde Água">
      <formula>NOT(ISERROR(SEARCH("Verde Água",M79)))</formula>
    </cfRule>
    <cfRule type="containsText" dxfId="4307" priority="2123" operator="containsText" text="Azul Petróleo">
      <formula>NOT(ISERROR(SEARCH("Azul Petróleo",M79)))</formula>
    </cfRule>
    <cfRule type="containsText" dxfId="4306" priority="2124" operator="containsText" text="Preto">
      <formula>NOT(ISERROR(SEARCH("Preto",M79)))</formula>
    </cfRule>
    <cfRule type="containsText" priority="2125" operator="containsText" text="Branco">
      <formula>NOT(ISERROR(SEARCH("Branco",M79)))</formula>
    </cfRule>
    <cfRule type="containsText" dxfId="4305" priority="2126" operator="containsText" text="Bege">
      <formula>NOT(ISERROR(SEARCH("Bege",M79)))</formula>
    </cfRule>
  </conditionalFormatting>
  <conditionalFormatting sqref="M79">
    <cfRule type="containsText" dxfId="4304" priority="2109" operator="containsText" text="Cinza">
      <formula>NOT(ISERROR(SEARCH("Cinza",M79)))</formula>
    </cfRule>
    <cfRule type="containsText" dxfId="4303" priority="2110" operator="containsText" text="Púrpura">
      <formula>NOT(ISERROR(SEARCH("Púrpura",M79)))</formula>
    </cfRule>
    <cfRule type="containsText" dxfId="4302" priority="2111" operator="containsText" text="Rosa">
      <formula>NOT(ISERROR(SEARCH("Rosa",M79)))</formula>
    </cfRule>
    <cfRule type="containsText" dxfId="4301" priority="2112" operator="containsText" text="Castanho">
      <formula>NOT(ISERROR(SEARCH("Castanho",M79)))</formula>
    </cfRule>
    <cfRule type="containsText" dxfId="4300" priority="2113" operator="containsText" text="Verde Água">
      <formula>NOT(ISERROR(SEARCH("Verde Água",M79)))</formula>
    </cfRule>
    <cfRule type="containsText" dxfId="4299" priority="2114" operator="containsText" text="Azul Petróleo">
      <formula>NOT(ISERROR(SEARCH("Azul Petróleo",M79)))</formula>
    </cfRule>
    <cfRule type="containsText" dxfId="4298" priority="2115" operator="containsText" text="Preto">
      <formula>NOT(ISERROR(SEARCH("Preto",M79)))</formula>
    </cfRule>
    <cfRule type="containsText" priority="2116" operator="containsText" text="Branco">
      <formula>NOT(ISERROR(SEARCH("Branco",M79)))</formula>
    </cfRule>
    <cfRule type="containsText" dxfId="4297" priority="2117" operator="containsText" text="Bege">
      <formula>NOT(ISERROR(SEARCH("Bege",M79)))</formula>
    </cfRule>
  </conditionalFormatting>
  <conditionalFormatting sqref="M79">
    <cfRule type="containsText" dxfId="4296" priority="2100" operator="containsText" text="Cinza">
      <formula>NOT(ISERROR(SEARCH("Cinza",M79)))</formula>
    </cfRule>
    <cfRule type="containsText" dxfId="4295" priority="2101" operator="containsText" text="Púrpura">
      <formula>NOT(ISERROR(SEARCH("Púrpura",M79)))</formula>
    </cfRule>
    <cfRule type="containsText" dxfId="4294" priority="2102" operator="containsText" text="Rosa">
      <formula>NOT(ISERROR(SEARCH("Rosa",M79)))</formula>
    </cfRule>
    <cfRule type="containsText" dxfId="4293" priority="2103" operator="containsText" text="Castanho">
      <formula>NOT(ISERROR(SEARCH("Castanho",M79)))</formula>
    </cfRule>
    <cfRule type="containsText" dxfId="4292" priority="2104" operator="containsText" text="Verde Água">
      <formula>NOT(ISERROR(SEARCH("Verde Água",M79)))</formula>
    </cfRule>
    <cfRule type="containsText" dxfId="4291" priority="2105" operator="containsText" text="Azul Petróleo">
      <formula>NOT(ISERROR(SEARCH("Azul Petróleo",M79)))</formula>
    </cfRule>
    <cfRule type="containsText" dxfId="4290" priority="2106" operator="containsText" text="Preto">
      <formula>NOT(ISERROR(SEARCH("Preto",M79)))</formula>
    </cfRule>
    <cfRule type="containsText" priority="2107" operator="containsText" text="Branco">
      <formula>NOT(ISERROR(SEARCH("Branco",M79)))</formula>
    </cfRule>
    <cfRule type="containsText" dxfId="4289" priority="2108" operator="containsText" text="Bege">
      <formula>NOT(ISERROR(SEARCH("Bege",M79)))</formula>
    </cfRule>
  </conditionalFormatting>
  <conditionalFormatting sqref="M79">
    <cfRule type="containsText" dxfId="4288" priority="2091" operator="containsText" text="Escuro">
      <formula>NOT(ISERROR(SEARCH("Escuro",M79)))</formula>
    </cfRule>
    <cfRule type="containsText" dxfId="4287" priority="2092" operator="containsText" text="Cinza">
      <formula>NOT(ISERROR(SEARCH("Cinza",M79)))</formula>
    </cfRule>
    <cfRule type="containsText" dxfId="4286" priority="2093" operator="containsText" text="Púrpura">
      <formula>NOT(ISERROR(SEARCH("Púrpura",M79)))</formula>
    </cfRule>
    <cfRule type="containsText" dxfId="4285" priority="2094" operator="containsText" text="Rosa">
      <formula>NOT(ISERROR(SEARCH("Rosa",M79)))</formula>
    </cfRule>
    <cfRule type="containsText" dxfId="4284" priority="2095" operator="containsText" text="Castanho">
      <formula>NOT(ISERROR(SEARCH("Castanho",M79)))</formula>
    </cfRule>
    <cfRule type="containsText" dxfId="4283" priority="2096" operator="containsText" text="Verde Água">
      <formula>NOT(ISERROR(SEARCH("Verde Água",M79)))</formula>
    </cfRule>
    <cfRule type="containsText" dxfId="4282" priority="2097" operator="containsText" text="Azul Petróleo">
      <formula>NOT(ISERROR(SEARCH("Azul Petróleo",M79)))</formula>
    </cfRule>
    <cfRule type="containsText" dxfId="4281" priority="2098" operator="containsText" text="Preto">
      <formula>NOT(ISERROR(SEARCH("Preto",M79)))</formula>
    </cfRule>
    <cfRule type="containsText" priority="2099" operator="containsText" text="Branco">
      <formula>NOT(ISERROR(SEARCH("Branco",M79)))</formula>
    </cfRule>
  </conditionalFormatting>
  <conditionalFormatting sqref="W13">
    <cfRule type="containsText" dxfId="4280" priority="2082" operator="containsText" text="Cinza">
      <formula>NOT(ISERROR(SEARCH("Cinza",W13)))</formula>
    </cfRule>
    <cfRule type="containsText" dxfId="4279" priority="2083" operator="containsText" text="Púrpura">
      <formula>NOT(ISERROR(SEARCH("Púrpura",W13)))</formula>
    </cfRule>
    <cfRule type="containsText" dxfId="4278" priority="2084" operator="containsText" text="Rosa">
      <formula>NOT(ISERROR(SEARCH("Rosa",W13)))</formula>
    </cfRule>
    <cfRule type="containsText" dxfId="4277" priority="2085" operator="containsText" text="Castanho">
      <formula>NOT(ISERROR(SEARCH("Castanho",W13)))</formula>
    </cfRule>
    <cfRule type="containsText" dxfId="4276" priority="2086" operator="containsText" text="Verde Água">
      <formula>NOT(ISERROR(SEARCH("Verde Água",W13)))</formula>
    </cfRule>
    <cfRule type="containsText" dxfId="4275" priority="2087" operator="containsText" text="Azul Petróleo">
      <formula>NOT(ISERROR(SEARCH("Azul Petróleo",W13)))</formula>
    </cfRule>
    <cfRule type="containsText" dxfId="4274" priority="2088" operator="containsText" text="Preto">
      <formula>NOT(ISERROR(SEARCH("Preto",W13)))</formula>
    </cfRule>
    <cfRule type="containsText" priority="2089" operator="containsText" text="Branco">
      <formula>NOT(ISERROR(SEARCH("Branco",W13)))</formula>
    </cfRule>
    <cfRule type="containsText" dxfId="4273" priority="2090" operator="containsText" text="Bege">
      <formula>NOT(ISERROR(SEARCH("Bege",W13)))</formula>
    </cfRule>
  </conditionalFormatting>
  <conditionalFormatting sqref="W13">
    <cfRule type="containsText" dxfId="4272" priority="2073" operator="containsText" text="Escuro">
      <formula>NOT(ISERROR(SEARCH("Escuro",W13)))</formula>
    </cfRule>
    <cfRule type="containsText" dxfId="4271" priority="2074" operator="containsText" text="Cinza">
      <formula>NOT(ISERROR(SEARCH("Cinza",W13)))</formula>
    </cfRule>
    <cfRule type="containsText" dxfId="4270" priority="2075" operator="containsText" text="Púrpura">
      <formula>NOT(ISERROR(SEARCH("Púrpura",W13)))</formula>
    </cfRule>
    <cfRule type="containsText" dxfId="4269" priority="2076" operator="containsText" text="Rosa">
      <formula>NOT(ISERROR(SEARCH("Rosa",W13)))</formula>
    </cfRule>
    <cfRule type="containsText" dxfId="4268" priority="2077" operator="containsText" text="Castanho">
      <formula>NOT(ISERROR(SEARCH("Castanho",W13)))</formula>
    </cfRule>
    <cfRule type="containsText" dxfId="4267" priority="2078" operator="containsText" text="Verde Água">
      <formula>NOT(ISERROR(SEARCH("Verde Água",W13)))</formula>
    </cfRule>
    <cfRule type="containsText" dxfId="4266" priority="2079" operator="containsText" text="Azul Petróleo">
      <formula>NOT(ISERROR(SEARCH("Azul Petróleo",W13)))</formula>
    </cfRule>
    <cfRule type="containsText" dxfId="4265" priority="2080" operator="containsText" text="Preto">
      <formula>NOT(ISERROR(SEARCH("Preto",W13)))</formula>
    </cfRule>
    <cfRule type="containsText" priority="2081" operator="containsText" text="Branco">
      <formula>NOT(ISERROR(SEARCH("Branco",W13)))</formula>
    </cfRule>
  </conditionalFormatting>
  <conditionalFormatting sqref="W34">
    <cfRule type="containsText" dxfId="4264" priority="2064" operator="containsText" text="Cinza">
      <formula>NOT(ISERROR(SEARCH("Cinza",W34)))</formula>
    </cfRule>
    <cfRule type="containsText" dxfId="4263" priority="2065" operator="containsText" text="Púrpura">
      <formula>NOT(ISERROR(SEARCH("Púrpura",W34)))</formula>
    </cfRule>
    <cfRule type="containsText" dxfId="4262" priority="2066" operator="containsText" text="Rosa">
      <formula>NOT(ISERROR(SEARCH("Rosa",W34)))</formula>
    </cfRule>
    <cfRule type="containsText" dxfId="4261" priority="2067" operator="containsText" text="Castanho">
      <formula>NOT(ISERROR(SEARCH("Castanho",W34)))</formula>
    </cfRule>
    <cfRule type="containsText" dxfId="4260" priority="2068" operator="containsText" text="Verde Água">
      <formula>NOT(ISERROR(SEARCH("Verde Água",W34)))</formula>
    </cfRule>
    <cfRule type="containsText" dxfId="4259" priority="2069" operator="containsText" text="Azul Petróleo">
      <formula>NOT(ISERROR(SEARCH("Azul Petróleo",W34)))</formula>
    </cfRule>
    <cfRule type="containsText" dxfId="4258" priority="2070" operator="containsText" text="Preto">
      <formula>NOT(ISERROR(SEARCH("Preto",W34)))</formula>
    </cfRule>
    <cfRule type="containsText" priority="2071" operator="containsText" text="Branco">
      <formula>NOT(ISERROR(SEARCH("Branco",W34)))</formula>
    </cfRule>
    <cfRule type="containsText" dxfId="4257" priority="2072" operator="containsText" text="Bege">
      <formula>NOT(ISERROR(SEARCH("Bege",W34)))</formula>
    </cfRule>
  </conditionalFormatting>
  <conditionalFormatting sqref="W34">
    <cfRule type="containsText" dxfId="4256" priority="2055" operator="containsText" text="Cinza">
      <formula>NOT(ISERROR(SEARCH("Cinza",W34)))</formula>
    </cfRule>
    <cfRule type="containsText" dxfId="4255" priority="2056" operator="containsText" text="Púrpura">
      <formula>NOT(ISERROR(SEARCH("Púrpura",W34)))</formula>
    </cfRule>
    <cfRule type="containsText" dxfId="4254" priority="2057" operator="containsText" text="Rosa">
      <formula>NOT(ISERROR(SEARCH("Rosa",W34)))</formula>
    </cfRule>
    <cfRule type="containsText" dxfId="4253" priority="2058" operator="containsText" text="Castanho">
      <formula>NOT(ISERROR(SEARCH("Castanho",W34)))</formula>
    </cfRule>
    <cfRule type="containsText" dxfId="4252" priority="2059" operator="containsText" text="Verde Água">
      <formula>NOT(ISERROR(SEARCH("Verde Água",W34)))</formula>
    </cfRule>
    <cfRule type="containsText" dxfId="4251" priority="2060" operator="containsText" text="Azul Petróleo">
      <formula>NOT(ISERROR(SEARCH("Azul Petróleo",W34)))</formula>
    </cfRule>
    <cfRule type="containsText" dxfId="4250" priority="2061" operator="containsText" text="Preto">
      <formula>NOT(ISERROR(SEARCH("Preto",W34)))</formula>
    </cfRule>
    <cfRule type="containsText" priority="2062" operator="containsText" text="Branco">
      <formula>NOT(ISERROR(SEARCH("Branco",W34)))</formula>
    </cfRule>
    <cfRule type="containsText" dxfId="4249" priority="2063" operator="containsText" text="Bege">
      <formula>NOT(ISERROR(SEARCH("Bege",W34)))</formula>
    </cfRule>
  </conditionalFormatting>
  <conditionalFormatting sqref="W34">
    <cfRule type="containsText" dxfId="4248" priority="2046" operator="containsText" text="Cinza">
      <formula>NOT(ISERROR(SEARCH("Cinza",W34)))</formula>
    </cfRule>
    <cfRule type="containsText" dxfId="4247" priority="2047" operator="containsText" text="Púrpura">
      <formula>NOT(ISERROR(SEARCH("Púrpura",W34)))</formula>
    </cfRule>
    <cfRule type="containsText" dxfId="4246" priority="2048" operator="containsText" text="Rosa">
      <formula>NOT(ISERROR(SEARCH("Rosa",W34)))</formula>
    </cfRule>
    <cfRule type="containsText" dxfId="4245" priority="2049" operator="containsText" text="Castanho">
      <formula>NOT(ISERROR(SEARCH("Castanho",W34)))</formula>
    </cfRule>
    <cfRule type="containsText" dxfId="4244" priority="2050" operator="containsText" text="Verde Água">
      <formula>NOT(ISERROR(SEARCH("Verde Água",W34)))</formula>
    </cfRule>
    <cfRule type="containsText" dxfId="4243" priority="2051" operator="containsText" text="Azul Petróleo">
      <formula>NOT(ISERROR(SEARCH("Azul Petróleo",W34)))</formula>
    </cfRule>
    <cfRule type="containsText" dxfId="4242" priority="2052" operator="containsText" text="Preto">
      <formula>NOT(ISERROR(SEARCH("Preto",W34)))</formula>
    </cfRule>
    <cfRule type="containsText" priority="2053" operator="containsText" text="Branco">
      <formula>NOT(ISERROR(SEARCH("Branco",W34)))</formula>
    </cfRule>
    <cfRule type="containsText" dxfId="4241" priority="2054" operator="containsText" text="Bege">
      <formula>NOT(ISERROR(SEARCH("Bege",W34)))</formula>
    </cfRule>
  </conditionalFormatting>
  <conditionalFormatting sqref="W34">
    <cfRule type="containsText" dxfId="4240" priority="2037" operator="containsText" text="Cinza">
      <formula>NOT(ISERROR(SEARCH("Cinza",W34)))</formula>
    </cfRule>
    <cfRule type="containsText" dxfId="4239" priority="2038" operator="containsText" text="Púrpura">
      <formula>NOT(ISERROR(SEARCH("Púrpura",W34)))</formula>
    </cfRule>
    <cfRule type="containsText" dxfId="4238" priority="2039" operator="containsText" text="Rosa">
      <formula>NOT(ISERROR(SEARCH("Rosa",W34)))</formula>
    </cfRule>
    <cfRule type="containsText" dxfId="4237" priority="2040" operator="containsText" text="Castanho">
      <formula>NOT(ISERROR(SEARCH("Castanho",W34)))</formula>
    </cfRule>
    <cfRule type="containsText" dxfId="4236" priority="2041" operator="containsText" text="Verde Água">
      <formula>NOT(ISERROR(SEARCH("Verde Água",W34)))</formula>
    </cfRule>
    <cfRule type="containsText" dxfId="4235" priority="2042" operator="containsText" text="Azul Petróleo">
      <formula>NOT(ISERROR(SEARCH("Azul Petróleo",W34)))</formula>
    </cfRule>
    <cfRule type="containsText" dxfId="4234" priority="2043" operator="containsText" text="Preto">
      <formula>NOT(ISERROR(SEARCH("Preto",W34)))</formula>
    </cfRule>
    <cfRule type="containsText" priority="2044" operator="containsText" text="Branco">
      <formula>NOT(ISERROR(SEARCH("Branco",W34)))</formula>
    </cfRule>
    <cfRule type="containsText" dxfId="4233" priority="2045" operator="containsText" text="Bege">
      <formula>NOT(ISERROR(SEARCH("Bege",W34)))</formula>
    </cfRule>
  </conditionalFormatting>
  <conditionalFormatting sqref="W34">
    <cfRule type="containsText" dxfId="4232" priority="2028" operator="containsText" text="Cinza">
      <formula>NOT(ISERROR(SEARCH("Cinza",W34)))</formula>
    </cfRule>
    <cfRule type="containsText" dxfId="4231" priority="2029" operator="containsText" text="Púrpura">
      <formula>NOT(ISERROR(SEARCH("Púrpura",W34)))</formula>
    </cfRule>
    <cfRule type="containsText" dxfId="4230" priority="2030" operator="containsText" text="Rosa">
      <formula>NOT(ISERROR(SEARCH("Rosa",W34)))</formula>
    </cfRule>
    <cfRule type="containsText" dxfId="4229" priority="2031" operator="containsText" text="Castanho">
      <formula>NOT(ISERROR(SEARCH("Castanho",W34)))</formula>
    </cfRule>
    <cfRule type="containsText" dxfId="4228" priority="2032" operator="containsText" text="Verde Água">
      <formula>NOT(ISERROR(SEARCH("Verde Água",W34)))</formula>
    </cfRule>
    <cfRule type="containsText" dxfId="4227" priority="2033" operator="containsText" text="Azul Petróleo">
      <formula>NOT(ISERROR(SEARCH("Azul Petróleo",W34)))</formula>
    </cfRule>
    <cfRule type="containsText" dxfId="4226" priority="2034" operator="containsText" text="Preto">
      <formula>NOT(ISERROR(SEARCH("Preto",W34)))</formula>
    </cfRule>
    <cfRule type="containsText" priority="2035" operator="containsText" text="Branco">
      <formula>NOT(ISERROR(SEARCH("Branco",W34)))</formula>
    </cfRule>
    <cfRule type="containsText" dxfId="4225" priority="2036" operator="containsText" text="Bege">
      <formula>NOT(ISERROR(SEARCH("Bege",W34)))</formula>
    </cfRule>
  </conditionalFormatting>
  <conditionalFormatting sqref="W34">
    <cfRule type="containsText" dxfId="4224" priority="2019" operator="containsText" text="Cinza">
      <formula>NOT(ISERROR(SEARCH("Cinza",W34)))</formula>
    </cfRule>
    <cfRule type="containsText" dxfId="4223" priority="2020" operator="containsText" text="Púrpura">
      <formula>NOT(ISERROR(SEARCH("Púrpura",W34)))</formula>
    </cfRule>
    <cfRule type="containsText" dxfId="4222" priority="2021" operator="containsText" text="Rosa">
      <formula>NOT(ISERROR(SEARCH("Rosa",W34)))</formula>
    </cfRule>
    <cfRule type="containsText" dxfId="4221" priority="2022" operator="containsText" text="Castanho">
      <formula>NOT(ISERROR(SEARCH("Castanho",W34)))</formula>
    </cfRule>
    <cfRule type="containsText" dxfId="4220" priority="2023" operator="containsText" text="Verde Água">
      <formula>NOT(ISERROR(SEARCH("Verde Água",W34)))</formula>
    </cfRule>
    <cfRule type="containsText" dxfId="4219" priority="2024" operator="containsText" text="Azul Petróleo">
      <formula>NOT(ISERROR(SEARCH("Azul Petróleo",W34)))</formula>
    </cfRule>
    <cfRule type="containsText" dxfId="4218" priority="2025" operator="containsText" text="Preto">
      <formula>NOT(ISERROR(SEARCH("Preto",W34)))</formula>
    </cfRule>
    <cfRule type="containsText" priority="2026" operator="containsText" text="Branco">
      <formula>NOT(ISERROR(SEARCH("Branco",W34)))</formula>
    </cfRule>
    <cfRule type="containsText" dxfId="4217" priority="2027" operator="containsText" text="Bege">
      <formula>NOT(ISERROR(SEARCH("Bege",W34)))</formula>
    </cfRule>
  </conditionalFormatting>
  <conditionalFormatting sqref="W34">
    <cfRule type="containsText" dxfId="4216" priority="2010" operator="containsText" text="Cinza">
      <formula>NOT(ISERROR(SEARCH("Cinza",W34)))</formula>
    </cfRule>
    <cfRule type="containsText" dxfId="4215" priority="2011" operator="containsText" text="Púrpura">
      <formula>NOT(ISERROR(SEARCH("Púrpura",W34)))</formula>
    </cfRule>
    <cfRule type="containsText" dxfId="4214" priority="2012" operator="containsText" text="Rosa">
      <formula>NOT(ISERROR(SEARCH("Rosa",W34)))</formula>
    </cfRule>
    <cfRule type="containsText" dxfId="4213" priority="2013" operator="containsText" text="Castanho">
      <formula>NOT(ISERROR(SEARCH("Castanho",W34)))</formula>
    </cfRule>
    <cfRule type="containsText" dxfId="4212" priority="2014" operator="containsText" text="Verde Água">
      <formula>NOT(ISERROR(SEARCH("Verde Água",W34)))</formula>
    </cfRule>
    <cfRule type="containsText" dxfId="4211" priority="2015" operator="containsText" text="Azul Petróleo">
      <formula>NOT(ISERROR(SEARCH("Azul Petróleo",W34)))</formula>
    </cfRule>
    <cfRule type="containsText" dxfId="4210" priority="2016" operator="containsText" text="Preto">
      <formula>NOT(ISERROR(SEARCH("Preto",W34)))</formula>
    </cfRule>
    <cfRule type="containsText" priority="2017" operator="containsText" text="Branco">
      <formula>NOT(ISERROR(SEARCH("Branco",W34)))</formula>
    </cfRule>
    <cfRule type="containsText" dxfId="4209" priority="2018" operator="containsText" text="Bege">
      <formula>NOT(ISERROR(SEARCH("Bege",W34)))</formula>
    </cfRule>
  </conditionalFormatting>
  <conditionalFormatting sqref="W34">
    <cfRule type="containsText" dxfId="4208" priority="2001" operator="containsText" text="Cinza">
      <formula>NOT(ISERROR(SEARCH("Cinza",W34)))</formula>
    </cfRule>
    <cfRule type="containsText" dxfId="4207" priority="2002" operator="containsText" text="Púrpura">
      <formula>NOT(ISERROR(SEARCH("Púrpura",W34)))</formula>
    </cfRule>
    <cfRule type="containsText" dxfId="4206" priority="2003" operator="containsText" text="Rosa">
      <formula>NOT(ISERROR(SEARCH("Rosa",W34)))</formula>
    </cfRule>
    <cfRule type="containsText" dxfId="4205" priority="2004" operator="containsText" text="Castanho">
      <formula>NOT(ISERROR(SEARCH("Castanho",W34)))</formula>
    </cfRule>
    <cfRule type="containsText" dxfId="4204" priority="2005" operator="containsText" text="Verde Água">
      <formula>NOT(ISERROR(SEARCH("Verde Água",W34)))</formula>
    </cfRule>
    <cfRule type="containsText" dxfId="4203" priority="2006" operator="containsText" text="Azul Petróleo">
      <formula>NOT(ISERROR(SEARCH("Azul Petróleo",W34)))</formula>
    </cfRule>
    <cfRule type="containsText" dxfId="4202" priority="2007" operator="containsText" text="Preto">
      <formula>NOT(ISERROR(SEARCH("Preto",W34)))</formula>
    </cfRule>
    <cfRule type="containsText" priority="2008" operator="containsText" text="Branco">
      <formula>NOT(ISERROR(SEARCH("Branco",W34)))</formula>
    </cfRule>
    <cfRule type="containsText" dxfId="4201" priority="2009" operator="containsText" text="Bege">
      <formula>NOT(ISERROR(SEARCH("Bege",W34)))</formula>
    </cfRule>
  </conditionalFormatting>
  <conditionalFormatting sqref="W34">
    <cfRule type="containsText" dxfId="4200" priority="1992" operator="containsText" text="Cinza">
      <formula>NOT(ISERROR(SEARCH("Cinza",W34)))</formula>
    </cfRule>
    <cfRule type="containsText" dxfId="4199" priority="1993" operator="containsText" text="Púrpura">
      <formula>NOT(ISERROR(SEARCH("Púrpura",W34)))</formula>
    </cfRule>
    <cfRule type="containsText" dxfId="4198" priority="1994" operator="containsText" text="Rosa">
      <formula>NOT(ISERROR(SEARCH("Rosa",W34)))</formula>
    </cfRule>
    <cfRule type="containsText" dxfId="4197" priority="1995" operator="containsText" text="Castanho">
      <formula>NOT(ISERROR(SEARCH("Castanho",W34)))</formula>
    </cfRule>
    <cfRule type="containsText" dxfId="4196" priority="1996" operator="containsText" text="Verde Água">
      <formula>NOT(ISERROR(SEARCH("Verde Água",W34)))</formula>
    </cfRule>
    <cfRule type="containsText" dxfId="4195" priority="1997" operator="containsText" text="Azul Petróleo">
      <formula>NOT(ISERROR(SEARCH("Azul Petróleo",W34)))</formula>
    </cfRule>
    <cfRule type="containsText" dxfId="4194" priority="1998" operator="containsText" text="Preto">
      <formula>NOT(ISERROR(SEARCH("Preto",W34)))</formula>
    </cfRule>
    <cfRule type="containsText" priority="1999" operator="containsText" text="Branco">
      <formula>NOT(ISERROR(SEARCH("Branco",W34)))</formula>
    </cfRule>
    <cfRule type="containsText" dxfId="4193" priority="2000" operator="containsText" text="Bege">
      <formula>NOT(ISERROR(SEARCH("Bege",W34)))</formula>
    </cfRule>
  </conditionalFormatting>
  <conditionalFormatting sqref="W34">
    <cfRule type="containsText" dxfId="4192" priority="1983" operator="containsText" text="Cinza">
      <formula>NOT(ISERROR(SEARCH("Cinza",W34)))</formula>
    </cfRule>
    <cfRule type="containsText" dxfId="4191" priority="1984" operator="containsText" text="Púrpura">
      <formula>NOT(ISERROR(SEARCH("Púrpura",W34)))</formula>
    </cfRule>
    <cfRule type="containsText" dxfId="4190" priority="1985" operator="containsText" text="Rosa">
      <formula>NOT(ISERROR(SEARCH("Rosa",W34)))</formula>
    </cfRule>
    <cfRule type="containsText" dxfId="4189" priority="1986" operator="containsText" text="Castanho">
      <formula>NOT(ISERROR(SEARCH("Castanho",W34)))</formula>
    </cfRule>
    <cfRule type="containsText" dxfId="4188" priority="1987" operator="containsText" text="Verde Água">
      <formula>NOT(ISERROR(SEARCH("Verde Água",W34)))</formula>
    </cfRule>
    <cfRule type="containsText" dxfId="4187" priority="1988" operator="containsText" text="Azul Petróleo">
      <formula>NOT(ISERROR(SEARCH("Azul Petróleo",W34)))</formula>
    </cfRule>
    <cfRule type="containsText" dxfId="4186" priority="1989" operator="containsText" text="Preto">
      <formula>NOT(ISERROR(SEARCH("Preto",W34)))</formula>
    </cfRule>
    <cfRule type="containsText" priority="1990" operator="containsText" text="Branco">
      <formula>NOT(ISERROR(SEARCH("Branco",W34)))</formula>
    </cfRule>
    <cfRule type="containsText" dxfId="4185" priority="1991" operator="containsText" text="Bege">
      <formula>NOT(ISERROR(SEARCH("Bege",W34)))</formula>
    </cfRule>
  </conditionalFormatting>
  <conditionalFormatting sqref="W34">
    <cfRule type="containsText" dxfId="4184" priority="1974" operator="containsText" text="Cinza">
      <formula>NOT(ISERROR(SEARCH("Cinza",W34)))</formula>
    </cfRule>
    <cfRule type="containsText" dxfId="4183" priority="1975" operator="containsText" text="Púrpura">
      <formula>NOT(ISERROR(SEARCH("Púrpura",W34)))</formula>
    </cfRule>
    <cfRule type="containsText" dxfId="4182" priority="1976" operator="containsText" text="Rosa">
      <formula>NOT(ISERROR(SEARCH("Rosa",W34)))</formula>
    </cfRule>
    <cfRule type="containsText" dxfId="4181" priority="1977" operator="containsText" text="Castanho">
      <formula>NOT(ISERROR(SEARCH("Castanho",W34)))</formula>
    </cfRule>
    <cfRule type="containsText" dxfId="4180" priority="1978" operator="containsText" text="Verde Água">
      <formula>NOT(ISERROR(SEARCH("Verde Água",W34)))</formula>
    </cfRule>
    <cfRule type="containsText" dxfId="4179" priority="1979" operator="containsText" text="Azul Petróleo">
      <formula>NOT(ISERROR(SEARCH("Azul Petróleo",W34)))</formula>
    </cfRule>
    <cfRule type="containsText" dxfId="4178" priority="1980" operator="containsText" text="Preto">
      <formula>NOT(ISERROR(SEARCH("Preto",W34)))</formula>
    </cfRule>
    <cfRule type="containsText" priority="1981" operator="containsText" text="Branco">
      <formula>NOT(ISERROR(SEARCH("Branco",W34)))</formula>
    </cfRule>
    <cfRule type="containsText" dxfId="4177" priority="1982" operator="containsText" text="Bege">
      <formula>NOT(ISERROR(SEARCH("Bege",W34)))</formula>
    </cfRule>
  </conditionalFormatting>
  <conditionalFormatting sqref="W34">
    <cfRule type="containsText" dxfId="4176" priority="1965" operator="containsText" text="Cinza">
      <formula>NOT(ISERROR(SEARCH("Cinza",W34)))</formula>
    </cfRule>
    <cfRule type="containsText" dxfId="4175" priority="1966" operator="containsText" text="Púrpura">
      <formula>NOT(ISERROR(SEARCH("Púrpura",W34)))</formula>
    </cfRule>
    <cfRule type="containsText" dxfId="4174" priority="1967" operator="containsText" text="Rosa">
      <formula>NOT(ISERROR(SEARCH("Rosa",W34)))</formula>
    </cfRule>
    <cfRule type="containsText" dxfId="4173" priority="1968" operator="containsText" text="Castanho">
      <formula>NOT(ISERROR(SEARCH("Castanho",W34)))</formula>
    </cfRule>
    <cfRule type="containsText" dxfId="4172" priority="1969" operator="containsText" text="Verde Água">
      <formula>NOT(ISERROR(SEARCH("Verde Água",W34)))</formula>
    </cfRule>
    <cfRule type="containsText" dxfId="4171" priority="1970" operator="containsText" text="Azul Petróleo">
      <formula>NOT(ISERROR(SEARCH("Azul Petróleo",W34)))</formula>
    </cfRule>
    <cfRule type="containsText" dxfId="4170" priority="1971" operator="containsText" text="Preto">
      <formula>NOT(ISERROR(SEARCH("Preto",W34)))</formula>
    </cfRule>
    <cfRule type="containsText" priority="1972" operator="containsText" text="Branco">
      <formula>NOT(ISERROR(SEARCH("Branco",W34)))</formula>
    </cfRule>
    <cfRule type="containsText" dxfId="4169" priority="1973" operator="containsText" text="Bege">
      <formula>NOT(ISERROR(SEARCH("Bege",W34)))</formula>
    </cfRule>
  </conditionalFormatting>
  <conditionalFormatting sqref="W34">
    <cfRule type="containsText" dxfId="4168" priority="1956" operator="containsText" text="Cinza">
      <formula>NOT(ISERROR(SEARCH("Cinza",W34)))</formula>
    </cfRule>
    <cfRule type="containsText" dxfId="4167" priority="1957" operator="containsText" text="Púrpura">
      <formula>NOT(ISERROR(SEARCH("Púrpura",W34)))</formula>
    </cfRule>
    <cfRule type="containsText" dxfId="4166" priority="1958" operator="containsText" text="Rosa">
      <formula>NOT(ISERROR(SEARCH("Rosa",W34)))</formula>
    </cfRule>
    <cfRule type="containsText" dxfId="4165" priority="1959" operator="containsText" text="Castanho">
      <formula>NOT(ISERROR(SEARCH("Castanho",W34)))</formula>
    </cfRule>
    <cfRule type="containsText" dxfId="4164" priority="1960" operator="containsText" text="Verde Água">
      <formula>NOT(ISERROR(SEARCH("Verde Água",W34)))</formula>
    </cfRule>
    <cfRule type="containsText" dxfId="4163" priority="1961" operator="containsText" text="Azul Petróleo">
      <formula>NOT(ISERROR(SEARCH("Azul Petróleo",W34)))</formula>
    </cfRule>
    <cfRule type="containsText" dxfId="4162" priority="1962" operator="containsText" text="Preto">
      <formula>NOT(ISERROR(SEARCH("Preto",W34)))</formula>
    </cfRule>
    <cfRule type="containsText" priority="1963" operator="containsText" text="Branco">
      <formula>NOT(ISERROR(SEARCH("Branco",W34)))</formula>
    </cfRule>
    <cfRule type="containsText" dxfId="4161" priority="1964" operator="containsText" text="Bege">
      <formula>NOT(ISERROR(SEARCH("Bege",W34)))</formula>
    </cfRule>
  </conditionalFormatting>
  <conditionalFormatting sqref="W34">
    <cfRule type="containsText" dxfId="4160" priority="1947" operator="containsText" text="Cinza">
      <formula>NOT(ISERROR(SEARCH("Cinza",W34)))</formula>
    </cfRule>
    <cfRule type="containsText" dxfId="4159" priority="1948" operator="containsText" text="Púrpura">
      <formula>NOT(ISERROR(SEARCH("Púrpura",W34)))</formula>
    </cfRule>
    <cfRule type="containsText" dxfId="4158" priority="1949" operator="containsText" text="Rosa">
      <formula>NOT(ISERROR(SEARCH("Rosa",W34)))</formula>
    </cfRule>
    <cfRule type="containsText" dxfId="4157" priority="1950" operator="containsText" text="Castanho">
      <formula>NOT(ISERROR(SEARCH("Castanho",W34)))</formula>
    </cfRule>
    <cfRule type="containsText" dxfId="4156" priority="1951" operator="containsText" text="Verde Água">
      <formula>NOT(ISERROR(SEARCH("Verde Água",W34)))</formula>
    </cfRule>
    <cfRule type="containsText" dxfId="4155" priority="1952" operator="containsText" text="Azul Petróleo">
      <formula>NOT(ISERROR(SEARCH("Azul Petróleo",W34)))</formula>
    </cfRule>
    <cfRule type="containsText" dxfId="4154" priority="1953" operator="containsText" text="Preto">
      <formula>NOT(ISERROR(SEARCH("Preto",W34)))</formula>
    </cfRule>
    <cfRule type="containsText" priority="1954" operator="containsText" text="Branco">
      <formula>NOT(ISERROR(SEARCH("Branco",W34)))</formula>
    </cfRule>
    <cfRule type="containsText" dxfId="4153" priority="1955" operator="containsText" text="Bege">
      <formula>NOT(ISERROR(SEARCH("Bege",W34)))</formula>
    </cfRule>
  </conditionalFormatting>
  <conditionalFormatting sqref="W34">
    <cfRule type="containsText" dxfId="4152" priority="1938" operator="containsText" text="Cinza">
      <formula>NOT(ISERROR(SEARCH("Cinza",W34)))</formula>
    </cfRule>
    <cfRule type="containsText" dxfId="4151" priority="1939" operator="containsText" text="Púrpura">
      <formula>NOT(ISERROR(SEARCH("Púrpura",W34)))</formula>
    </cfRule>
    <cfRule type="containsText" dxfId="4150" priority="1940" operator="containsText" text="Rosa">
      <formula>NOT(ISERROR(SEARCH("Rosa",W34)))</formula>
    </cfRule>
    <cfRule type="containsText" dxfId="4149" priority="1941" operator="containsText" text="Castanho">
      <formula>NOT(ISERROR(SEARCH("Castanho",W34)))</formula>
    </cfRule>
    <cfRule type="containsText" dxfId="4148" priority="1942" operator="containsText" text="Verde Água">
      <formula>NOT(ISERROR(SEARCH("Verde Água",W34)))</formula>
    </cfRule>
    <cfRule type="containsText" dxfId="4147" priority="1943" operator="containsText" text="Azul Petróleo">
      <formula>NOT(ISERROR(SEARCH("Azul Petróleo",W34)))</formula>
    </cfRule>
    <cfRule type="containsText" dxfId="4146" priority="1944" operator="containsText" text="Preto">
      <formula>NOT(ISERROR(SEARCH("Preto",W34)))</formula>
    </cfRule>
    <cfRule type="containsText" priority="1945" operator="containsText" text="Branco">
      <formula>NOT(ISERROR(SEARCH("Branco",W34)))</formula>
    </cfRule>
    <cfRule type="containsText" dxfId="4145" priority="1946" operator="containsText" text="Bege">
      <formula>NOT(ISERROR(SEARCH("Bege",W34)))</formula>
    </cfRule>
  </conditionalFormatting>
  <conditionalFormatting sqref="W34">
    <cfRule type="containsText" dxfId="4144" priority="1929" operator="containsText" text="Cinza">
      <formula>NOT(ISERROR(SEARCH("Cinza",W34)))</formula>
    </cfRule>
    <cfRule type="containsText" dxfId="4143" priority="1930" operator="containsText" text="Púrpura">
      <formula>NOT(ISERROR(SEARCH("Púrpura",W34)))</formula>
    </cfRule>
    <cfRule type="containsText" dxfId="4142" priority="1931" operator="containsText" text="Rosa">
      <formula>NOT(ISERROR(SEARCH("Rosa",W34)))</formula>
    </cfRule>
    <cfRule type="containsText" dxfId="4141" priority="1932" operator="containsText" text="Castanho">
      <formula>NOT(ISERROR(SEARCH("Castanho",W34)))</formula>
    </cfRule>
    <cfRule type="containsText" dxfId="4140" priority="1933" operator="containsText" text="Verde Água">
      <formula>NOT(ISERROR(SEARCH("Verde Água",W34)))</formula>
    </cfRule>
    <cfRule type="containsText" dxfId="4139" priority="1934" operator="containsText" text="Azul Petróleo">
      <formula>NOT(ISERROR(SEARCH("Azul Petróleo",W34)))</formula>
    </cfRule>
    <cfRule type="containsText" dxfId="4138" priority="1935" operator="containsText" text="Preto">
      <formula>NOT(ISERROR(SEARCH("Preto",W34)))</formula>
    </cfRule>
    <cfRule type="containsText" priority="1936" operator="containsText" text="Branco">
      <formula>NOT(ISERROR(SEARCH("Branco",W34)))</formula>
    </cfRule>
    <cfRule type="containsText" dxfId="4137" priority="1937" operator="containsText" text="Bege">
      <formula>NOT(ISERROR(SEARCH("Bege",W34)))</formula>
    </cfRule>
  </conditionalFormatting>
  <conditionalFormatting sqref="W34">
    <cfRule type="containsText" dxfId="4136" priority="1920" operator="containsText" text="Escuro">
      <formula>NOT(ISERROR(SEARCH("Escuro",W34)))</formula>
    </cfRule>
    <cfRule type="containsText" dxfId="4135" priority="1921" operator="containsText" text="Cinza">
      <formula>NOT(ISERROR(SEARCH("Cinza",W34)))</formula>
    </cfRule>
    <cfRule type="containsText" dxfId="4134" priority="1922" operator="containsText" text="Púrpura">
      <formula>NOT(ISERROR(SEARCH("Púrpura",W34)))</formula>
    </cfRule>
    <cfRule type="containsText" dxfId="4133" priority="1923" operator="containsText" text="Rosa">
      <formula>NOT(ISERROR(SEARCH("Rosa",W34)))</formula>
    </cfRule>
    <cfRule type="containsText" dxfId="4132" priority="1924" operator="containsText" text="Castanho">
      <formula>NOT(ISERROR(SEARCH("Castanho",W34)))</formula>
    </cfRule>
    <cfRule type="containsText" dxfId="4131" priority="1925" operator="containsText" text="Verde Água">
      <formula>NOT(ISERROR(SEARCH("Verde Água",W34)))</formula>
    </cfRule>
    <cfRule type="containsText" dxfId="4130" priority="1926" operator="containsText" text="Azul Petróleo">
      <formula>NOT(ISERROR(SEARCH("Azul Petróleo",W34)))</formula>
    </cfRule>
    <cfRule type="containsText" dxfId="4129" priority="1927" operator="containsText" text="Preto">
      <formula>NOT(ISERROR(SEARCH("Preto",W34)))</formula>
    </cfRule>
    <cfRule type="containsText" priority="1928" operator="containsText" text="Branco">
      <formula>NOT(ISERROR(SEARCH("Branco",W34)))</formula>
    </cfRule>
  </conditionalFormatting>
  <conditionalFormatting sqref="W46">
    <cfRule type="containsText" dxfId="4128" priority="1911" operator="containsText" text="Cinza">
      <formula>NOT(ISERROR(SEARCH("Cinza",W46)))</formula>
    </cfRule>
    <cfRule type="containsText" dxfId="4127" priority="1912" operator="containsText" text="Púrpura">
      <formula>NOT(ISERROR(SEARCH("Púrpura",W46)))</formula>
    </cfRule>
    <cfRule type="containsText" dxfId="4126" priority="1913" operator="containsText" text="Rosa">
      <formula>NOT(ISERROR(SEARCH("Rosa",W46)))</formula>
    </cfRule>
    <cfRule type="containsText" dxfId="4125" priority="1914" operator="containsText" text="Castanho">
      <formula>NOT(ISERROR(SEARCH("Castanho",W46)))</formula>
    </cfRule>
    <cfRule type="containsText" dxfId="4124" priority="1915" operator="containsText" text="Verde Água">
      <formula>NOT(ISERROR(SEARCH("Verde Água",W46)))</formula>
    </cfRule>
    <cfRule type="containsText" dxfId="4123" priority="1916" operator="containsText" text="Azul Petróleo">
      <formula>NOT(ISERROR(SEARCH("Azul Petróleo",W46)))</formula>
    </cfRule>
    <cfRule type="containsText" dxfId="4122" priority="1917" operator="containsText" text="Preto">
      <formula>NOT(ISERROR(SEARCH("Preto",W46)))</formula>
    </cfRule>
    <cfRule type="containsText" priority="1918" operator="containsText" text="Branco">
      <formula>NOT(ISERROR(SEARCH("Branco",W46)))</formula>
    </cfRule>
    <cfRule type="containsText" dxfId="4121" priority="1919" operator="containsText" text="Bege">
      <formula>NOT(ISERROR(SEARCH("Bege",W46)))</formula>
    </cfRule>
  </conditionalFormatting>
  <conditionalFormatting sqref="W46">
    <cfRule type="containsText" dxfId="4120" priority="1902" operator="containsText" text="Cinza">
      <formula>NOT(ISERROR(SEARCH("Cinza",W46)))</formula>
    </cfRule>
    <cfRule type="containsText" dxfId="4119" priority="1903" operator="containsText" text="Púrpura">
      <formula>NOT(ISERROR(SEARCH("Púrpura",W46)))</formula>
    </cfRule>
    <cfRule type="containsText" dxfId="4118" priority="1904" operator="containsText" text="Rosa">
      <formula>NOT(ISERROR(SEARCH("Rosa",W46)))</formula>
    </cfRule>
    <cfRule type="containsText" dxfId="4117" priority="1905" operator="containsText" text="Castanho">
      <formula>NOT(ISERROR(SEARCH("Castanho",W46)))</formula>
    </cfRule>
    <cfRule type="containsText" dxfId="4116" priority="1906" operator="containsText" text="Verde Água">
      <formula>NOT(ISERROR(SEARCH("Verde Água",W46)))</formula>
    </cfRule>
    <cfRule type="containsText" dxfId="4115" priority="1907" operator="containsText" text="Azul Petróleo">
      <formula>NOT(ISERROR(SEARCH("Azul Petróleo",W46)))</formula>
    </cfRule>
    <cfRule type="containsText" dxfId="4114" priority="1908" operator="containsText" text="Preto">
      <formula>NOT(ISERROR(SEARCH("Preto",W46)))</formula>
    </cfRule>
    <cfRule type="containsText" priority="1909" operator="containsText" text="Branco">
      <formula>NOT(ISERROR(SEARCH("Branco",W46)))</formula>
    </cfRule>
    <cfRule type="containsText" dxfId="4113" priority="1910" operator="containsText" text="Bege">
      <formula>NOT(ISERROR(SEARCH("Bege",W46)))</formula>
    </cfRule>
  </conditionalFormatting>
  <conditionalFormatting sqref="W46">
    <cfRule type="containsText" dxfId="4112" priority="1893" operator="containsText" text="Cinza">
      <formula>NOT(ISERROR(SEARCH("Cinza",W46)))</formula>
    </cfRule>
    <cfRule type="containsText" dxfId="4111" priority="1894" operator="containsText" text="Púrpura">
      <formula>NOT(ISERROR(SEARCH("Púrpura",W46)))</formula>
    </cfRule>
    <cfRule type="containsText" dxfId="4110" priority="1895" operator="containsText" text="Rosa">
      <formula>NOT(ISERROR(SEARCH("Rosa",W46)))</formula>
    </cfRule>
    <cfRule type="containsText" dxfId="4109" priority="1896" operator="containsText" text="Castanho">
      <formula>NOT(ISERROR(SEARCH("Castanho",W46)))</formula>
    </cfRule>
    <cfRule type="containsText" dxfId="4108" priority="1897" operator="containsText" text="Verde Água">
      <formula>NOT(ISERROR(SEARCH("Verde Água",W46)))</formula>
    </cfRule>
    <cfRule type="containsText" dxfId="4107" priority="1898" operator="containsText" text="Azul Petróleo">
      <formula>NOT(ISERROR(SEARCH("Azul Petróleo",W46)))</formula>
    </cfRule>
    <cfRule type="containsText" dxfId="4106" priority="1899" operator="containsText" text="Preto">
      <formula>NOT(ISERROR(SEARCH("Preto",W46)))</formula>
    </cfRule>
    <cfRule type="containsText" priority="1900" operator="containsText" text="Branco">
      <formula>NOT(ISERROR(SEARCH("Branco",W46)))</formula>
    </cfRule>
    <cfRule type="containsText" dxfId="4105" priority="1901" operator="containsText" text="Bege">
      <formula>NOT(ISERROR(SEARCH("Bege",W46)))</formula>
    </cfRule>
  </conditionalFormatting>
  <conditionalFormatting sqref="W46">
    <cfRule type="containsText" dxfId="4104" priority="1884" operator="containsText" text="Cinza">
      <formula>NOT(ISERROR(SEARCH("Cinza",W46)))</formula>
    </cfRule>
    <cfRule type="containsText" dxfId="4103" priority="1885" operator="containsText" text="Púrpura">
      <formula>NOT(ISERROR(SEARCH("Púrpura",W46)))</formula>
    </cfRule>
    <cfRule type="containsText" dxfId="4102" priority="1886" operator="containsText" text="Rosa">
      <formula>NOT(ISERROR(SEARCH("Rosa",W46)))</formula>
    </cfRule>
    <cfRule type="containsText" dxfId="4101" priority="1887" operator="containsText" text="Castanho">
      <formula>NOT(ISERROR(SEARCH("Castanho",W46)))</formula>
    </cfRule>
    <cfRule type="containsText" dxfId="4100" priority="1888" operator="containsText" text="Verde Água">
      <formula>NOT(ISERROR(SEARCH("Verde Água",W46)))</formula>
    </cfRule>
    <cfRule type="containsText" dxfId="4099" priority="1889" operator="containsText" text="Azul Petróleo">
      <formula>NOT(ISERROR(SEARCH("Azul Petróleo",W46)))</formula>
    </cfRule>
    <cfRule type="containsText" dxfId="4098" priority="1890" operator="containsText" text="Preto">
      <formula>NOT(ISERROR(SEARCH("Preto",W46)))</formula>
    </cfRule>
    <cfRule type="containsText" priority="1891" operator="containsText" text="Branco">
      <formula>NOT(ISERROR(SEARCH("Branco",W46)))</formula>
    </cfRule>
    <cfRule type="containsText" dxfId="4097" priority="1892" operator="containsText" text="Bege">
      <formula>NOT(ISERROR(SEARCH("Bege",W46)))</formula>
    </cfRule>
  </conditionalFormatting>
  <conditionalFormatting sqref="W46">
    <cfRule type="containsText" dxfId="4096" priority="1875" operator="containsText" text="Cinza">
      <formula>NOT(ISERROR(SEARCH("Cinza",W46)))</formula>
    </cfRule>
    <cfRule type="containsText" dxfId="4095" priority="1876" operator="containsText" text="Púrpura">
      <formula>NOT(ISERROR(SEARCH("Púrpura",W46)))</formula>
    </cfRule>
    <cfRule type="containsText" dxfId="4094" priority="1877" operator="containsText" text="Rosa">
      <formula>NOT(ISERROR(SEARCH("Rosa",W46)))</formula>
    </cfRule>
    <cfRule type="containsText" dxfId="4093" priority="1878" operator="containsText" text="Castanho">
      <formula>NOT(ISERROR(SEARCH("Castanho",W46)))</formula>
    </cfRule>
    <cfRule type="containsText" dxfId="4092" priority="1879" operator="containsText" text="Verde Água">
      <formula>NOT(ISERROR(SEARCH("Verde Água",W46)))</formula>
    </cfRule>
    <cfRule type="containsText" dxfId="4091" priority="1880" operator="containsText" text="Azul Petróleo">
      <formula>NOT(ISERROR(SEARCH("Azul Petróleo",W46)))</formula>
    </cfRule>
    <cfRule type="containsText" dxfId="4090" priority="1881" operator="containsText" text="Preto">
      <formula>NOT(ISERROR(SEARCH("Preto",W46)))</formula>
    </cfRule>
    <cfRule type="containsText" priority="1882" operator="containsText" text="Branco">
      <formula>NOT(ISERROR(SEARCH("Branco",W46)))</formula>
    </cfRule>
    <cfRule type="containsText" dxfId="4089" priority="1883" operator="containsText" text="Bege">
      <formula>NOT(ISERROR(SEARCH("Bege",W46)))</formula>
    </cfRule>
  </conditionalFormatting>
  <conditionalFormatting sqref="W46">
    <cfRule type="containsText" dxfId="4088" priority="1866" operator="containsText" text="Cinza">
      <formula>NOT(ISERROR(SEARCH("Cinza",W46)))</formula>
    </cfRule>
    <cfRule type="containsText" dxfId="4087" priority="1867" operator="containsText" text="Púrpura">
      <formula>NOT(ISERROR(SEARCH("Púrpura",W46)))</formula>
    </cfRule>
    <cfRule type="containsText" dxfId="4086" priority="1868" operator="containsText" text="Rosa">
      <formula>NOT(ISERROR(SEARCH("Rosa",W46)))</formula>
    </cfRule>
    <cfRule type="containsText" dxfId="4085" priority="1869" operator="containsText" text="Castanho">
      <formula>NOT(ISERROR(SEARCH("Castanho",W46)))</formula>
    </cfRule>
    <cfRule type="containsText" dxfId="4084" priority="1870" operator="containsText" text="Verde Água">
      <formula>NOT(ISERROR(SEARCH("Verde Água",W46)))</formula>
    </cfRule>
    <cfRule type="containsText" dxfId="4083" priority="1871" operator="containsText" text="Azul Petróleo">
      <formula>NOT(ISERROR(SEARCH("Azul Petróleo",W46)))</formula>
    </cfRule>
    <cfRule type="containsText" dxfId="4082" priority="1872" operator="containsText" text="Preto">
      <formula>NOT(ISERROR(SEARCH("Preto",W46)))</formula>
    </cfRule>
    <cfRule type="containsText" priority="1873" operator="containsText" text="Branco">
      <formula>NOT(ISERROR(SEARCH("Branco",W46)))</formula>
    </cfRule>
    <cfRule type="containsText" dxfId="4081" priority="1874" operator="containsText" text="Bege">
      <formula>NOT(ISERROR(SEARCH("Bege",W46)))</formula>
    </cfRule>
  </conditionalFormatting>
  <conditionalFormatting sqref="W46">
    <cfRule type="containsText" dxfId="4080" priority="1857" operator="containsText" text="Cinza">
      <formula>NOT(ISERROR(SEARCH("Cinza",W46)))</formula>
    </cfRule>
    <cfRule type="containsText" dxfId="4079" priority="1858" operator="containsText" text="Púrpura">
      <formula>NOT(ISERROR(SEARCH("Púrpura",W46)))</formula>
    </cfRule>
    <cfRule type="containsText" dxfId="4078" priority="1859" operator="containsText" text="Rosa">
      <formula>NOT(ISERROR(SEARCH("Rosa",W46)))</formula>
    </cfRule>
    <cfRule type="containsText" dxfId="4077" priority="1860" operator="containsText" text="Castanho">
      <formula>NOT(ISERROR(SEARCH("Castanho",W46)))</formula>
    </cfRule>
    <cfRule type="containsText" dxfId="4076" priority="1861" operator="containsText" text="Verde Água">
      <formula>NOT(ISERROR(SEARCH("Verde Água",W46)))</formula>
    </cfRule>
    <cfRule type="containsText" dxfId="4075" priority="1862" operator="containsText" text="Azul Petróleo">
      <formula>NOT(ISERROR(SEARCH("Azul Petróleo",W46)))</formula>
    </cfRule>
    <cfRule type="containsText" dxfId="4074" priority="1863" operator="containsText" text="Preto">
      <formula>NOT(ISERROR(SEARCH("Preto",W46)))</formula>
    </cfRule>
    <cfRule type="containsText" priority="1864" operator="containsText" text="Branco">
      <formula>NOT(ISERROR(SEARCH("Branco",W46)))</formula>
    </cfRule>
    <cfRule type="containsText" dxfId="4073" priority="1865" operator="containsText" text="Bege">
      <formula>NOT(ISERROR(SEARCH("Bege",W46)))</formula>
    </cfRule>
  </conditionalFormatting>
  <conditionalFormatting sqref="W46">
    <cfRule type="containsText" dxfId="4072" priority="1848" operator="containsText" text="Cinza">
      <formula>NOT(ISERROR(SEARCH("Cinza",W46)))</formula>
    </cfRule>
    <cfRule type="containsText" dxfId="4071" priority="1849" operator="containsText" text="Púrpura">
      <formula>NOT(ISERROR(SEARCH("Púrpura",W46)))</formula>
    </cfRule>
    <cfRule type="containsText" dxfId="4070" priority="1850" operator="containsText" text="Rosa">
      <formula>NOT(ISERROR(SEARCH("Rosa",W46)))</formula>
    </cfRule>
    <cfRule type="containsText" dxfId="4069" priority="1851" operator="containsText" text="Castanho">
      <formula>NOT(ISERROR(SEARCH("Castanho",W46)))</formula>
    </cfRule>
    <cfRule type="containsText" dxfId="4068" priority="1852" operator="containsText" text="Verde Água">
      <formula>NOT(ISERROR(SEARCH("Verde Água",W46)))</formula>
    </cfRule>
    <cfRule type="containsText" dxfId="4067" priority="1853" operator="containsText" text="Azul Petróleo">
      <formula>NOT(ISERROR(SEARCH("Azul Petróleo",W46)))</formula>
    </cfRule>
    <cfRule type="containsText" dxfId="4066" priority="1854" operator="containsText" text="Preto">
      <formula>NOT(ISERROR(SEARCH("Preto",W46)))</formula>
    </cfRule>
    <cfRule type="containsText" priority="1855" operator="containsText" text="Branco">
      <formula>NOT(ISERROR(SEARCH("Branco",W46)))</formula>
    </cfRule>
    <cfRule type="containsText" dxfId="4065" priority="1856" operator="containsText" text="Bege">
      <formula>NOT(ISERROR(SEARCH("Bege",W46)))</formula>
    </cfRule>
  </conditionalFormatting>
  <conditionalFormatting sqref="W46">
    <cfRule type="containsText" dxfId="4064" priority="1839" operator="containsText" text="Cinza">
      <formula>NOT(ISERROR(SEARCH("Cinza",W46)))</formula>
    </cfRule>
    <cfRule type="containsText" dxfId="4063" priority="1840" operator="containsText" text="Púrpura">
      <formula>NOT(ISERROR(SEARCH("Púrpura",W46)))</formula>
    </cfRule>
    <cfRule type="containsText" dxfId="4062" priority="1841" operator="containsText" text="Rosa">
      <formula>NOT(ISERROR(SEARCH("Rosa",W46)))</formula>
    </cfRule>
    <cfRule type="containsText" dxfId="4061" priority="1842" operator="containsText" text="Castanho">
      <formula>NOT(ISERROR(SEARCH("Castanho",W46)))</formula>
    </cfRule>
    <cfRule type="containsText" dxfId="4060" priority="1843" operator="containsText" text="Verde Água">
      <formula>NOT(ISERROR(SEARCH("Verde Água",W46)))</formula>
    </cfRule>
    <cfRule type="containsText" dxfId="4059" priority="1844" operator="containsText" text="Azul Petróleo">
      <formula>NOT(ISERROR(SEARCH("Azul Petróleo",W46)))</formula>
    </cfRule>
    <cfRule type="containsText" dxfId="4058" priority="1845" operator="containsText" text="Preto">
      <formula>NOT(ISERROR(SEARCH("Preto",W46)))</formula>
    </cfRule>
    <cfRule type="containsText" priority="1846" operator="containsText" text="Branco">
      <formula>NOT(ISERROR(SEARCH("Branco",W46)))</formula>
    </cfRule>
    <cfRule type="containsText" dxfId="4057" priority="1847" operator="containsText" text="Bege">
      <formula>NOT(ISERROR(SEARCH("Bege",W46)))</formula>
    </cfRule>
  </conditionalFormatting>
  <conditionalFormatting sqref="W46">
    <cfRule type="containsText" dxfId="4056" priority="1830" operator="containsText" text="Cinza">
      <formula>NOT(ISERROR(SEARCH("Cinza",W46)))</formula>
    </cfRule>
    <cfRule type="containsText" dxfId="4055" priority="1831" operator="containsText" text="Púrpura">
      <formula>NOT(ISERROR(SEARCH("Púrpura",W46)))</formula>
    </cfRule>
    <cfRule type="containsText" dxfId="4054" priority="1832" operator="containsText" text="Rosa">
      <formula>NOT(ISERROR(SEARCH("Rosa",W46)))</formula>
    </cfRule>
    <cfRule type="containsText" dxfId="4053" priority="1833" operator="containsText" text="Castanho">
      <formula>NOT(ISERROR(SEARCH("Castanho",W46)))</formula>
    </cfRule>
    <cfRule type="containsText" dxfId="4052" priority="1834" operator="containsText" text="Verde Água">
      <formula>NOT(ISERROR(SEARCH("Verde Água",W46)))</formula>
    </cfRule>
    <cfRule type="containsText" dxfId="4051" priority="1835" operator="containsText" text="Azul Petróleo">
      <formula>NOT(ISERROR(SEARCH("Azul Petróleo",W46)))</formula>
    </cfRule>
    <cfRule type="containsText" dxfId="4050" priority="1836" operator="containsText" text="Preto">
      <formula>NOT(ISERROR(SEARCH("Preto",W46)))</formula>
    </cfRule>
    <cfRule type="containsText" priority="1837" operator="containsText" text="Branco">
      <formula>NOT(ISERROR(SEARCH("Branco",W46)))</formula>
    </cfRule>
    <cfRule type="containsText" dxfId="4049" priority="1838" operator="containsText" text="Bege">
      <formula>NOT(ISERROR(SEARCH("Bege",W46)))</formula>
    </cfRule>
  </conditionalFormatting>
  <conditionalFormatting sqref="W46">
    <cfRule type="containsText" dxfId="4048" priority="1821" operator="containsText" text="Cinza">
      <formula>NOT(ISERROR(SEARCH("Cinza",W46)))</formula>
    </cfRule>
    <cfRule type="containsText" dxfId="4047" priority="1822" operator="containsText" text="Púrpura">
      <formula>NOT(ISERROR(SEARCH("Púrpura",W46)))</formula>
    </cfRule>
    <cfRule type="containsText" dxfId="4046" priority="1823" operator="containsText" text="Rosa">
      <formula>NOT(ISERROR(SEARCH("Rosa",W46)))</formula>
    </cfRule>
    <cfRule type="containsText" dxfId="4045" priority="1824" operator="containsText" text="Castanho">
      <formula>NOT(ISERROR(SEARCH("Castanho",W46)))</formula>
    </cfRule>
    <cfRule type="containsText" dxfId="4044" priority="1825" operator="containsText" text="Verde Água">
      <formula>NOT(ISERROR(SEARCH("Verde Água",W46)))</formula>
    </cfRule>
    <cfRule type="containsText" dxfId="4043" priority="1826" operator="containsText" text="Azul Petróleo">
      <formula>NOT(ISERROR(SEARCH("Azul Petróleo",W46)))</formula>
    </cfRule>
    <cfRule type="containsText" dxfId="4042" priority="1827" operator="containsText" text="Preto">
      <formula>NOT(ISERROR(SEARCH("Preto",W46)))</formula>
    </cfRule>
    <cfRule type="containsText" priority="1828" operator="containsText" text="Branco">
      <formula>NOT(ISERROR(SEARCH("Branco",W46)))</formula>
    </cfRule>
    <cfRule type="containsText" dxfId="4041" priority="1829" operator="containsText" text="Bege">
      <formula>NOT(ISERROR(SEARCH("Bege",W46)))</formula>
    </cfRule>
  </conditionalFormatting>
  <conditionalFormatting sqref="W46">
    <cfRule type="containsText" dxfId="4040" priority="1812" operator="containsText" text="Cinza">
      <formula>NOT(ISERROR(SEARCH("Cinza",W46)))</formula>
    </cfRule>
    <cfRule type="containsText" dxfId="4039" priority="1813" operator="containsText" text="Púrpura">
      <formula>NOT(ISERROR(SEARCH("Púrpura",W46)))</formula>
    </cfRule>
    <cfRule type="containsText" dxfId="4038" priority="1814" operator="containsText" text="Rosa">
      <formula>NOT(ISERROR(SEARCH("Rosa",W46)))</formula>
    </cfRule>
    <cfRule type="containsText" dxfId="4037" priority="1815" operator="containsText" text="Castanho">
      <formula>NOT(ISERROR(SEARCH("Castanho",W46)))</formula>
    </cfRule>
    <cfRule type="containsText" dxfId="4036" priority="1816" operator="containsText" text="Verde Água">
      <formula>NOT(ISERROR(SEARCH("Verde Água",W46)))</formula>
    </cfRule>
    <cfRule type="containsText" dxfId="4035" priority="1817" operator="containsText" text="Azul Petróleo">
      <formula>NOT(ISERROR(SEARCH("Azul Petróleo",W46)))</formula>
    </cfRule>
    <cfRule type="containsText" dxfId="4034" priority="1818" operator="containsText" text="Preto">
      <formula>NOT(ISERROR(SEARCH("Preto",W46)))</formula>
    </cfRule>
    <cfRule type="containsText" priority="1819" operator="containsText" text="Branco">
      <formula>NOT(ISERROR(SEARCH("Branco",W46)))</formula>
    </cfRule>
    <cfRule type="containsText" dxfId="4033" priority="1820" operator="containsText" text="Bege">
      <formula>NOT(ISERROR(SEARCH("Bege",W46)))</formula>
    </cfRule>
  </conditionalFormatting>
  <conditionalFormatting sqref="W46">
    <cfRule type="containsText" dxfId="4032" priority="1803" operator="containsText" text="Cinza">
      <formula>NOT(ISERROR(SEARCH("Cinza",W46)))</formula>
    </cfRule>
    <cfRule type="containsText" dxfId="4031" priority="1804" operator="containsText" text="Púrpura">
      <formula>NOT(ISERROR(SEARCH("Púrpura",W46)))</formula>
    </cfRule>
    <cfRule type="containsText" dxfId="4030" priority="1805" operator="containsText" text="Rosa">
      <formula>NOT(ISERROR(SEARCH("Rosa",W46)))</formula>
    </cfRule>
    <cfRule type="containsText" dxfId="4029" priority="1806" operator="containsText" text="Castanho">
      <formula>NOT(ISERROR(SEARCH("Castanho",W46)))</formula>
    </cfRule>
    <cfRule type="containsText" dxfId="4028" priority="1807" operator="containsText" text="Verde Água">
      <formula>NOT(ISERROR(SEARCH("Verde Água",W46)))</formula>
    </cfRule>
    <cfRule type="containsText" dxfId="4027" priority="1808" operator="containsText" text="Azul Petróleo">
      <formula>NOT(ISERROR(SEARCH("Azul Petróleo",W46)))</formula>
    </cfRule>
    <cfRule type="containsText" dxfId="4026" priority="1809" operator="containsText" text="Preto">
      <formula>NOT(ISERROR(SEARCH("Preto",W46)))</formula>
    </cfRule>
    <cfRule type="containsText" priority="1810" operator="containsText" text="Branco">
      <formula>NOT(ISERROR(SEARCH("Branco",W46)))</formula>
    </cfRule>
    <cfRule type="containsText" dxfId="4025" priority="1811" operator="containsText" text="Bege">
      <formula>NOT(ISERROR(SEARCH("Bege",W46)))</formula>
    </cfRule>
  </conditionalFormatting>
  <conditionalFormatting sqref="W46">
    <cfRule type="containsText" dxfId="4024" priority="1794" operator="containsText" text="Cinza">
      <formula>NOT(ISERROR(SEARCH("Cinza",W46)))</formula>
    </cfRule>
    <cfRule type="containsText" dxfId="4023" priority="1795" operator="containsText" text="Púrpura">
      <formula>NOT(ISERROR(SEARCH("Púrpura",W46)))</formula>
    </cfRule>
    <cfRule type="containsText" dxfId="4022" priority="1796" operator="containsText" text="Rosa">
      <formula>NOT(ISERROR(SEARCH("Rosa",W46)))</formula>
    </cfRule>
    <cfRule type="containsText" dxfId="4021" priority="1797" operator="containsText" text="Castanho">
      <formula>NOT(ISERROR(SEARCH("Castanho",W46)))</formula>
    </cfRule>
    <cfRule type="containsText" dxfId="4020" priority="1798" operator="containsText" text="Verde Água">
      <formula>NOT(ISERROR(SEARCH("Verde Água",W46)))</formula>
    </cfRule>
    <cfRule type="containsText" dxfId="4019" priority="1799" operator="containsText" text="Azul Petróleo">
      <formula>NOT(ISERROR(SEARCH("Azul Petróleo",W46)))</formula>
    </cfRule>
    <cfRule type="containsText" dxfId="4018" priority="1800" operator="containsText" text="Preto">
      <formula>NOT(ISERROR(SEARCH("Preto",W46)))</formula>
    </cfRule>
    <cfRule type="containsText" priority="1801" operator="containsText" text="Branco">
      <formula>NOT(ISERROR(SEARCH("Branco",W46)))</formula>
    </cfRule>
    <cfRule type="containsText" dxfId="4017" priority="1802" operator="containsText" text="Bege">
      <formula>NOT(ISERROR(SEARCH("Bege",W46)))</formula>
    </cfRule>
  </conditionalFormatting>
  <conditionalFormatting sqref="W46">
    <cfRule type="containsText" dxfId="4016" priority="1785" operator="containsText" text="Cinza">
      <formula>NOT(ISERROR(SEARCH("Cinza",W46)))</formula>
    </cfRule>
    <cfRule type="containsText" dxfId="4015" priority="1786" operator="containsText" text="Púrpura">
      <formula>NOT(ISERROR(SEARCH("Púrpura",W46)))</formula>
    </cfRule>
    <cfRule type="containsText" dxfId="4014" priority="1787" operator="containsText" text="Rosa">
      <formula>NOT(ISERROR(SEARCH("Rosa",W46)))</formula>
    </cfRule>
    <cfRule type="containsText" dxfId="4013" priority="1788" operator="containsText" text="Castanho">
      <formula>NOT(ISERROR(SEARCH("Castanho",W46)))</formula>
    </cfRule>
    <cfRule type="containsText" dxfId="4012" priority="1789" operator="containsText" text="Verde Água">
      <formula>NOT(ISERROR(SEARCH("Verde Água",W46)))</formula>
    </cfRule>
    <cfRule type="containsText" dxfId="4011" priority="1790" operator="containsText" text="Azul Petróleo">
      <formula>NOT(ISERROR(SEARCH("Azul Petróleo",W46)))</formula>
    </cfRule>
    <cfRule type="containsText" dxfId="4010" priority="1791" operator="containsText" text="Preto">
      <formula>NOT(ISERROR(SEARCH("Preto",W46)))</formula>
    </cfRule>
    <cfRule type="containsText" priority="1792" operator="containsText" text="Branco">
      <formula>NOT(ISERROR(SEARCH("Branco",W46)))</formula>
    </cfRule>
    <cfRule type="containsText" dxfId="4009" priority="1793" operator="containsText" text="Bege">
      <formula>NOT(ISERROR(SEARCH("Bege",W46)))</formula>
    </cfRule>
  </conditionalFormatting>
  <conditionalFormatting sqref="W46">
    <cfRule type="containsText" dxfId="4008" priority="1776" operator="containsText" text="Cinza">
      <formula>NOT(ISERROR(SEARCH("Cinza",W46)))</formula>
    </cfRule>
    <cfRule type="containsText" dxfId="4007" priority="1777" operator="containsText" text="Púrpura">
      <formula>NOT(ISERROR(SEARCH("Púrpura",W46)))</formula>
    </cfRule>
    <cfRule type="containsText" dxfId="4006" priority="1778" operator="containsText" text="Rosa">
      <formula>NOT(ISERROR(SEARCH("Rosa",W46)))</formula>
    </cfRule>
    <cfRule type="containsText" dxfId="4005" priority="1779" operator="containsText" text="Castanho">
      <formula>NOT(ISERROR(SEARCH("Castanho",W46)))</formula>
    </cfRule>
    <cfRule type="containsText" dxfId="4004" priority="1780" operator="containsText" text="Verde Água">
      <formula>NOT(ISERROR(SEARCH("Verde Água",W46)))</formula>
    </cfRule>
    <cfRule type="containsText" dxfId="4003" priority="1781" operator="containsText" text="Azul Petróleo">
      <formula>NOT(ISERROR(SEARCH("Azul Petróleo",W46)))</formula>
    </cfRule>
    <cfRule type="containsText" dxfId="4002" priority="1782" operator="containsText" text="Preto">
      <formula>NOT(ISERROR(SEARCH("Preto",W46)))</formula>
    </cfRule>
    <cfRule type="containsText" priority="1783" operator="containsText" text="Branco">
      <formula>NOT(ISERROR(SEARCH("Branco",W46)))</formula>
    </cfRule>
    <cfRule type="containsText" dxfId="4001" priority="1784" operator="containsText" text="Bege">
      <formula>NOT(ISERROR(SEARCH("Bege",W46)))</formula>
    </cfRule>
  </conditionalFormatting>
  <conditionalFormatting sqref="W46">
    <cfRule type="containsText" dxfId="4000" priority="1767" operator="containsText" text="Escuro">
      <formula>NOT(ISERROR(SEARCH("Escuro",W46)))</formula>
    </cfRule>
    <cfRule type="containsText" dxfId="3999" priority="1768" operator="containsText" text="Cinza">
      <formula>NOT(ISERROR(SEARCH("Cinza",W46)))</formula>
    </cfRule>
    <cfRule type="containsText" dxfId="3998" priority="1769" operator="containsText" text="Púrpura">
      <formula>NOT(ISERROR(SEARCH("Púrpura",W46)))</formula>
    </cfRule>
    <cfRule type="containsText" dxfId="3997" priority="1770" operator="containsText" text="Rosa">
      <formula>NOT(ISERROR(SEARCH("Rosa",W46)))</formula>
    </cfRule>
    <cfRule type="containsText" dxfId="3996" priority="1771" operator="containsText" text="Castanho">
      <formula>NOT(ISERROR(SEARCH("Castanho",W46)))</formula>
    </cfRule>
    <cfRule type="containsText" dxfId="3995" priority="1772" operator="containsText" text="Verde Água">
      <formula>NOT(ISERROR(SEARCH("Verde Água",W46)))</formula>
    </cfRule>
    <cfRule type="containsText" dxfId="3994" priority="1773" operator="containsText" text="Azul Petróleo">
      <formula>NOT(ISERROR(SEARCH("Azul Petróleo",W46)))</formula>
    </cfRule>
    <cfRule type="containsText" dxfId="3993" priority="1774" operator="containsText" text="Preto">
      <formula>NOT(ISERROR(SEARCH("Preto",W46)))</formula>
    </cfRule>
    <cfRule type="containsText" priority="1775" operator="containsText" text="Branco">
      <formula>NOT(ISERROR(SEARCH("Branco",W46)))</formula>
    </cfRule>
  </conditionalFormatting>
  <conditionalFormatting sqref="W44">
    <cfRule type="containsText" dxfId="3992" priority="1758" operator="containsText" text="Cinza">
      <formula>NOT(ISERROR(SEARCH("Cinza",W44)))</formula>
    </cfRule>
    <cfRule type="containsText" dxfId="3991" priority="1759" operator="containsText" text="Púrpura">
      <formula>NOT(ISERROR(SEARCH("Púrpura",W44)))</formula>
    </cfRule>
    <cfRule type="containsText" dxfId="3990" priority="1760" operator="containsText" text="Rosa">
      <formula>NOT(ISERROR(SEARCH("Rosa",W44)))</formula>
    </cfRule>
    <cfRule type="containsText" dxfId="3989" priority="1761" operator="containsText" text="Castanho">
      <formula>NOT(ISERROR(SEARCH("Castanho",W44)))</formula>
    </cfRule>
    <cfRule type="containsText" dxfId="3988" priority="1762" operator="containsText" text="Verde Água">
      <formula>NOT(ISERROR(SEARCH("Verde Água",W44)))</formula>
    </cfRule>
    <cfRule type="containsText" dxfId="3987" priority="1763" operator="containsText" text="Azul Petróleo">
      <formula>NOT(ISERROR(SEARCH("Azul Petróleo",W44)))</formula>
    </cfRule>
    <cfRule type="containsText" dxfId="3986" priority="1764" operator="containsText" text="Preto">
      <formula>NOT(ISERROR(SEARCH("Preto",W44)))</formula>
    </cfRule>
    <cfRule type="containsText" priority="1765" operator="containsText" text="Branco">
      <formula>NOT(ISERROR(SEARCH("Branco",W44)))</formula>
    </cfRule>
    <cfRule type="containsText" dxfId="3985" priority="1766" operator="containsText" text="Bege">
      <formula>NOT(ISERROR(SEARCH("Bege",W44)))</formula>
    </cfRule>
  </conditionalFormatting>
  <conditionalFormatting sqref="W44">
    <cfRule type="containsText" dxfId="3984" priority="1749" operator="containsText" text="Cinza">
      <formula>NOT(ISERROR(SEARCH("Cinza",W44)))</formula>
    </cfRule>
    <cfRule type="containsText" dxfId="3983" priority="1750" operator="containsText" text="Púrpura">
      <formula>NOT(ISERROR(SEARCH("Púrpura",W44)))</formula>
    </cfRule>
    <cfRule type="containsText" dxfId="3982" priority="1751" operator="containsText" text="Rosa">
      <formula>NOT(ISERROR(SEARCH("Rosa",W44)))</formula>
    </cfRule>
    <cfRule type="containsText" dxfId="3981" priority="1752" operator="containsText" text="Castanho">
      <formula>NOT(ISERROR(SEARCH("Castanho",W44)))</formula>
    </cfRule>
    <cfRule type="containsText" dxfId="3980" priority="1753" operator="containsText" text="Verde Água">
      <formula>NOT(ISERROR(SEARCH("Verde Água",W44)))</formula>
    </cfRule>
    <cfRule type="containsText" dxfId="3979" priority="1754" operator="containsText" text="Azul Petróleo">
      <formula>NOT(ISERROR(SEARCH("Azul Petróleo",W44)))</formula>
    </cfRule>
    <cfRule type="containsText" dxfId="3978" priority="1755" operator="containsText" text="Preto">
      <formula>NOT(ISERROR(SEARCH("Preto",W44)))</formula>
    </cfRule>
    <cfRule type="containsText" priority="1756" operator="containsText" text="Branco">
      <formula>NOT(ISERROR(SEARCH("Branco",W44)))</formula>
    </cfRule>
    <cfRule type="containsText" dxfId="3977" priority="1757" operator="containsText" text="Bege">
      <formula>NOT(ISERROR(SEARCH("Bege",W44)))</formula>
    </cfRule>
  </conditionalFormatting>
  <conditionalFormatting sqref="W44">
    <cfRule type="containsText" dxfId="3976" priority="1740" operator="containsText" text="Cinza">
      <formula>NOT(ISERROR(SEARCH("Cinza",W44)))</formula>
    </cfRule>
    <cfRule type="containsText" dxfId="3975" priority="1741" operator="containsText" text="Púrpura">
      <formula>NOT(ISERROR(SEARCH("Púrpura",W44)))</formula>
    </cfRule>
    <cfRule type="containsText" dxfId="3974" priority="1742" operator="containsText" text="Rosa">
      <formula>NOT(ISERROR(SEARCH("Rosa",W44)))</formula>
    </cfRule>
    <cfRule type="containsText" dxfId="3973" priority="1743" operator="containsText" text="Castanho">
      <formula>NOT(ISERROR(SEARCH("Castanho",W44)))</formula>
    </cfRule>
    <cfRule type="containsText" dxfId="3972" priority="1744" operator="containsText" text="Verde Água">
      <formula>NOT(ISERROR(SEARCH("Verde Água",W44)))</formula>
    </cfRule>
    <cfRule type="containsText" dxfId="3971" priority="1745" operator="containsText" text="Azul Petróleo">
      <formula>NOT(ISERROR(SEARCH("Azul Petróleo",W44)))</formula>
    </cfRule>
    <cfRule type="containsText" dxfId="3970" priority="1746" operator="containsText" text="Preto">
      <formula>NOT(ISERROR(SEARCH("Preto",W44)))</formula>
    </cfRule>
    <cfRule type="containsText" priority="1747" operator="containsText" text="Branco">
      <formula>NOT(ISERROR(SEARCH("Branco",W44)))</formula>
    </cfRule>
    <cfRule type="containsText" dxfId="3969" priority="1748" operator="containsText" text="Bege">
      <formula>NOT(ISERROR(SEARCH("Bege",W44)))</formula>
    </cfRule>
  </conditionalFormatting>
  <conditionalFormatting sqref="W44">
    <cfRule type="containsText" dxfId="3968" priority="1731" operator="containsText" text="Cinza">
      <formula>NOT(ISERROR(SEARCH("Cinza",W44)))</formula>
    </cfRule>
    <cfRule type="containsText" dxfId="3967" priority="1732" operator="containsText" text="Púrpura">
      <formula>NOT(ISERROR(SEARCH("Púrpura",W44)))</formula>
    </cfRule>
    <cfRule type="containsText" dxfId="3966" priority="1733" operator="containsText" text="Rosa">
      <formula>NOT(ISERROR(SEARCH("Rosa",W44)))</formula>
    </cfRule>
    <cfRule type="containsText" dxfId="3965" priority="1734" operator="containsText" text="Castanho">
      <formula>NOT(ISERROR(SEARCH("Castanho",W44)))</formula>
    </cfRule>
    <cfRule type="containsText" dxfId="3964" priority="1735" operator="containsText" text="Verde Água">
      <formula>NOT(ISERROR(SEARCH("Verde Água",W44)))</formula>
    </cfRule>
    <cfRule type="containsText" dxfId="3963" priority="1736" operator="containsText" text="Azul Petróleo">
      <formula>NOT(ISERROR(SEARCH("Azul Petróleo",W44)))</formula>
    </cfRule>
    <cfRule type="containsText" dxfId="3962" priority="1737" operator="containsText" text="Preto">
      <formula>NOT(ISERROR(SEARCH("Preto",W44)))</formula>
    </cfRule>
    <cfRule type="containsText" priority="1738" operator="containsText" text="Branco">
      <formula>NOT(ISERROR(SEARCH("Branco",W44)))</formula>
    </cfRule>
    <cfRule type="containsText" dxfId="3961" priority="1739" operator="containsText" text="Bege">
      <formula>NOT(ISERROR(SEARCH("Bege",W44)))</formula>
    </cfRule>
  </conditionalFormatting>
  <conditionalFormatting sqref="W44">
    <cfRule type="containsText" dxfId="3960" priority="1722" operator="containsText" text="Cinza">
      <formula>NOT(ISERROR(SEARCH("Cinza",W44)))</formula>
    </cfRule>
    <cfRule type="containsText" dxfId="3959" priority="1723" operator="containsText" text="Púrpura">
      <formula>NOT(ISERROR(SEARCH("Púrpura",W44)))</formula>
    </cfRule>
    <cfRule type="containsText" dxfId="3958" priority="1724" operator="containsText" text="Rosa">
      <formula>NOT(ISERROR(SEARCH("Rosa",W44)))</formula>
    </cfRule>
    <cfRule type="containsText" dxfId="3957" priority="1725" operator="containsText" text="Castanho">
      <formula>NOT(ISERROR(SEARCH("Castanho",W44)))</formula>
    </cfRule>
    <cfRule type="containsText" dxfId="3956" priority="1726" operator="containsText" text="Verde Água">
      <formula>NOT(ISERROR(SEARCH("Verde Água",W44)))</formula>
    </cfRule>
    <cfRule type="containsText" dxfId="3955" priority="1727" operator="containsText" text="Azul Petróleo">
      <formula>NOT(ISERROR(SEARCH("Azul Petróleo",W44)))</formula>
    </cfRule>
    <cfRule type="containsText" dxfId="3954" priority="1728" operator="containsText" text="Preto">
      <formula>NOT(ISERROR(SEARCH("Preto",W44)))</formula>
    </cfRule>
    <cfRule type="containsText" priority="1729" operator="containsText" text="Branco">
      <formula>NOT(ISERROR(SEARCH("Branco",W44)))</formula>
    </cfRule>
    <cfRule type="containsText" dxfId="3953" priority="1730" operator="containsText" text="Bege">
      <formula>NOT(ISERROR(SEARCH("Bege",W44)))</formula>
    </cfRule>
  </conditionalFormatting>
  <conditionalFormatting sqref="W44">
    <cfRule type="containsText" dxfId="3952" priority="1713" operator="containsText" text="Cinza">
      <formula>NOT(ISERROR(SEARCH("Cinza",W44)))</formula>
    </cfRule>
    <cfRule type="containsText" dxfId="3951" priority="1714" operator="containsText" text="Púrpura">
      <formula>NOT(ISERROR(SEARCH("Púrpura",W44)))</formula>
    </cfRule>
    <cfRule type="containsText" dxfId="3950" priority="1715" operator="containsText" text="Rosa">
      <formula>NOT(ISERROR(SEARCH("Rosa",W44)))</formula>
    </cfRule>
    <cfRule type="containsText" dxfId="3949" priority="1716" operator="containsText" text="Castanho">
      <formula>NOT(ISERROR(SEARCH("Castanho",W44)))</formula>
    </cfRule>
    <cfRule type="containsText" dxfId="3948" priority="1717" operator="containsText" text="Verde Água">
      <formula>NOT(ISERROR(SEARCH("Verde Água",W44)))</formula>
    </cfRule>
    <cfRule type="containsText" dxfId="3947" priority="1718" operator="containsText" text="Azul Petróleo">
      <formula>NOT(ISERROR(SEARCH("Azul Petróleo",W44)))</formula>
    </cfRule>
    <cfRule type="containsText" dxfId="3946" priority="1719" operator="containsText" text="Preto">
      <formula>NOT(ISERROR(SEARCH("Preto",W44)))</formula>
    </cfRule>
    <cfRule type="containsText" priority="1720" operator="containsText" text="Branco">
      <formula>NOT(ISERROR(SEARCH("Branco",W44)))</formula>
    </cfRule>
    <cfRule type="containsText" dxfId="3945" priority="1721" operator="containsText" text="Bege">
      <formula>NOT(ISERROR(SEARCH("Bege",W44)))</formula>
    </cfRule>
  </conditionalFormatting>
  <conditionalFormatting sqref="W44">
    <cfRule type="containsText" dxfId="3944" priority="1704" operator="containsText" text="Cinza">
      <formula>NOT(ISERROR(SEARCH("Cinza",W44)))</formula>
    </cfRule>
    <cfRule type="containsText" dxfId="3943" priority="1705" operator="containsText" text="Púrpura">
      <formula>NOT(ISERROR(SEARCH("Púrpura",W44)))</formula>
    </cfRule>
    <cfRule type="containsText" dxfId="3942" priority="1706" operator="containsText" text="Rosa">
      <formula>NOT(ISERROR(SEARCH("Rosa",W44)))</formula>
    </cfRule>
    <cfRule type="containsText" dxfId="3941" priority="1707" operator="containsText" text="Castanho">
      <formula>NOT(ISERROR(SEARCH("Castanho",W44)))</formula>
    </cfRule>
    <cfRule type="containsText" dxfId="3940" priority="1708" operator="containsText" text="Verde Água">
      <formula>NOT(ISERROR(SEARCH("Verde Água",W44)))</formula>
    </cfRule>
    <cfRule type="containsText" dxfId="3939" priority="1709" operator="containsText" text="Azul Petróleo">
      <formula>NOT(ISERROR(SEARCH("Azul Petróleo",W44)))</formula>
    </cfRule>
    <cfRule type="containsText" dxfId="3938" priority="1710" operator="containsText" text="Preto">
      <formula>NOT(ISERROR(SEARCH("Preto",W44)))</formula>
    </cfRule>
    <cfRule type="containsText" priority="1711" operator="containsText" text="Branco">
      <formula>NOT(ISERROR(SEARCH("Branco",W44)))</formula>
    </cfRule>
    <cfRule type="containsText" dxfId="3937" priority="1712" operator="containsText" text="Bege">
      <formula>NOT(ISERROR(SEARCH("Bege",W44)))</formula>
    </cfRule>
  </conditionalFormatting>
  <conditionalFormatting sqref="W44">
    <cfRule type="containsText" dxfId="3936" priority="1695" operator="containsText" text="Cinza">
      <formula>NOT(ISERROR(SEARCH("Cinza",W44)))</formula>
    </cfRule>
    <cfRule type="containsText" dxfId="3935" priority="1696" operator="containsText" text="Púrpura">
      <formula>NOT(ISERROR(SEARCH("Púrpura",W44)))</formula>
    </cfRule>
    <cfRule type="containsText" dxfId="3934" priority="1697" operator="containsText" text="Rosa">
      <formula>NOT(ISERROR(SEARCH("Rosa",W44)))</formula>
    </cfRule>
    <cfRule type="containsText" dxfId="3933" priority="1698" operator="containsText" text="Castanho">
      <formula>NOT(ISERROR(SEARCH("Castanho",W44)))</formula>
    </cfRule>
    <cfRule type="containsText" dxfId="3932" priority="1699" operator="containsText" text="Verde Água">
      <formula>NOT(ISERROR(SEARCH("Verde Água",W44)))</formula>
    </cfRule>
    <cfRule type="containsText" dxfId="3931" priority="1700" operator="containsText" text="Azul Petróleo">
      <formula>NOT(ISERROR(SEARCH("Azul Petróleo",W44)))</formula>
    </cfRule>
    <cfRule type="containsText" dxfId="3930" priority="1701" operator="containsText" text="Preto">
      <formula>NOT(ISERROR(SEARCH("Preto",W44)))</formula>
    </cfRule>
    <cfRule type="containsText" priority="1702" operator="containsText" text="Branco">
      <formula>NOT(ISERROR(SEARCH("Branco",W44)))</formula>
    </cfRule>
    <cfRule type="containsText" dxfId="3929" priority="1703" operator="containsText" text="Bege">
      <formula>NOT(ISERROR(SEARCH("Bege",W44)))</formula>
    </cfRule>
  </conditionalFormatting>
  <conditionalFormatting sqref="W44">
    <cfRule type="containsText" dxfId="3928" priority="1686" operator="containsText" text="Cinza">
      <formula>NOT(ISERROR(SEARCH("Cinza",W44)))</formula>
    </cfRule>
    <cfRule type="containsText" dxfId="3927" priority="1687" operator="containsText" text="Púrpura">
      <formula>NOT(ISERROR(SEARCH("Púrpura",W44)))</formula>
    </cfRule>
    <cfRule type="containsText" dxfId="3926" priority="1688" operator="containsText" text="Rosa">
      <formula>NOT(ISERROR(SEARCH("Rosa",W44)))</formula>
    </cfRule>
    <cfRule type="containsText" dxfId="3925" priority="1689" operator="containsText" text="Castanho">
      <formula>NOT(ISERROR(SEARCH("Castanho",W44)))</formula>
    </cfRule>
    <cfRule type="containsText" dxfId="3924" priority="1690" operator="containsText" text="Verde Água">
      <formula>NOT(ISERROR(SEARCH("Verde Água",W44)))</formula>
    </cfRule>
    <cfRule type="containsText" dxfId="3923" priority="1691" operator="containsText" text="Azul Petróleo">
      <formula>NOT(ISERROR(SEARCH("Azul Petróleo",W44)))</formula>
    </cfRule>
    <cfRule type="containsText" dxfId="3922" priority="1692" operator="containsText" text="Preto">
      <formula>NOT(ISERROR(SEARCH("Preto",W44)))</formula>
    </cfRule>
    <cfRule type="containsText" priority="1693" operator="containsText" text="Branco">
      <formula>NOT(ISERROR(SEARCH("Branco",W44)))</formula>
    </cfRule>
    <cfRule type="containsText" dxfId="3921" priority="1694" operator="containsText" text="Bege">
      <formula>NOT(ISERROR(SEARCH("Bege",W44)))</formula>
    </cfRule>
  </conditionalFormatting>
  <conditionalFormatting sqref="W44">
    <cfRule type="containsText" dxfId="3920" priority="1677" operator="containsText" text="Cinza">
      <formula>NOT(ISERROR(SEARCH("Cinza",W44)))</formula>
    </cfRule>
    <cfRule type="containsText" dxfId="3919" priority="1678" operator="containsText" text="Púrpura">
      <formula>NOT(ISERROR(SEARCH("Púrpura",W44)))</formula>
    </cfRule>
    <cfRule type="containsText" dxfId="3918" priority="1679" operator="containsText" text="Rosa">
      <formula>NOT(ISERROR(SEARCH("Rosa",W44)))</formula>
    </cfRule>
    <cfRule type="containsText" dxfId="3917" priority="1680" operator="containsText" text="Castanho">
      <formula>NOT(ISERROR(SEARCH("Castanho",W44)))</formula>
    </cfRule>
    <cfRule type="containsText" dxfId="3916" priority="1681" operator="containsText" text="Verde Água">
      <formula>NOT(ISERROR(SEARCH("Verde Água",W44)))</formula>
    </cfRule>
    <cfRule type="containsText" dxfId="3915" priority="1682" operator="containsText" text="Azul Petróleo">
      <formula>NOT(ISERROR(SEARCH("Azul Petróleo",W44)))</formula>
    </cfRule>
    <cfRule type="containsText" dxfId="3914" priority="1683" operator="containsText" text="Preto">
      <formula>NOT(ISERROR(SEARCH("Preto",W44)))</formula>
    </cfRule>
    <cfRule type="containsText" priority="1684" operator="containsText" text="Branco">
      <formula>NOT(ISERROR(SEARCH("Branco",W44)))</formula>
    </cfRule>
    <cfRule type="containsText" dxfId="3913" priority="1685" operator="containsText" text="Bege">
      <formula>NOT(ISERROR(SEARCH("Bege",W44)))</formula>
    </cfRule>
  </conditionalFormatting>
  <conditionalFormatting sqref="W44">
    <cfRule type="containsText" dxfId="3912" priority="1668" operator="containsText" text="Cinza">
      <formula>NOT(ISERROR(SEARCH("Cinza",W44)))</formula>
    </cfRule>
    <cfRule type="containsText" dxfId="3911" priority="1669" operator="containsText" text="Púrpura">
      <formula>NOT(ISERROR(SEARCH("Púrpura",W44)))</formula>
    </cfRule>
    <cfRule type="containsText" dxfId="3910" priority="1670" operator="containsText" text="Rosa">
      <formula>NOT(ISERROR(SEARCH("Rosa",W44)))</formula>
    </cfRule>
    <cfRule type="containsText" dxfId="3909" priority="1671" operator="containsText" text="Castanho">
      <formula>NOT(ISERROR(SEARCH("Castanho",W44)))</formula>
    </cfRule>
    <cfRule type="containsText" dxfId="3908" priority="1672" operator="containsText" text="Verde Água">
      <formula>NOT(ISERROR(SEARCH("Verde Água",W44)))</formula>
    </cfRule>
    <cfRule type="containsText" dxfId="3907" priority="1673" operator="containsText" text="Azul Petróleo">
      <formula>NOT(ISERROR(SEARCH("Azul Petróleo",W44)))</formula>
    </cfRule>
    <cfRule type="containsText" dxfId="3906" priority="1674" operator="containsText" text="Preto">
      <formula>NOT(ISERROR(SEARCH("Preto",W44)))</formula>
    </cfRule>
    <cfRule type="containsText" priority="1675" operator="containsText" text="Branco">
      <formula>NOT(ISERROR(SEARCH("Branco",W44)))</formula>
    </cfRule>
    <cfRule type="containsText" dxfId="3905" priority="1676" operator="containsText" text="Bege">
      <formula>NOT(ISERROR(SEARCH("Bege",W44)))</formula>
    </cfRule>
  </conditionalFormatting>
  <conditionalFormatting sqref="W44">
    <cfRule type="containsText" dxfId="3904" priority="1659" operator="containsText" text="Cinza">
      <formula>NOT(ISERROR(SEARCH("Cinza",W44)))</formula>
    </cfRule>
    <cfRule type="containsText" dxfId="3903" priority="1660" operator="containsText" text="Púrpura">
      <formula>NOT(ISERROR(SEARCH("Púrpura",W44)))</formula>
    </cfRule>
    <cfRule type="containsText" dxfId="3902" priority="1661" operator="containsText" text="Rosa">
      <formula>NOT(ISERROR(SEARCH("Rosa",W44)))</formula>
    </cfRule>
    <cfRule type="containsText" dxfId="3901" priority="1662" operator="containsText" text="Castanho">
      <formula>NOT(ISERROR(SEARCH("Castanho",W44)))</formula>
    </cfRule>
    <cfRule type="containsText" dxfId="3900" priority="1663" operator="containsText" text="Verde Água">
      <formula>NOT(ISERROR(SEARCH("Verde Água",W44)))</formula>
    </cfRule>
    <cfRule type="containsText" dxfId="3899" priority="1664" operator="containsText" text="Azul Petróleo">
      <formula>NOT(ISERROR(SEARCH("Azul Petróleo",W44)))</formula>
    </cfRule>
    <cfRule type="containsText" dxfId="3898" priority="1665" operator="containsText" text="Preto">
      <formula>NOT(ISERROR(SEARCH("Preto",W44)))</formula>
    </cfRule>
    <cfRule type="containsText" priority="1666" operator="containsText" text="Branco">
      <formula>NOT(ISERROR(SEARCH("Branco",W44)))</formula>
    </cfRule>
    <cfRule type="containsText" dxfId="3897" priority="1667" operator="containsText" text="Bege">
      <formula>NOT(ISERROR(SEARCH("Bege",W44)))</formula>
    </cfRule>
  </conditionalFormatting>
  <conditionalFormatting sqref="W44">
    <cfRule type="containsText" dxfId="3896" priority="1650" operator="containsText" text="Cinza">
      <formula>NOT(ISERROR(SEARCH("Cinza",W44)))</formula>
    </cfRule>
    <cfRule type="containsText" dxfId="3895" priority="1651" operator="containsText" text="Púrpura">
      <formula>NOT(ISERROR(SEARCH("Púrpura",W44)))</formula>
    </cfRule>
    <cfRule type="containsText" dxfId="3894" priority="1652" operator="containsText" text="Rosa">
      <formula>NOT(ISERROR(SEARCH("Rosa",W44)))</formula>
    </cfRule>
    <cfRule type="containsText" dxfId="3893" priority="1653" operator="containsText" text="Castanho">
      <formula>NOT(ISERROR(SEARCH("Castanho",W44)))</formula>
    </cfRule>
    <cfRule type="containsText" dxfId="3892" priority="1654" operator="containsText" text="Verde Água">
      <formula>NOT(ISERROR(SEARCH("Verde Água",W44)))</formula>
    </cfRule>
    <cfRule type="containsText" dxfId="3891" priority="1655" operator="containsText" text="Azul Petróleo">
      <formula>NOT(ISERROR(SEARCH("Azul Petróleo",W44)))</formula>
    </cfRule>
    <cfRule type="containsText" dxfId="3890" priority="1656" operator="containsText" text="Preto">
      <formula>NOT(ISERROR(SEARCH("Preto",W44)))</formula>
    </cfRule>
    <cfRule type="containsText" priority="1657" operator="containsText" text="Branco">
      <formula>NOT(ISERROR(SEARCH("Branco",W44)))</formula>
    </cfRule>
    <cfRule type="containsText" dxfId="3889" priority="1658" operator="containsText" text="Bege">
      <formula>NOT(ISERROR(SEARCH("Bege",W44)))</formula>
    </cfRule>
  </conditionalFormatting>
  <conditionalFormatting sqref="W44">
    <cfRule type="containsText" dxfId="3888" priority="1641" operator="containsText" text="Cinza">
      <formula>NOT(ISERROR(SEARCH("Cinza",W44)))</formula>
    </cfRule>
    <cfRule type="containsText" dxfId="3887" priority="1642" operator="containsText" text="Púrpura">
      <formula>NOT(ISERROR(SEARCH("Púrpura",W44)))</formula>
    </cfRule>
    <cfRule type="containsText" dxfId="3886" priority="1643" operator="containsText" text="Rosa">
      <formula>NOT(ISERROR(SEARCH("Rosa",W44)))</formula>
    </cfRule>
    <cfRule type="containsText" dxfId="3885" priority="1644" operator="containsText" text="Castanho">
      <formula>NOT(ISERROR(SEARCH("Castanho",W44)))</formula>
    </cfRule>
    <cfRule type="containsText" dxfId="3884" priority="1645" operator="containsText" text="Verde Água">
      <formula>NOT(ISERROR(SEARCH("Verde Água",W44)))</formula>
    </cfRule>
    <cfRule type="containsText" dxfId="3883" priority="1646" operator="containsText" text="Azul Petróleo">
      <formula>NOT(ISERROR(SEARCH("Azul Petróleo",W44)))</formula>
    </cfRule>
    <cfRule type="containsText" dxfId="3882" priority="1647" operator="containsText" text="Preto">
      <formula>NOT(ISERROR(SEARCH("Preto",W44)))</formula>
    </cfRule>
    <cfRule type="containsText" priority="1648" operator="containsText" text="Branco">
      <formula>NOT(ISERROR(SEARCH("Branco",W44)))</formula>
    </cfRule>
    <cfRule type="containsText" dxfId="3881" priority="1649" operator="containsText" text="Bege">
      <formula>NOT(ISERROR(SEARCH("Bege",W44)))</formula>
    </cfRule>
  </conditionalFormatting>
  <conditionalFormatting sqref="W44">
    <cfRule type="containsText" dxfId="3880" priority="1632" operator="containsText" text="Cinza">
      <formula>NOT(ISERROR(SEARCH("Cinza",W44)))</formula>
    </cfRule>
    <cfRule type="containsText" dxfId="3879" priority="1633" operator="containsText" text="Púrpura">
      <formula>NOT(ISERROR(SEARCH("Púrpura",W44)))</formula>
    </cfRule>
    <cfRule type="containsText" dxfId="3878" priority="1634" operator="containsText" text="Rosa">
      <formula>NOT(ISERROR(SEARCH("Rosa",W44)))</formula>
    </cfRule>
    <cfRule type="containsText" dxfId="3877" priority="1635" operator="containsText" text="Castanho">
      <formula>NOT(ISERROR(SEARCH("Castanho",W44)))</formula>
    </cfRule>
    <cfRule type="containsText" dxfId="3876" priority="1636" operator="containsText" text="Verde Água">
      <formula>NOT(ISERROR(SEARCH("Verde Água",W44)))</formula>
    </cfRule>
    <cfRule type="containsText" dxfId="3875" priority="1637" operator="containsText" text="Azul Petróleo">
      <formula>NOT(ISERROR(SEARCH("Azul Petróleo",W44)))</formula>
    </cfRule>
    <cfRule type="containsText" dxfId="3874" priority="1638" operator="containsText" text="Preto">
      <formula>NOT(ISERROR(SEARCH("Preto",W44)))</formula>
    </cfRule>
    <cfRule type="containsText" priority="1639" operator="containsText" text="Branco">
      <formula>NOT(ISERROR(SEARCH("Branco",W44)))</formula>
    </cfRule>
    <cfRule type="containsText" dxfId="3873" priority="1640" operator="containsText" text="Bege">
      <formula>NOT(ISERROR(SEARCH("Bege",W44)))</formula>
    </cfRule>
  </conditionalFormatting>
  <conditionalFormatting sqref="W44">
    <cfRule type="containsText" dxfId="3872" priority="1623" operator="containsText" text="Cinza">
      <formula>NOT(ISERROR(SEARCH("Cinza",W44)))</formula>
    </cfRule>
    <cfRule type="containsText" dxfId="3871" priority="1624" operator="containsText" text="Púrpura">
      <formula>NOT(ISERROR(SEARCH("Púrpura",W44)))</formula>
    </cfRule>
    <cfRule type="containsText" dxfId="3870" priority="1625" operator="containsText" text="Rosa">
      <formula>NOT(ISERROR(SEARCH("Rosa",W44)))</formula>
    </cfRule>
    <cfRule type="containsText" dxfId="3869" priority="1626" operator="containsText" text="Castanho">
      <formula>NOT(ISERROR(SEARCH("Castanho",W44)))</formula>
    </cfRule>
    <cfRule type="containsText" dxfId="3868" priority="1627" operator="containsText" text="Verde Água">
      <formula>NOT(ISERROR(SEARCH("Verde Água",W44)))</formula>
    </cfRule>
    <cfRule type="containsText" dxfId="3867" priority="1628" operator="containsText" text="Azul Petróleo">
      <formula>NOT(ISERROR(SEARCH("Azul Petróleo",W44)))</formula>
    </cfRule>
    <cfRule type="containsText" dxfId="3866" priority="1629" operator="containsText" text="Preto">
      <formula>NOT(ISERROR(SEARCH("Preto",W44)))</formula>
    </cfRule>
    <cfRule type="containsText" priority="1630" operator="containsText" text="Branco">
      <formula>NOT(ISERROR(SEARCH("Branco",W44)))</formula>
    </cfRule>
    <cfRule type="containsText" dxfId="3865" priority="1631" operator="containsText" text="Bege">
      <formula>NOT(ISERROR(SEARCH("Bege",W44)))</formula>
    </cfRule>
  </conditionalFormatting>
  <conditionalFormatting sqref="W44">
    <cfRule type="containsText" dxfId="3864" priority="1614" operator="containsText" text="Escuro">
      <formula>NOT(ISERROR(SEARCH("Escuro",W44)))</formula>
    </cfRule>
    <cfRule type="containsText" dxfId="3863" priority="1615" operator="containsText" text="Cinza">
      <formula>NOT(ISERROR(SEARCH("Cinza",W44)))</formula>
    </cfRule>
    <cfRule type="containsText" dxfId="3862" priority="1616" operator="containsText" text="Púrpura">
      <formula>NOT(ISERROR(SEARCH("Púrpura",W44)))</formula>
    </cfRule>
    <cfRule type="containsText" dxfId="3861" priority="1617" operator="containsText" text="Rosa">
      <formula>NOT(ISERROR(SEARCH("Rosa",W44)))</formula>
    </cfRule>
    <cfRule type="containsText" dxfId="3860" priority="1618" operator="containsText" text="Castanho">
      <formula>NOT(ISERROR(SEARCH("Castanho",W44)))</formula>
    </cfRule>
    <cfRule type="containsText" dxfId="3859" priority="1619" operator="containsText" text="Verde Água">
      <formula>NOT(ISERROR(SEARCH("Verde Água",W44)))</formula>
    </cfRule>
    <cfRule type="containsText" dxfId="3858" priority="1620" operator="containsText" text="Azul Petróleo">
      <formula>NOT(ISERROR(SEARCH("Azul Petróleo",W44)))</formula>
    </cfRule>
    <cfRule type="containsText" dxfId="3857" priority="1621" operator="containsText" text="Preto">
      <formula>NOT(ISERROR(SEARCH("Preto",W44)))</formula>
    </cfRule>
    <cfRule type="containsText" priority="1622" operator="containsText" text="Branco">
      <formula>NOT(ISERROR(SEARCH("Branco",W44)))</formula>
    </cfRule>
  </conditionalFormatting>
  <conditionalFormatting sqref="W36">
    <cfRule type="containsText" dxfId="3856" priority="1605" operator="containsText" text="Cinza">
      <formula>NOT(ISERROR(SEARCH("Cinza",W36)))</formula>
    </cfRule>
    <cfRule type="containsText" dxfId="3855" priority="1606" operator="containsText" text="Púrpura">
      <formula>NOT(ISERROR(SEARCH("Púrpura",W36)))</formula>
    </cfRule>
    <cfRule type="containsText" dxfId="3854" priority="1607" operator="containsText" text="Rosa">
      <formula>NOT(ISERROR(SEARCH("Rosa",W36)))</formula>
    </cfRule>
    <cfRule type="containsText" dxfId="3853" priority="1608" operator="containsText" text="Castanho">
      <formula>NOT(ISERROR(SEARCH("Castanho",W36)))</formula>
    </cfRule>
    <cfRule type="containsText" dxfId="3852" priority="1609" operator="containsText" text="Verde Água">
      <formula>NOT(ISERROR(SEARCH("Verde Água",W36)))</formula>
    </cfRule>
    <cfRule type="containsText" dxfId="3851" priority="1610" operator="containsText" text="Azul Petróleo">
      <formula>NOT(ISERROR(SEARCH("Azul Petróleo",W36)))</formula>
    </cfRule>
    <cfRule type="containsText" dxfId="3850" priority="1611" operator="containsText" text="Preto">
      <formula>NOT(ISERROR(SEARCH("Preto",W36)))</formula>
    </cfRule>
    <cfRule type="containsText" priority="1612" operator="containsText" text="Branco">
      <formula>NOT(ISERROR(SEARCH("Branco",W36)))</formula>
    </cfRule>
    <cfRule type="containsText" dxfId="3849" priority="1613" operator="containsText" text="Bege">
      <formula>NOT(ISERROR(SEARCH("Bege",W36)))</formula>
    </cfRule>
  </conditionalFormatting>
  <conditionalFormatting sqref="W36">
    <cfRule type="containsText" dxfId="3848" priority="1596" operator="containsText" text="Cinza">
      <formula>NOT(ISERROR(SEARCH("Cinza",W36)))</formula>
    </cfRule>
    <cfRule type="containsText" dxfId="3847" priority="1597" operator="containsText" text="Púrpura">
      <formula>NOT(ISERROR(SEARCH("Púrpura",W36)))</formula>
    </cfRule>
    <cfRule type="containsText" dxfId="3846" priority="1598" operator="containsText" text="Rosa">
      <formula>NOT(ISERROR(SEARCH("Rosa",W36)))</formula>
    </cfRule>
    <cfRule type="containsText" dxfId="3845" priority="1599" operator="containsText" text="Castanho">
      <formula>NOT(ISERROR(SEARCH("Castanho",W36)))</formula>
    </cfRule>
    <cfRule type="containsText" dxfId="3844" priority="1600" operator="containsText" text="Verde Água">
      <formula>NOT(ISERROR(SEARCH("Verde Água",W36)))</formula>
    </cfRule>
    <cfRule type="containsText" dxfId="3843" priority="1601" operator="containsText" text="Azul Petróleo">
      <formula>NOT(ISERROR(SEARCH("Azul Petróleo",W36)))</formula>
    </cfRule>
    <cfRule type="containsText" dxfId="3842" priority="1602" operator="containsText" text="Preto">
      <formula>NOT(ISERROR(SEARCH("Preto",W36)))</formula>
    </cfRule>
    <cfRule type="containsText" priority="1603" operator="containsText" text="Branco">
      <formula>NOT(ISERROR(SEARCH("Branco",W36)))</formula>
    </cfRule>
    <cfRule type="containsText" dxfId="3841" priority="1604" operator="containsText" text="Bege">
      <formula>NOT(ISERROR(SEARCH("Bege",W36)))</formula>
    </cfRule>
  </conditionalFormatting>
  <conditionalFormatting sqref="W36">
    <cfRule type="containsText" dxfId="3840" priority="1587" operator="containsText" text="Cinza">
      <formula>NOT(ISERROR(SEARCH("Cinza",W36)))</formula>
    </cfRule>
    <cfRule type="containsText" dxfId="3839" priority="1588" operator="containsText" text="Púrpura">
      <formula>NOT(ISERROR(SEARCH("Púrpura",W36)))</formula>
    </cfRule>
    <cfRule type="containsText" dxfId="3838" priority="1589" operator="containsText" text="Rosa">
      <formula>NOT(ISERROR(SEARCH("Rosa",W36)))</formula>
    </cfRule>
    <cfRule type="containsText" dxfId="3837" priority="1590" operator="containsText" text="Castanho">
      <formula>NOT(ISERROR(SEARCH("Castanho",W36)))</formula>
    </cfRule>
    <cfRule type="containsText" dxfId="3836" priority="1591" operator="containsText" text="Verde Água">
      <formula>NOT(ISERROR(SEARCH("Verde Água",W36)))</formula>
    </cfRule>
    <cfRule type="containsText" dxfId="3835" priority="1592" operator="containsText" text="Azul Petróleo">
      <formula>NOT(ISERROR(SEARCH("Azul Petróleo",W36)))</formula>
    </cfRule>
    <cfRule type="containsText" dxfId="3834" priority="1593" operator="containsText" text="Preto">
      <formula>NOT(ISERROR(SEARCH("Preto",W36)))</formula>
    </cfRule>
    <cfRule type="containsText" priority="1594" operator="containsText" text="Branco">
      <formula>NOT(ISERROR(SEARCH("Branco",W36)))</formula>
    </cfRule>
    <cfRule type="containsText" dxfId="3833" priority="1595" operator="containsText" text="Bege">
      <formula>NOT(ISERROR(SEARCH("Bege",W36)))</formula>
    </cfRule>
  </conditionalFormatting>
  <conditionalFormatting sqref="W36">
    <cfRule type="containsText" dxfId="3832" priority="1578" operator="containsText" text="Cinza">
      <formula>NOT(ISERROR(SEARCH("Cinza",W36)))</formula>
    </cfRule>
    <cfRule type="containsText" dxfId="3831" priority="1579" operator="containsText" text="Púrpura">
      <formula>NOT(ISERROR(SEARCH("Púrpura",W36)))</formula>
    </cfRule>
    <cfRule type="containsText" dxfId="3830" priority="1580" operator="containsText" text="Rosa">
      <formula>NOT(ISERROR(SEARCH("Rosa",W36)))</formula>
    </cfRule>
    <cfRule type="containsText" dxfId="3829" priority="1581" operator="containsText" text="Castanho">
      <formula>NOT(ISERROR(SEARCH("Castanho",W36)))</formula>
    </cfRule>
    <cfRule type="containsText" dxfId="3828" priority="1582" operator="containsText" text="Verde Água">
      <formula>NOT(ISERROR(SEARCH("Verde Água",W36)))</formula>
    </cfRule>
    <cfRule type="containsText" dxfId="3827" priority="1583" operator="containsText" text="Azul Petróleo">
      <formula>NOT(ISERROR(SEARCH("Azul Petróleo",W36)))</formula>
    </cfRule>
    <cfRule type="containsText" dxfId="3826" priority="1584" operator="containsText" text="Preto">
      <formula>NOT(ISERROR(SEARCH("Preto",W36)))</formula>
    </cfRule>
    <cfRule type="containsText" priority="1585" operator="containsText" text="Branco">
      <formula>NOT(ISERROR(SEARCH("Branco",W36)))</formula>
    </cfRule>
    <cfRule type="containsText" dxfId="3825" priority="1586" operator="containsText" text="Bege">
      <formula>NOT(ISERROR(SEARCH("Bege",W36)))</formula>
    </cfRule>
  </conditionalFormatting>
  <conditionalFormatting sqref="W36">
    <cfRule type="containsText" dxfId="3824" priority="1569" operator="containsText" text="Cinza">
      <formula>NOT(ISERROR(SEARCH("Cinza",W36)))</formula>
    </cfRule>
    <cfRule type="containsText" dxfId="3823" priority="1570" operator="containsText" text="Púrpura">
      <formula>NOT(ISERROR(SEARCH("Púrpura",W36)))</formula>
    </cfRule>
    <cfRule type="containsText" dxfId="3822" priority="1571" operator="containsText" text="Rosa">
      <formula>NOT(ISERROR(SEARCH("Rosa",W36)))</formula>
    </cfRule>
    <cfRule type="containsText" dxfId="3821" priority="1572" operator="containsText" text="Castanho">
      <formula>NOT(ISERROR(SEARCH("Castanho",W36)))</formula>
    </cfRule>
    <cfRule type="containsText" dxfId="3820" priority="1573" operator="containsText" text="Verde Água">
      <formula>NOT(ISERROR(SEARCH("Verde Água",W36)))</formula>
    </cfRule>
    <cfRule type="containsText" dxfId="3819" priority="1574" operator="containsText" text="Azul Petróleo">
      <formula>NOT(ISERROR(SEARCH("Azul Petróleo",W36)))</formula>
    </cfRule>
    <cfRule type="containsText" dxfId="3818" priority="1575" operator="containsText" text="Preto">
      <formula>NOT(ISERROR(SEARCH("Preto",W36)))</formula>
    </cfRule>
    <cfRule type="containsText" priority="1576" operator="containsText" text="Branco">
      <formula>NOT(ISERROR(SEARCH("Branco",W36)))</formula>
    </cfRule>
    <cfRule type="containsText" dxfId="3817" priority="1577" operator="containsText" text="Bege">
      <formula>NOT(ISERROR(SEARCH("Bege",W36)))</formula>
    </cfRule>
  </conditionalFormatting>
  <conditionalFormatting sqref="W36">
    <cfRule type="containsText" dxfId="3816" priority="1560" operator="containsText" text="Cinza">
      <formula>NOT(ISERROR(SEARCH("Cinza",W36)))</formula>
    </cfRule>
    <cfRule type="containsText" dxfId="3815" priority="1561" operator="containsText" text="Púrpura">
      <formula>NOT(ISERROR(SEARCH("Púrpura",W36)))</formula>
    </cfRule>
    <cfRule type="containsText" dxfId="3814" priority="1562" operator="containsText" text="Rosa">
      <formula>NOT(ISERROR(SEARCH("Rosa",W36)))</formula>
    </cfRule>
    <cfRule type="containsText" dxfId="3813" priority="1563" operator="containsText" text="Castanho">
      <formula>NOT(ISERROR(SEARCH("Castanho",W36)))</formula>
    </cfRule>
    <cfRule type="containsText" dxfId="3812" priority="1564" operator="containsText" text="Verde Água">
      <formula>NOT(ISERROR(SEARCH("Verde Água",W36)))</formula>
    </cfRule>
    <cfRule type="containsText" dxfId="3811" priority="1565" operator="containsText" text="Azul Petróleo">
      <formula>NOT(ISERROR(SEARCH("Azul Petróleo",W36)))</formula>
    </cfRule>
    <cfRule type="containsText" dxfId="3810" priority="1566" operator="containsText" text="Preto">
      <formula>NOT(ISERROR(SEARCH("Preto",W36)))</formula>
    </cfRule>
    <cfRule type="containsText" priority="1567" operator="containsText" text="Branco">
      <formula>NOT(ISERROR(SEARCH("Branco",W36)))</formula>
    </cfRule>
    <cfRule type="containsText" dxfId="3809" priority="1568" operator="containsText" text="Bege">
      <formula>NOT(ISERROR(SEARCH("Bege",W36)))</formula>
    </cfRule>
  </conditionalFormatting>
  <conditionalFormatting sqref="W36">
    <cfRule type="containsText" dxfId="3808" priority="1551" operator="containsText" text="Cinza">
      <formula>NOT(ISERROR(SEARCH("Cinza",W36)))</formula>
    </cfRule>
    <cfRule type="containsText" dxfId="3807" priority="1552" operator="containsText" text="Púrpura">
      <formula>NOT(ISERROR(SEARCH("Púrpura",W36)))</formula>
    </cfRule>
    <cfRule type="containsText" dxfId="3806" priority="1553" operator="containsText" text="Rosa">
      <formula>NOT(ISERROR(SEARCH("Rosa",W36)))</formula>
    </cfRule>
    <cfRule type="containsText" dxfId="3805" priority="1554" operator="containsText" text="Castanho">
      <formula>NOT(ISERROR(SEARCH("Castanho",W36)))</formula>
    </cfRule>
    <cfRule type="containsText" dxfId="3804" priority="1555" operator="containsText" text="Verde Água">
      <formula>NOT(ISERROR(SEARCH("Verde Água",W36)))</formula>
    </cfRule>
    <cfRule type="containsText" dxfId="3803" priority="1556" operator="containsText" text="Azul Petróleo">
      <formula>NOT(ISERROR(SEARCH("Azul Petróleo",W36)))</formula>
    </cfRule>
    <cfRule type="containsText" dxfId="3802" priority="1557" operator="containsText" text="Preto">
      <formula>NOT(ISERROR(SEARCH("Preto",W36)))</formula>
    </cfRule>
    <cfRule type="containsText" priority="1558" operator="containsText" text="Branco">
      <formula>NOT(ISERROR(SEARCH("Branco",W36)))</formula>
    </cfRule>
    <cfRule type="containsText" dxfId="3801" priority="1559" operator="containsText" text="Bege">
      <formula>NOT(ISERROR(SEARCH("Bege",W36)))</formula>
    </cfRule>
  </conditionalFormatting>
  <conditionalFormatting sqref="W36">
    <cfRule type="containsText" dxfId="3800" priority="1542" operator="containsText" text="Cinza">
      <formula>NOT(ISERROR(SEARCH("Cinza",W36)))</formula>
    </cfRule>
    <cfRule type="containsText" dxfId="3799" priority="1543" operator="containsText" text="Púrpura">
      <formula>NOT(ISERROR(SEARCH("Púrpura",W36)))</formula>
    </cfRule>
    <cfRule type="containsText" dxfId="3798" priority="1544" operator="containsText" text="Rosa">
      <formula>NOT(ISERROR(SEARCH("Rosa",W36)))</formula>
    </cfRule>
    <cfRule type="containsText" dxfId="3797" priority="1545" operator="containsText" text="Castanho">
      <formula>NOT(ISERROR(SEARCH("Castanho",W36)))</formula>
    </cfRule>
    <cfRule type="containsText" dxfId="3796" priority="1546" operator="containsText" text="Verde Água">
      <formula>NOT(ISERROR(SEARCH("Verde Água",W36)))</formula>
    </cfRule>
    <cfRule type="containsText" dxfId="3795" priority="1547" operator="containsText" text="Azul Petróleo">
      <formula>NOT(ISERROR(SEARCH("Azul Petróleo",W36)))</formula>
    </cfRule>
    <cfRule type="containsText" dxfId="3794" priority="1548" operator="containsText" text="Preto">
      <formula>NOT(ISERROR(SEARCH("Preto",W36)))</formula>
    </cfRule>
    <cfRule type="containsText" priority="1549" operator="containsText" text="Branco">
      <formula>NOT(ISERROR(SEARCH("Branco",W36)))</formula>
    </cfRule>
    <cfRule type="containsText" dxfId="3793" priority="1550" operator="containsText" text="Bege">
      <formula>NOT(ISERROR(SEARCH("Bege",W36)))</formula>
    </cfRule>
  </conditionalFormatting>
  <conditionalFormatting sqref="W36">
    <cfRule type="containsText" dxfId="3792" priority="1533" operator="containsText" text="Cinza">
      <formula>NOT(ISERROR(SEARCH("Cinza",W36)))</formula>
    </cfRule>
    <cfRule type="containsText" dxfId="3791" priority="1534" operator="containsText" text="Púrpura">
      <formula>NOT(ISERROR(SEARCH("Púrpura",W36)))</formula>
    </cfRule>
    <cfRule type="containsText" dxfId="3790" priority="1535" operator="containsText" text="Rosa">
      <formula>NOT(ISERROR(SEARCH("Rosa",W36)))</formula>
    </cfRule>
    <cfRule type="containsText" dxfId="3789" priority="1536" operator="containsText" text="Castanho">
      <formula>NOT(ISERROR(SEARCH("Castanho",W36)))</formula>
    </cfRule>
    <cfRule type="containsText" dxfId="3788" priority="1537" operator="containsText" text="Verde Água">
      <formula>NOT(ISERROR(SEARCH("Verde Água",W36)))</formula>
    </cfRule>
    <cfRule type="containsText" dxfId="3787" priority="1538" operator="containsText" text="Azul Petróleo">
      <formula>NOT(ISERROR(SEARCH("Azul Petróleo",W36)))</formula>
    </cfRule>
    <cfRule type="containsText" dxfId="3786" priority="1539" operator="containsText" text="Preto">
      <formula>NOT(ISERROR(SEARCH("Preto",W36)))</formula>
    </cfRule>
    <cfRule type="containsText" priority="1540" operator="containsText" text="Branco">
      <formula>NOT(ISERROR(SEARCH("Branco",W36)))</formula>
    </cfRule>
    <cfRule type="containsText" dxfId="3785" priority="1541" operator="containsText" text="Bege">
      <formula>NOT(ISERROR(SEARCH("Bege",W36)))</formula>
    </cfRule>
  </conditionalFormatting>
  <conditionalFormatting sqref="W36">
    <cfRule type="containsText" dxfId="3784" priority="1524" operator="containsText" text="Cinza">
      <formula>NOT(ISERROR(SEARCH("Cinza",W36)))</formula>
    </cfRule>
    <cfRule type="containsText" dxfId="3783" priority="1525" operator="containsText" text="Púrpura">
      <formula>NOT(ISERROR(SEARCH("Púrpura",W36)))</formula>
    </cfRule>
    <cfRule type="containsText" dxfId="3782" priority="1526" operator="containsText" text="Rosa">
      <formula>NOT(ISERROR(SEARCH("Rosa",W36)))</formula>
    </cfRule>
    <cfRule type="containsText" dxfId="3781" priority="1527" operator="containsText" text="Castanho">
      <formula>NOT(ISERROR(SEARCH("Castanho",W36)))</formula>
    </cfRule>
    <cfRule type="containsText" dxfId="3780" priority="1528" operator="containsText" text="Verde Água">
      <formula>NOT(ISERROR(SEARCH("Verde Água",W36)))</formula>
    </cfRule>
    <cfRule type="containsText" dxfId="3779" priority="1529" operator="containsText" text="Azul Petróleo">
      <formula>NOT(ISERROR(SEARCH("Azul Petróleo",W36)))</formula>
    </cfRule>
    <cfRule type="containsText" dxfId="3778" priority="1530" operator="containsText" text="Preto">
      <formula>NOT(ISERROR(SEARCH("Preto",W36)))</formula>
    </cfRule>
    <cfRule type="containsText" priority="1531" operator="containsText" text="Branco">
      <formula>NOT(ISERROR(SEARCH("Branco",W36)))</formula>
    </cfRule>
    <cfRule type="containsText" dxfId="3777" priority="1532" operator="containsText" text="Bege">
      <formula>NOT(ISERROR(SEARCH("Bege",W36)))</formula>
    </cfRule>
  </conditionalFormatting>
  <conditionalFormatting sqref="W36">
    <cfRule type="containsText" dxfId="3776" priority="1515" operator="containsText" text="Cinza">
      <formula>NOT(ISERROR(SEARCH("Cinza",W36)))</formula>
    </cfRule>
    <cfRule type="containsText" dxfId="3775" priority="1516" operator="containsText" text="Púrpura">
      <formula>NOT(ISERROR(SEARCH("Púrpura",W36)))</formula>
    </cfRule>
    <cfRule type="containsText" dxfId="3774" priority="1517" operator="containsText" text="Rosa">
      <formula>NOT(ISERROR(SEARCH("Rosa",W36)))</formula>
    </cfRule>
    <cfRule type="containsText" dxfId="3773" priority="1518" operator="containsText" text="Castanho">
      <formula>NOT(ISERROR(SEARCH("Castanho",W36)))</formula>
    </cfRule>
    <cfRule type="containsText" dxfId="3772" priority="1519" operator="containsText" text="Verde Água">
      <formula>NOT(ISERROR(SEARCH("Verde Água",W36)))</formula>
    </cfRule>
    <cfRule type="containsText" dxfId="3771" priority="1520" operator="containsText" text="Azul Petróleo">
      <formula>NOT(ISERROR(SEARCH("Azul Petróleo",W36)))</formula>
    </cfRule>
    <cfRule type="containsText" dxfId="3770" priority="1521" operator="containsText" text="Preto">
      <formula>NOT(ISERROR(SEARCH("Preto",W36)))</formula>
    </cfRule>
    <cfRule type="containsText" priority="1522" operator="containsText" text="Branco">
      <formula>NOT(ISERROR(SEARCH("Branco",W36)))</formula>
    </cfRule>
    <cfRule type="containsText" dxfId="3769" priority="1523" operator="containsText" text="Bege">
      <formula>NOT(ISERROR(SEARCH("Bege",W36)))</formula>
    </cfRule>
  </conditionalFormatting>
  <conditionalFormatting sqref="W36">
    <cfRule type="containsText" dxfId="3768" priority="1506" operator="containsText" text="Cinza">
      <formula>NOT(ISERROR(SEARCH("Cinza",W36)))</formula>
    </cfRule>
    <cfRule type="containsText" dxfId="3767" priority="1507" operator="containsText" text="Púrpura">
      <formula>NOT(ISERROR(SEARCH("Púrpura",W36)))</formula>
    </cfRule>
    <cfRule type="containsText" dxfId="3766" priority="1508" operator="containsText" text="Rosa">
      <formula>NOT(ISERROR(SEARCH("Rosa",W36)))</formula>
    </cfRule>
    <cfRule type="containsText" dxfId="3765" priority="1509" operator="containsText" text="Castanho">
      <formula>NOT(ISERROR(SEARCH("Castanho",W36)))</formula>
    </cfRule>
    <cfRule type="containsText" dxfId="3764" priority="1510" operator="containsText" text="Verde Água">
      <formula>NOT(ISERROR(SEARCH("Verde Água",W36)))</formula>
    </cfRule>
    <cfRule type="containsText" dxfId="3763" priority="1511" operator="containsText" text="Azul Petróleo">
      <formula>NOT(ISERROR(SEARCH("Azul Petróleo",W36)))</formula>
    </cfRule>
    <cfRule type="containsText" dxfId="3762" priority="1512" operator="containsText" text="Preto">
      <formula>NOT(ISERROR(SEARCH("Preto",W36)))</formula>
    </cfRule>
    <cfRule type="containsText" priority="1513" operator="containsText" text="Branco">
      <formula>NOT(ISERROR(SEARCH("Branco",W36)))</formula>
    </cfRule>
    <cfRule type="containsText" dxfId="3761" priority="1514" operator="containsText" text="Bege">
      <formula>NOT(ISERROR(SEARCH("Bege",W36)))</formula>
    </cfRule>
  </conditionalFormatting>
  <conditionalFormatting sqref="W36">
    <cfRule type="containsText" dxfId="3760" priority="1497" operator="containsText" text="Cinza">
      <formula>NOT(ISERROR(SEARCH("Cinza",W36)))</formula>
    </cfRule>
    <cfRule type="containsText" dxfId="3759" priority="1498" operator="containsText" text="Púrpura">
      <formula>NOT(ISERROR(SEARCH("Púrpura",W36)))</formula>
    </cfRule>
    <cfRule type="containsText" dxfId="3758" priority="1499" operator="containsText" text="Rosa">
      <formula>NOT(ISERROR(SEARCH("Rosa",W36)))</formula>
    </cfRule>
    <cfRule type="containsText" dxfId="3757" priority="1500" operator="containsText" text="Castanho">
      <formula>NOT(ISERROR(SEARCH("Castanho",W36)))</formula>
    </cfRule>
    <cfRule type="containsText" dxfId="3756" priority="1501" operator="containsText" text="Verde Água">
      <formula>NOT(ISERROR(SEARCH("Verde Água",W36)))</formula>
    </cfRule>
    <cfRule type="containsText" dxfId="3755" priority="1502" operator="containsText" text="Azul Petróleo">
      <formula>NOT(ISERROR(SEARCH("Azul Petróleo",W36)))</formula>
    </cfRule>
    <cfRule type="containsText" dxfId="3754" priority="1503" operator="containsText" text="Preto">
      <formula>NOT(ISERROR(SEARCH("Preto",W36)))</formula>
    </cfRule>
    <cfRule type="containsText" priority="1504" operator="containsText" text="Branco">
      <formula>NOT(ISERROR(SEARCH("Branco",W36)))</formula>
    </cfRule>
    <cfRule type="containsText" dxfId="3753" priority="1505" operator="containsText" text="Bege">
      <formula>NOT(ISERROR(SEARCH("Bege",W36)))</formula>
    </cfRule>
  </conditionalFormatting>
  <conditionalFormatting sqref="W36">
    <cfRule type="containsText" dxfId="3752" priority="1488" operator="containsText" text="Cinza">
      <formula>NOT(ISERROR(SEARCH("Cinza",W36)))</formula>
    </cfRule>
    <cfRule type="containsText" dxfId="3751" priority="1489" operator="containsText" text="Púrpura">
      <formula>NOT(ISERROR(SEARCH("Púrpura",W36)))</formula>
    </cfRule>
    <cfRule type="containsText" dxfId="3750" priority="1490" operator="containsText" text="Rosa">
      <formula>NOT(ISERROR(SEARCH("Rosa",W36)))</formula>
    </cfRule>
    <cfRule type="containsText" dxfId="3749" priority="1491" operator="containsText" text="Castanho">
      <formula>NOT(ISERROR(SEARCH("Castanho",W36)))</formula>
    </cfRule>
    <cfRule type="containsText" dxfId="3748" priority="1492" operator="containsText" text="Verde Água">
      <formula>NOT(ISERROR(SEARCH("Verde Água",W36)))</formula>
    </cfRule>
    <cfRule type="containsText" dxfId="3747" priority="1493" operator="containsText" text="Azul Petróleo">
      <formula>NOT(ISERROR(SEARCH("Azul Petróleo",W36)))</formula>
    </cfRule>
    <cfRule type="containsText" dxfId="3746" priority="1494" operator="containsText" text="Preto">
      <formula>NOT(ISERROR(SEARCH("Preto",W36)))</formula>
    </cfRule>
    <cfRule type="containsText" priority="1495" operator="containsText" text="Branco">
      <formula>NOT(ISERROR(SEARCH("Branco",W36)))</formula>
    </cfRule>
    <cfRule type="containsText" dxfId="3745" priority="1496" operator="containsText" text="Bege">
      <formula>NOT(ISERROR(SEARCH("Bege",W36)))</formula>
    </cfRule>
  </conditionalFormatting>
  <conditionalFormatting sqref="W36">
    <cfRule type="containsText" dxfId="3744" priority="1479" operator="containsText" text="Cinza">
      <formula>NOT(ISERROR(SEARCH("Cinza",W36)))</formula>
    </cfRule>
    <cfRule type="containsText" dxfId="3743" priority="1480" operator="containsText" text="Púrpura">
      <formula>NOT(ISERROR(SEARCH("Púrpura",W36)))</formula>
    </cfRule>
    <cfRule type="containsText" dxfId="3742" priority="1481" operator="containsText" text="Rosa">
      <formula>NOT(ISERROR(SEARCH("Rosa",W36)))</formula>
    </cfRule>
    <cfRule type="containsText" dxfId="3741" priority="1482" operator="containsText" text="Castanho">
      <formula>NOT(ISERROR(SEARCH("Castanho",W36)))</formula>
    </cfRule>
    <cfRule type="containsText" dxfId="3740" priority="1483" operator="containsText" text="Verde Água">
      <formula>NOT(ISERROR(SEARCH("Verde Água",W36)))</formula>
    </cfRule>
    <cfRule type="containsText" dxfId="3739" priority="1484" operator="containsText" text="Azul Petróleo">
      <formula>NOT(ISERROR(SEARCH("Azul Petróleo",W36)))</formula>
    </cfRule>
    <cfRule type="containsText" dxfId="3738" priority="1485" operator="containsText" text="Preto">
      <formula>NOT(ISERROR(SEARCH("Preto",W36)))</formula>
    </cfRule>
    <cfRule type="containsText" priority="1486" operator="containsText" text="Branco">
      <formula>NOT(ISERROR(SEARCH("Branco",W36)))</formula>
    </cfRule>
    <cfRule type="containsText" dxfId="3737" priority="1487" operator="containsText" text="Bege">
      <formula>NOT(ISERROR(SEARCH("Bege",W36)))</formula>
    </cfRule>
  </conditionalFormatting>
  <conditionalFormatting sqref="W36">
    <cfRule type="containsText" dxfId="3736" priority="1470" operator="containsText" text="Cinza">
      <formula>NOT(ISERROR(SEARCH("Cinza",W36)))</formula>
    </cfRule>
    <cfRule type="containsText" dxfId="3735" priority="1471" operator="containsText" text="Púrpura">
      <formula>NOT(ISERROR(SEARCH("Púrpura",W36)))</formula>
    </cfRule>
    <cfRule type="containsText" dxfId="3734" priority="1472" operator="containsText" text="Rosa">
      <formula>NOT(ISERROR(SEARCH("Rosa",W36)))</formula>
    </cfRule>
    <cfRule type="containsText" dxfId="3733" priority="1473" operator="containsText" text="Castanho">
      <formula>NOT(ISERROR(SEARCH("Castanho",W36)))</formula>
    </cfRule>
    <cfRule type="containsText" dxfId="3732" priority="1474" operator="containsText" text="Verde Água">
      <formula>NOT(ISERROR(SEARCH("Verde Água",W36)))</formula>
    </cfRule>
    <cfRule type="containsText" dxfId="3731" priority="1475" operator="containsText" text="Azul Petróleo">
      <formula>NOT(ISERROR(SEARCH("Azul Petróleo",W36)))</formula>
    </cfRule>
    <cfRule type="containsText" dxfId="3730" priority="1476" operator="containsText" text="Preto">
      <formula>NOT(ISERROR(SEARCH("Preto",W36)))</formula>
    </cfRule>
    <cfRule type="containsText" priority="1477" operator="containsText" text="Branco">
      <formula>NOT(ISERROR(SEARCH("Branco",W36)))</formula>
    </cfRule>
    <cfRule type="containsText" dxfId="3729" priority="1478" operator="containsText" text="Bege">
      <formula>NOT(ISERROR(SEARCH("Bege",W36)))</formula>
    </cfRule>
  </conditionalFormatting>
  <conditionalFormatting sqref="W36">
    <cfRule type="containsText" dxfId="3728" priority="1461" operator="containsText" text="Escuro">
      <formula>NOT(ISERROR(SEARCH("Escuro",W36)))</formula>
    </cfRule>
    <cfRule type="containsText" dxfId="3727" priority="1462" operator="containsText" text="Cinza">
      <formula>NOT(ISERROR(SEARCH("Cinza",W36)))</formula>
    </cfRule>
    <cfRule type="containsText" dxfId="3726" priority="1463" operator="containsText" text="Púrpura">
      <formula>NOT(ISERROR(SEARCH("Púrpura",W36)))</formula>
    </cfRule>
    <cfRule type="containsText" dxfId="3725" priority="1464" operator="containsText" text="Rosa">
      <formula>NOT(ISERROR(SEARCH("Rosa",W36)))</formula>
    </cfRule>
    <cfRule type="containsText" dxfId="3724" priority="1465" operator="containsText" text="Castanho">
      <formula>NOT(ISERROR(SEARCH("Castanho",W36)))</formula>
    </cfRule>
    <cfRule type="containsText" dxfId="3723" priority="1466" operator="containsText" text="Verde Água">
      <formula>NOT(ISERROR(SEARCH("Verde Água",W36)))</formula>
    </cfRule>
    <cfRule type="containsText" dxfId="3722" priority="1467" operator="containsText" text="Azul Petróleo">
      <formula>NOT(ISERROR(SEARCH("Azul Petróleo",W36)))</formula>
    </cfRule>
    <cfRule type="containsText" dxfId="3721" priority="1468" operator="containsText" text="Preto">
      <formula>NOT(ISERROR(SEARCH("Preto",W36)))</formula>
    </cfRule>
    <cfRule type="containsText" priority="1469" operator="containsText" text="Branco">
      <formula>NOT(ISERROR(SEARCH("Branco",W36)))</formula>
    </cfRule>
  </conditionalFormatting>
  <conditionalFormatting sqref="W38">
    <cfRule type="containsText" dxfId="3720" priority="1452" operator="containsText" text="Cinza">
      <formula>NOT(ISERROR(SEARCH("Cinza",W38)))</formula>
    </cfRule>
    <cfRule type="containsText" dxfId="3719" priority="1453" operator="containsText" text="Púrpura">
      <formula>NOT(ISERROR(SEARCH("Púrpura",W38)))</formula>
    </cfRule>
    <cfRule type="containsText" dxfId="3718" priority="1454" operator="containsText" text="Rosa">
      <formula>NOT(ISERROR(SEARCH("Rosa",W38)))</formula>
    </cfRule>
    <cfRule type="containsText" dxfId="3717" priority="1455" operator="containsText" text="Castanho">
      <formula>NOT(ISERROR(SEARCH("Castanho",W38)))</formula>
    </cfRule>
    <cfRule type="containsText" dxfId="3716" priority="1456" operator="containsText" text="Verde Água">
      <formula>NOT(ISERROR(SEARCH("Verde Água",W38)))</formula>
    </cfRule>
    <cfRule type="containsText" dxfId="3715" priority="1457" operator="containsText" text="Azul Petróleo">
      <formula>NOT(ISERROR(SEARCH("Azul Petróleo",W38)))</formula>
    </cfRule>
    <cfRule type="containsText" dxfId="3714" priority="1458" operator="containsText" text="Preto">
      <formula>NOT(ISERROR(SEARCH("Preto",W38)))</formula>
    </cfRule>
    <cfRule type="containsText" priority="1459" operator="containsText" text="Branco">
      <formula>NOT(ISERROR(SEARCH("Branco",W38)))</formula>
    </cfRule>
    <cfRule type="containsText" dxfId="3713" priority="1460" operator="containsText" text="Bege">
      <formula>NOT(ISERROR(SEARCH("Bege",W38)))</formula>
    </cfRule>
  </conditionalFormatting>
  <conditionalFormatting sqref="W38">
    <cfRule type="containsText" dxfId="3712" priority="1443" operator="containsText" text="Cinza">
      <formula>NOT(ISERROR(SEARCH("Cinza",W38)))</formula>
    </cfRule>
    <cfRule type="containsText" dxfId="3711" priority="1444" operator="containsText" text="Púrpura">
      <formula>NOT(ISERROR(SEARCH("Púrpura",W38)))</formula>
    </cfRule>
    <cfRule type="containsText" dxfId="3710" priority="1445" operator="containsText" text="Rosa">
      <formula>NOT(ISERROR(SEARCH("Rosa",W38)))</formula>
    </cfRule>
    <cfRule type="containsText" dxfId="3709" priority="1446" operator="containsText" text="Castanho">
      <formula>NOT(ISERROR(SEARCH("Castanho",W38)))</formula>
    </cfRule>
    <cfRule type="containsText" dxfId="3708" priority="1447" operator="containsText" text="Verde Água">
      <formula>NOT(ISERROR(SEARCH("Verde Água",W38)))</formula>
    </cfRule>
    <cfRule type="containsText" dxfId="3707" priority="1448" operator="containsText" text="Azul Petróleo">
      <formula>NOT(ISERROR(SEARCH("Azul Petróleo",W38)))</formula>
    </cfRule>
    <cfRule type="containsText" dxfId="3706" priority="1449" operator="containsText" text="Preto">
      <formula>NOT(ISERROR(SEARCH("Preto",W38)))</formula>
    </cfRule>
    <cfRule type="containsText" priority="1450" operator="containsText" text="Branco">
      <formula>NOT(ISERROR(SEARCH("Branco",W38)))</formula>
    </cfRule>
    <cfRule type="containsText" dxfId="3705" priority="1451" operator="containsText" text="Bege">
      <formula>NOT(ISERROR(SEARCH("Bege",W38)))</formula>
    </cfRule>
  </conditionalFormatting>
  <conditionalFormatting sqref="W38">
    <cfRule type="containsText" dxfId="3704" priority="1434" operator="containsText" text="Cinza">
      <formula>NOT(ISERROR(SEARCH("Cinza",W38)))</formula>
    </cfRule>
    <cfRule type="containsText" dxfId="3703" priority="1435" operator="containsText" text="Púrpura">
      <formula>NOT(ISERROR(SEARCH("Púrpura",W38)))</formula>
    </cfRule>
    <cfRule type="containsText" dxfId="3702" priority="1436" operator="containsText" text="Rosa">
      <formula>NOT(ISERROR(SEARCH("Rosa",W38)))</formula>
    </cfRule>
    <cfRule type="containsText" dxfId="3701" priority="1437" operator="containsText" text="Castanho">
      <formula>NOT(ISERROR(SEARCH("Castanho",W38)))</formula>
    </cfRule>
    <cfRule type="containsText" dxfId="3700" priority="1438" operator="containsText" text="Verde Água">
      <formula>NOT(ISERROR(SEARCH("Verde Água",W38)))</formula>
    </cfRule>
    <cfRule type="containsText" dxfId="3699" priority="1439" operator="containsText" text="Azul Petróleo">
      <formula>NOT(ISERROR(SEARCH("Azul Petróleo",W38)))</formula>
    </cfRule>
    <cfRule type="containsText" dxfId="3698" priority="1440" operator="containsText" text="Preto">
      <formula>NOT(ISERROR(SEARCH("Preto",W38)))</formula>
    </cfRule>
    <cfRule type="containsText" priority="1441" operator="containsText" text="Branco">
      <formula>NOT(ISERROR(SEARCH("Branco",W38)))</formula>
    </cfRule>
    <cfRule type="containsText" dxfId="3697" priority="1442" operator="containsText" text="Bege">
      <formula>NOT(ISERROR(SEARCH("Bege",W38)))</formula>
    </cfRule>
  </conditionalFormatting>
  <conditionalFormatting sqref="W38">
    <cfRule type="containsText" dxfId="3696" priority="1425" operator="containsText" text="Cinza">
      <formula>NOT(ISERROR(SEARCH("Cinza",W38)))</formula>
    </cfRule>
    <cfRule type="containsText" dxfId="3695" priority="1426" operator="containsText" text="Púrpura">
      <formula>NOT(ISERROR(SEARCH("Púrpura",W38)))</formula>
    </cfRule>
    <cfRule type="containsText" dxfId="3694" priority="1427" operator="containsText" text="Rosa">
      <formula>NOT(ISERROR(SEARCH("Rosa",W38)))</formula>
    </cfRule>
    <cfRule type="containsText" dxfId="3693" priority="1428" operator="containsText" text="Castanho">
      <formula>NOT(ISERROR(SEARCH("Castanho",W38)))</formula>
    </cfRule>
    <cfRule type="containsText" dxfId="3692" priority="1429" operator="containsText" text="Verde Água">
      <formula>NOT(ISERROR(SEARCH("Verde Água",W38)))</formula>
    </cfRule>
    <cfRule type="containsText" dxfId="3691" priority="1430" operator="containsText" text="Azul Petróleo">
      <formula>NOT(ISERROR(SEARCH("Azul Petróleo",W38)))</formula>
    </cfRule>
    <cfRule type="containsText" dxfId="3690" priority="1431" operator="containsText" text="Preto">
      <formula>NOT(ISERROR(SEARCH("Preto",W38)))</formula>
    </cfRule>
    <cfRule type="containsText" priority="1432" operator="containsText" text="Branco">
      <formula>NOT(ISERROR(SEARCH("Branco",W38)))</formula>
    </cfRule>
    <cfRule type="containsText" dxfId="3689" priority="1433" operator="containsText" text="Bege">
      <formula>NOT(ISERROR(SEARCH("Bege",W38)))</formula>
    </cfRule>
  </conditionalFormatting>
  <conditionalFormatting sqref="W38">
    <cfRule type="containsText" dxfId="3688" priority="1416" operator="containsText" text="Cinza">
      <formula>NOT(ISERROR(SEARCH("Cinza",W38)))</formula>
    </cfRule>
    <cfRule type="containsText" dxfId="3687" priority="1417" operator="containsText" text="Púrpura">
      <formula>NOT(ISERROR(SEARCH("Púrpura",W38)))</formula>
    </cfRule>
    <cfRule type="containsText" dxfId="3686" priority="1418" operator="containsText" text="Rosa">
      <formula>NOT(ISERROR(SEARCH("Rosa",W38)))</formula>
    </cfRule>
    <cfRule type="containsText" dxfId="3685" priority="1419" operator="containsText" text="Castanho">
      <formula>NOT(ISERROR(SEARCH("Castanho",W38)))</formula>
    </cfRule>
    <cfRule type="containsText" dxfId="3684" priority="1420" operator="containsText" text="Verde Água">
      <formula>NOT(ISERROR(SEARCH("Verde Água",W38)))</formula>
    </cfRule>
    <cfRule type="containsText" dxfId="3683" priority="1421" operator="containsText" text="Azul Petróleo">
      <formula>NOT(ISERROR(SEARCH("Azul Petróleo",W38)))</formula>
    </cfRule>
    <cfRule type="containsText" dxfId="3682" priority="1422" operator="containsText" text="Preto">
      <formula>NOT(ISERROR(SEARCH("Preto",W38)))</formula>
    </cfRule>
    <cfRule type="containsText" priority="1423" operator="containsText" text="Branco">
      <formula>NOT(ISERROR(SEARCH("Branco",W38)))</formula>
    </cfRule>
    <cfRule type="containsText" dxfId="3681" priority="1424" operator="containsText" text="Bege">
      <formula>NOT(ISERROR(SEARCH("Bege",W38)))</formula>
    </cfRule>
  </conditionalFormatting>
  <conditionalFormatting sqref="W38">
    <cfRule type="containsText" dxfId="3680" priority="1407" operator="containsText" text="Cinza">
      <formula>NOT(ISERROR(SEARCH("Cinza",W38)))</formula>
    </cfRule>
    <cfRule type="containsText" dxfId="3679" priority="1408" operator="containsText" text="Púrpura">
      <formula>NOT(ISERROR(SEARCH("Púrpura",W38)))</formula>
    </cfRule>
    <cfRule type="containsText" dxfId="3678" priority="1409" operator="containsText" text="Rosa">
      <formula>NOT(ISERROR(SEARCH("Rosa",W38)))</formula>
    </cfRule>
    <cfRule type="containsText" dxfId="3677" priority="1410" operator="containsText" text="Castanho">
      <formula>NOT(ISERROR(SEARCH("Castanho",W38)))</formula>
    </cfRule>
    <cfRule type="containsText" dxfId="3676" priority="1411" operator="containsText" text="Verde Água">
      <formula>NOT(ISERROR(SEARCH("Verde Água",W38)))</formula>
    </cfRule>
    <cfRule type="containsText" dxfId="3675" priority="1412" operator="containsText" text="Azul Petróleo">
      <formula>NOT(ISERROR(SEARCH("Azul Petróleo",W38)))</formula>
    </cfRule>
    <cfRule type="containsText" dxfId="3674" priority="1413" operator="containsText" text="Preto">
      <formula>NOT(ISERROR(SEARCH("Preto",W38)))</formula>
    </cfRule>
    <cfRule type="containsText" priority="1414" operator="containsText" text="Branco">
      <formula>NOT(ISERROR(SEARCH("Branco",W38)))</formula>
    </cfRule>
    <cfRule type="containsText" dxfId="3673" priority="1415" operator="containsText" text="Bege">
      <formula>NOT(ISERROR(SEARCH("Bege",W38)))</formula>
    </cfRule>
  </conditionalFormatting>
  <conditionalFormatting sqref="W38">
    <cfRule type="containsText" dxfId="3672" priority="1398" operator="containsText" text="Cinza">
      <formula>NOT(ISERROR(SEARCH("Cinza",W38)))</formula>
    </cfRule>
    <cfRule type="containsText" dxfId="3671" priority="1399" operator="containsText" text="Púrpura">
      <formula>NOT(ISERROR(SEARCH("Púrpura",W38)))</formula>
    </cfRule>
    <cfRule type="containsText" dxfId="3670" priority="1400" operator="containsText" text="Rosa">
      <formula>NOT(ISERROR(SEARCH("Rosa",W38)))</formula>
    </cfRule>
    <cfRule type="containsText" dxfId="3669" priority="1401" operator="containsText" text="Castanho">
      <formula>NOT(ISERROR(SEARCH("Castanho",W38)))</formula>
    </cfRule>
    <cfRule type="containsText" dxfId="3668" priority="1402" operator="containsText" text="Verde Água">
      <formula>NOT(ISERROR(SEARCH("Verde Água",W38)))</formula>
    </cfRule>
    <cfRule type="containsText" dxfId="3667" priority="1403" operator="containsText" text="Azul Petróleo">
      <formula>NOT(ISERROR(SEARCH("Azul Petróleo",W38)))</formula>
    </cfRule>
    <cfRule type="containsText" dxfId="3666" priority="1404" operator="containsText" text="Preto">
      <formula>NOT(ISERROR(SEARCH("Preto",W38)))</formula>
    </cfRule>
    <cfRule type="containsText" priority="1405" operator="containsText" text="Branco">
      <formula>NOT(ISERROR(SEARCH("Branco",W38)))</formula>
    </cfRule>
    <cfRule type="containsText" dxfId="3665" priority="1406" operator="containsText" text="Bege">
      <formula>NOT(ISERROR(SEARCH("Bege",W38)))</formula>
    </cfRule>
  </conditionalFormatting>
  <conditionalFormatting sqref="W38">
    <cfRule type="containsText" dxfId="3664" priority="1389" operator="containsText" text="Cinza">
      <formula>NOT(ISERROR(SEARCH("Cinza",W38)))</formula>
    </cfRule>
    <cfRule type="containsText" dxfId="3663" priority="1390" operator="containsText" text="Púrpura">
      <formula>NOT(ISERROR(SEARCH("Púrpura",W38)))</formula>
    </cfRule>
    <cfRule type="containsText" dxfId="3662" priority="1391" operator="containsText" text="Rosa">
      <formula>NOT(ISERROR(SEARCH("Rosa",W38)))</formula>
    </cfRule>
    <cfRule type="containsText" dxfId="3661" priority="1392" operator="containsText" text="Castanho">
      <formula>NOT(ISERROR(SEARCH("Castanho",W38)))</formula>
    </cfRule>
    <cfRule type="containsText" dxfId="3660" priority="1393" operator="containsText" text="Verde Água">
      <formula>NOT(ISERROR(SEARCH("Verde Água",W38)))</formula>
    </cfRule>
    <cfRule type="containsText" dxfId="3659" priority="1394" operator="containsText" text="Azul Petróleo">
      <formula>NOT(ISERROR(SEARCH("Azul Petróleo",W38)))</formula>
    </cfRule>
    <cfRule type="containsText" dxfId="3658" priority="1395" operator="containsText" text="Preto">
      <formula>NOT(ISERROR(SEARCH("Preto",W38)))</formula>
    </cfRule>
    <cfRule type="containsText" priority="1396" operator="containsText" text="Branco">
      <formula>NOT(ISERROR(SEARCH("Branco",W38)))</formula>
    </cfRule>
    <cfRule type="containsText" dxfId="3657" priority="1397" operator="containsText" text="Bege">
      <formula>NOT(ISERROR(SEARCH("Bege",W38)))</formula>
    </cfRule>
  </conditionalFormatting>
  <conditionalFormatting sqref="W38">
    <cfRule type="containsText" dxfId="3656" priority="1380" operator="containsText" text="Cinza">
      <formula>NOT(ISERROR(SEARCH("Cinza",W38)))</formula>
    </cfRule>
    <cfRule type="containsText" dxfId="3655" priority="1381" operator="containsText" text="Púrpura">
      <formula>NOT(ISERROR(SEARCH("Púrpura",W38)))</formula>
    </cfRule>
    <cfRule type="containsText" dxfId="3654" priority="1382" operator="containsText" text="Rosa">
      <formula>NOT(ISERROR(SEARCH("Rosa",W38)))</formula>
    </cfRule>
    <cfRule type="containsText" dxfId="3653" priority="1383" operator="containsText" text="Castanho">
      <formula>NOT(ISERROR(SEARCH("Castanho",W38)))</formula>
    </cfRule>
    <cfRule type="containsText" dxfId="3652" priority="1384" operator="containsText" text="Verde Água">
      <formula>NOT(ISERROR(SEARCH("Verde Água",W38)))</formula>
    </cfRule>
    <cfRule type="containsText" dxfId="3651" priority="1385" operator="containsText" text="Azul Petróleo">
      <formula>NOT(ISERROR(SEARCH("Azul Petróleo",W38)))</formula>
    </cfRule>
    <cfRule type="containsText" dxfId="3650" priority="1386" operator="containsText" text="Preto">
      <formula>NOT(ISERROR(SEARCH("Preto",W38)))</formula>
    </cfRule>
    <cfRule type="containsText" priority="1387" operator="containsText" text="Branco">
      <formula>NOT(ISERROR(SEARCH("Branco",W38)))</formula>
    </cfRule>
    <cfRule type="containsText" dxfId="3649" priority="1388" operator="containsText" text="Bege">
      <formula>NOT(ISERROR(SEARCH("Bege",W38)))</formula>
    </cfRule>
  </conditionalFormatting>
  <conditionalFormatting sqref="W38">
    <cfRule type="containsText" dxfId="3648" priority="1371" operator="containsText" text="Cinza">
      <formula>NOT(ISERROR(SEARCH("Cinza",W38)))</formula>
    </cfRule>
    <cfRule type="containsText" dxfId="3647" priority="1372" operator="containsText" text="Púrpura">
      <formula>NOT(ISERROR(SEARCH("Púrpura",W38)))</formula>
    </cfRule>
    <cfRule type="containsText" dxfId="3646" priority="1373" operator="containsText" text="Rosa">
      <formula>NOT(ISERROR(SEARCH("Rosa",W38)))</formula>
    </cfRule>
    <cfRule type="containsText" dxfId="3645" priority="1374" operator="containsText" text="Castanho">
      <formula>NOT(ISERROR(SEARCH("Castanho",W38)))</formula>
    </cfRule>
    <cfRule type="containsText" dxfId="3644" priority="1375" operator="containsText" text="Verde Água">
      <formula>NOT(ISERROR(SEARCH("Verde Água",W38)))</formula>
    </cfRule>
    <cfRule type="containsText" dxfId="3643" priority="1376" operator="containsText" text="Azul Petróleo">
      <formula>NOT(ISERROR(SEARCH("Azul Petróleo",W38)))</formula>
    </cfRule>
    <cfRule type="containsText" dxfId="3642" priority="1377" operator="containsText" text="Preto">
      <formula>NOT(ISERROR(SEARCH("Preto",W38)))</formula>
    </cfRule>
    <cfRule type="containsText" priority="1378" operator="containsText" text="Branco">
      <formula>NOT(ISERROR(SEARCH("Branco",W38)))</formula>
    </cfRule>
    <cfRule type="containsText" dxfId="3641" priority="1379" operator="containsText" text="Bege">
      <formula>NOT(ISERROR(SEARCH("Bege",W38)))</formula>
    </cfRule>
  </conditionalFormatting>
  <conditionalFormatting sqref="W38">
    <cfRule type="containsText" dxfId="3640" priority="1362" operator="containsText" text="Cinza">
      <formula>NOT(ISERROR(SEARCH("Cinza",W38)))</formula>
    </cfRule>
    <cfRule type="containsText" dxfId="3639" priority="1363" operator="containsText" text="Púrpura">
      <formula>NOT(ISERROR(SEARCH("Púrpura",W38)))</formula>
    </cfRule>
    <cfRule type="containsText" dxfId="3638" priority="1364" operator="containsText" text="Rosa">
      <formula>NOT(ISERROR(SEARCH("Rosa",W38)))</formula>
    </cfRule>
    <cfRule type="containsText" dxfId="3637" priority="1365" operator="containsText" text="Castanho">
      <formula>NOT(ISERROR(SEARCH("Castanho",W38)))</formula>
    </cfRule>
    <cfRule type="containsText" dxfId="3636" priority="1366" operator="containsText" text="Verde Água">
      <formula>NOT(ISERROR(SEARCH("Verde Água",W38)))</formula>
    </cfRule>
    <cfRule type="containsText" dxfId="3635" priority="1367" operator="containsText" text="Azul Petróleo">
      <formula>NOT(ISERROR(SEARCH("Azul Petróleo",W38)))</formula>
    </cfRule>
    <cfRule type="containsText" dxfId="3634" priority="1368" operator="containsText" text="Preto">
      <formula>NOT(ISERROR(SEARCH("Preto",W38)))</formula>
    </cfRule>
    <cfRule type="containsText" priority="1369" operator="containsText" text="Branco">
      <formula>NOT(ISERROR(SEARCH("Branco",W38)))</formula>
    </cfRule>
    <cfRule type="containsText" dxfId="3633" priority="1370" operator="containsText" text="Bege">
      <formula>NOT(ISERROR(SEARCH("Bege",W38)))</formula>
    </cfRule>
  </conditionalFormatting>
  <conditionalFormatting sqref="W38">
    <cfRule type="containsText" dxfId="3632" priority="1353" operator="containsText" text="Cinza">
      <formula>NOT(ISERROR(SEARCH("Cinza",W38)))</formula>
    </cfRule>
    <cfRule type="containsText" dxfId="3631" priority="1354" operator="containsText" text="Púrpura">
      <formula>NOT(ISERROR(SEARCH("Púrpura",W38)))</formula>
    </cfRule>
    <cfRule type="containsText" dxfId="3630" priority="1355" operator="containsText" text="Rosa">
      <formula>NOT(ISERROR(SEARCH("Rosa",W38)))</formula>
    </cfRule>
    <cfRule type="containsText" dxfId="3629" priority="1356" operator="containsText" text="Castanho">
      <formula>NOT(ISERROR(SEARCH("Castanho",W38)))</formula>
    </cfRule>
    <cfRule type="containsText" dxfId="3628" priority="1357" operator="containsText" text="Verde Água">
      <formula>NOT(ISERROR(SEARCH("Verde Água",W38)))</formula>
    </cfRule>
    <cfRule type="containsText" dxfId="3627" priority="1358" operator="containsText" text="Azul Petróleo">
      <formula>NOT(ISERROR(SEARCH("Azul Petróleo",W38)))</formula>
    </cfRule>
    <cfRule type="containsText" dxfId="3626" priority="1359" operator="containsText" text="Preto">
      <formula>NOT(ISERROR(SEARCH("Preto",W38)))</formula>
    </cfRule>
    <cfRule type="containsText" priority="1360" operator="containsText" text="Branco">
      <formula>NOT(ISERROR(SEARCH("Branco",W38)))</formula>
    </cfRule>
    <cfRule type="containsText" dxfId="3625" priority="1361" operator="containsText" text="Bege">
      <formula>NOT(ISERROR(SEARCH("Bege",W38)))</formula>
    </cfRule>
  </conditionalFormatting>
  <conditionalFormatting sqref="W38">
    <cfRule type="containsText" dxfId="3624" priority="1344" operator="containsText" text="Cinza">
      <formula>NOT(ISERROR(SEARCH("Cinza",W38)))</formula>
    </cfRule>
    <cfRule type="containsText" dxfId="3623" priority="1345" operator="containsText" text="Púrpura">
      <formula>NOT(ISERROR(SEARCH("Púrpura",W38)))</formula>
    </cfRule>
    <cfRule type="containsText" dxfId="3622" priority="1346" operator="containsText" text="Rosa">
      <formula>NOT(ISERROR(SEARCH("Rosa",W38)))</formula>
    </cfRule>
    <cfRule type="containsText" dxfId="3621" priority="1347" operator="containsText" text="Castanho">
      <formula>NOT(ISERROR(SEARCH("Castanho",W38)))</formula>
    </cfRule>
    <cfRule type="containsText" dxfId="3620" priority="1348" operator="containsText" text="Verde Água">
      <formula>NOT(ISERROR(SEARCH("Verde Água",W38)))</formula>
    </cfRule>
    <cfRule type="containsText" dxfId="3619" priority="1349" operator="containsText" text="Azul Petróleo">
      <formula>NOT(ISERROR(SEARCH("Azul Petróleo",W38)))</formula>
    </cfRule>
    <cfRule type="containsText" dxfId="3618" priority="1350" operator="containsText" text="Preto">
      <formula>NOT(ISERROR(SEARCH("Preto",W38)))</formula>
    </cfRule>
    <cfRule type="containsText" priority="1351" operator="containsText" text="Branco">
      <formula>NOT(ISERROR(SEARCH("Branco",W38)))</formula>
    </cfRule>
    <cfRule type="containsText" dxfId="3617" priority="1352" operator="containsText" text="Bege">
      <formula>NOT(ISERROR(SEARCH("Bege",W38)))</formula>
    </cfRule>
  </conditionalFormatting>
  <conditionalFormatting sqref="W38">
    <cfRule type="containsText" dxfId="3616" priority="1335" operator="containsText" text="Cinza">
      <formula>NOT(ISERROR(SEARCH("Cinza",W38)))</formula>
    </cfRule>
    <cfRule type="containsText" dxfId="3615" priority="1336" operator="containsText" text="Púrpura">
      <formula>NOT(ISERROR(SEARCH("Púrpura",W38)))</formula>
    </cfRule>
    <cfRule type="containsText" dxfId="3614" priority="1337" operator="containsText" text="Rosa">
      <formula>NOT(ISERROR(SEARCH("Rosa",W38)))</formula>
    </cfRule>
    <cfRule type="containsText" dxfId="3613" priority="1338" operator="containsText" text="Castanho">
      <formula>NOT(ISERROR(SEARCH("Castanho",W38)))</formula>
    </cfRule>
    <cfRule type="containsText" dxfId="3612" priority="1339" operator="containsText" text="Verde Água">
      <formula>NOT(ISERROR(SEARCH("Verde Água",W38)))</formula>
    </cfRule>
    <cfRule type="containsText" dxfId="3611" priority="1340" operator="containsText" text="Azul Petróleo">
      <formula>NOT(ISERROR(SEARCH("Azul Petróleo",W38)))</formula>
    </cfRule>
    <cfRule type="containsText" dxfId="3610" priority="1341" operator="containsText" text="Preto">
      <formula>NOT(ISERROR(SEARCH("Preto",W38)))</formula>
    </cfRule>
    <cfRule type="containsText" priority="1342" operator="containsText" text="Branco">
      <formula>NOT(ISERROR(SEARCH("Branco",W38)))</formula>
    </cfRule>
    <cfRule type="containsText" dxfId="3609" priority="1343" operator="containsText" text="Bege">
      <formula>NOT(ISERROR(SEARCH("Bege",W38)))</formula>
    </cfRule>
  </conditionalFormatting>
  <conditionalFormatting sqref="W38">
    <cfRule type="containsText" dxfId="3608" priority="1326" operator="containsText" text="Cinza">
      <formula>NOT(ISERROR(SEARCH("Cinza",W38)))</formula>
    </cfRule>
    <cfRule type="containsText" dxfId="3607" priority="1327" operator="containsText" text="Púrpura">
      <formula>NOT(ISERROR(SEARCH("Púrpura",W38)))</formula>
    </cfRule>
    <cfRule type="containsText" dxfId="3606" priority="1328" operator="containsText" text="Rosa">
      <formula>NOT(ISERROR(SEARCH("Rosa",W38)))</formula>
    </cfRule>
    <cfRule type="containsText" dxfId="3605" priority="1329" operator="containsText" text="Castanho">
      <formula>NOT(ISERROR(SEARCH("Castanho",W38)))</formula>
    </cfRule>
    <cfRule type="containsText" dxfId="3604" priority="1330" operator="containsText" text="Verde Água">
      <formula>NOT(ISERROR(SEARCH("Verde Água",W38)))</formula>
    </cfRule>
    <cfRule type="containsText" dxfId="3603" priority="1331" operator="containsText" text="Azul Petróleo">
      <formula>NOT(ISERROR(SEARCH("Azul Petróleo",W38)))</formula>
    </cfRule>
    <cfRule type="containsText" dxfId="3602" priority="1332" operator="containsText" text="Preto">
      <formula>NOT(ISERROR(SEARCH("Preto",W38)))</formula>
    </cfRule>
    <cfRule type="containsText" priority="1333" operator="containsText" text="Branco">
      <formula>NOT(ISERROR(SEARCH("Branco",W38)))</formula>
    </cfRule>
    <cfRule type="containsText" dxfId="3601" priority="1334" operator="containsText" text="Bege">
      <formula>NOT(ISERROR(SEARCH("Bege",W38)))</formula>
    </cfRule>
  </conditionalFormatting>
  <conditionalFormatting sqref="W38">
    <cfRule type="containsText" dxfId="3600" priority="1317" operator="containsText" text="Cinza">
      <formula>NOT(ISERROR(SEARCH("Cinza",W38)))</formula>
    </cfRule>
    <cfRule type="containsText" dxfId="3599" priority="1318" operator="containsText" text="Púrpura">
      <formula>NOT(ISERROR(SEARCH("Púrpura",W38)))</formula>
    </cfRule>
    <cfRule type="containsText" dxfId="3598" priority="1319" operator="containsText" text="Rosa">
      <formula>NOT(ISERROR(SEARCH("Rosa",W38)))</formula>
    </cfRule>
    <cfRule type="containsText" dxfId="3597" priority="1320" operator="containsText" text="Castanho">
      <formula>NOT(ISERROR(SEARCH("Castanho",W38)))</formula>
    </cfRule>
    <cfRule type="containsText" dxfId="3596" priority="1321" operator="containsText" text="Verde Água">
      <formula>NOT(ISERROR(SEARCH("Verde Água",W38)))</formula>
    </cfRule>
    <cfRule type="containsText" dxfId="3595" priority="1322" operator="containsText" text="Azul Petróleo">
      <formula>NOT(ISERROR(SEARCH("Azul Petróleo",W38)))</formula>
    </cfRule>
    <cfRule type="containsText" dxfId="3594" priority="1323" operator="containsText" text="Preto">
      <formula>NOT(ISERROR(SEARCH("Preto",W38)))</formula>
    </cfRule>
    <cfRule type="containsText" priority="1324" operator="containsText" text="Branco">
      <formula>NOT(ISERROR(SEARCH("Branco",W38)))</formula>
    </cfRule>
    <cfRule type="containsText" dxfId="3593" priority="1325" operator="containsText" text="Bege">
      <formula>NOT(ISERROR(SEARCH("Bege",W38)))</formula>
    </cfRule>
  </conditionalFormatting>
  <conditionalFormatting sqref="W38">
    <cfRule type="containsText" dxfId="3592" priority="1308" operator="containsText" text="Escuro">
      <formula>NOT(ISERROR(SEARCH("Escuro",W38)))</formula>
    </cfRule>
    <cfRule type="containsText" dxfId="3591" priority="1309" operator="containsText" text="Cinza">
      <formula>NOT(ISERROR(SEARCH("Cinza",W38)))</formula>
    </cfRule>
    <cfRule type="containsText" dxfId="3590" priority="1310" operator="containsText" text="Púrpura">
      <formula>NOT(ISERROR(SEARCH("Púrpura",W38)))</formula>
    </cfRule>
    <cfRule type="containsText" dxfId="3589" priority="1311" operator="containsText" text="Rosa">
      <formula>NOT(ISERROR(SEARCH("Rosa",W38)))</formula>
    </cfRule>
    <cfRule type="containsText" dxfId="3588" priority="1312" operator="containsText" text="Castanho">
      <formula>NOT(ISERROR(SEARCH("Castanho",W38)))</formula>
    </cfRule>
    <cfRule type="containsText" dxfId="3587" priority="1313" operator="containsText" text="Verde Água">
      <formula>NOT(ISERROR(SEARCH("Verde Água",W38)))</formula>
    </cfRule>
    <cfRule type="containsText" dxfId="3586" priority="1314" operator="containsText" text="Azul Petróleo">
      <formula>NOT(ISERROR(SEARCH("Azul Petróleo",W38)))</formula>
    </cfRule>
    <cfRule type="containsText" dxfId="3585" priority="1315" operator="containsText" text="Preto">
      <formula>NOT(ISERROR(SEARCH("Preto",W38)))</formula>
    </cfRule>
    <cfRule type="containsText" priority="1316" operator="containsText" text="Branco">
      <formula>NOT(ISERROR(SEARCH("Branco",W38)))</formula>
    </cfRule>
  </conditionalFormatting>
  <conditionalFormatting sqref="W42">
    <cfRule type="containsText" dxfId="3584" priority="1299" operator="containsText" text="Cinza">
      <formula>NOT(ISERROR(SEARCH("Cinza",W42)))</formula>
    </cfRule>
    <cfRule type="containsText" dxfId="3583" priority="1300" operator="containsText" text="Púrpura">
      <formula>NOT(ISERROR(SEARCH("Púrpura",W42)))</formula>
    </cfRule>
    <cfRule type="containsText" dxfId="3582" priority="1301" operator="containsText" text="Rosa">
      <formula>NOT(ISERROR(SEARCH("Rosa",W42)))</formula>
    </cfRule>
    <cfRule type="containsText" dxfId="3581" priority="1302" operator="containsText" text="Castanho">
      <formula>NOT(ISERROR(SEARCH("Castanho",W42)))</formula>
    </cfRule>
    <cfRule type="containsText" dxfId="3580" priority="1303" operator="containsText" text="Verde Água">
      <formula>NOT(ISERROR(SEARCH("Verde Água",W42)))</formula>
    </cfRule>
    <cfRule type="containsText" dxfId="3579" priority="1304" operator="containsText" text="Azul Petróleo">
      <formula>NOT(ISERROR(SEARCH("Azul Petróleo",W42)))</formula>
    </cfRule>
    <cfRule type="containsText" dxfId="3578" priority="1305" operator="containsText" text="Preto">
      <formula>NOT(ISERROR(SEARCH("Preto",W42)))</formula>
    </cfRule>
    <cfRule type="containsText" priority="1306" operator="containsText" text="Branco">
      <formula>NOT(ISERROR(SEARCH("Branco",W42)))</formula>
    </cfRule>
    <cfRule type="containsText" dxfId="3577" priority="1307" operator="containsText" text="Bege">
      <formula>NOT(ISERROR(SEARCH("Bege",W42)))</formula>
    </cfRule>
  </conditionalFormatting>
  <conditionalFormatting sqref="W42">
    <cfRule type="containsText" dxfId="3576" priority="1290" operator="containsText" text="Cinza">
      <formula>NOT(ISERROR(SEARCH("Cinza",W42)))</formula>
    </cfRule>
    <cfRule type="containsText" dxfId="3575" priority="1291" operator="containsText" text="Púrpura">
      <formula>NOT(ISERROR(SEARCH("Púrpura",W42)))</formula>
    </cfRule>
    <cfRule type="containsText" dxfId="3574" priority="1292" operator="containsText" text="Rosa">
      <formula>NOT(ISERROR(SEARCH("Rosa",W42)))</formula>
    </cfRule>
    <cfRule type="containsText" dxfId="3573" priority="1293" operator="containsText" text="Castanho">
      <formula>NOT(ISERROR(SEARCH("Castanho",W42)))</formula>
    </cfRule>
    <cfRule type="containsText" dxfId="3572" priority="1294" operator="containsText" text="Verde Água">
      <formula>NOT(ISERROR(SEARCH("Verde Água",W42)))</formula>
    </cfRule>
    <cfRule type="containsText" dxfId="3571" priority="1295" operator="containsText" text="Azul Petróleo">
      <formula>NOT(ISERROR(SEARCH("Azul Petróleo",W42)))</formula>
    </cfRule>
    <cfRule type="containsText" dxfId="3570" priority="1296" operator="containsText" text="Preto">
      <formula>NOT(ISERROR(SEARCH("Preto",W42)))</formula>
    </cfRule>
    <cfRule type="containsText" priority="1297" operator="containsText" text="Branco">
      <formula>NOT(ISERROR(SEARCH("Branco",W42)))</formula>
    </cfRule>
    <cfRule type="containsText" dxfId="3569" priority="1298" operator="containsText" text="Bege">
      <formula>NOT(ISERROR(SEARCH("Bege",W42)))</formula>
    </cfRule>
  </conditionalFormatting>
  <conditionalFormatting sqref="W42">
    <cfRule type="containsText" dxfId="3568" priority="1281" operator="containsText" text="Cinza">
      <formula>NOT(ISERROR(SEARCH("Cinza",W42)))</formula>
    </cfRule>
    <cfRule type="containsText" dxfId="3567" priority="1282" operator="containsText" text="Púrpura">
      <formula>NOT(ISERROR(SEARCH("Púrpura",W42)))</formula>
    </cfRule>
    <cfRule type="containsText" dxfId="3566" priority="1283" operator="containsText" text="Rosa">
      <formula>NOT(ISERROR(SEARCH("Rosa",W42)))</formula>
    </cfRule>
    <cfRule type="containsText" dxfId="3565" priority="1284" operator="containsText" text="Castanho">
      <formula>NOT(ISERROR(SEARCH("Castanho",W42)))</formula>
    </cfRule>
    <cfRule type="containsText" dxfId="3564" priority="1285" operator="containsText" text="Verde Água">
      <formula>NOT(ISERROR(SEARCH("Verde Água",W42)))</formula>
    </cfRule>
    <cfRule type="containsText" dxfId="3563" priority="1286" operator="containsText" text="Azul Petróleo">
      <formula>NOT(ISERROR(SEARCH("Azul Petróleo",W42)))</formula>
    </cfRule>
    <cfRule type="containsText" dxfId="3562" priority="1287" operator="containsText" text="Preto">
      <formula>NOT(ISERROR(SEARCH("Preto",W42)))</formula>
    </cfRule>
    <cfRule type="containsText" priority="1288" operator="containsText" text="Branco">
      <formula>NOT(ISERROR(SEARCH("Branco",W42)))</formula>
    </cfRule>
    <cfRule type="containsText" dxfId="3561" priority="1289" operator="containsText" text="Bege">
      <formula>NOT(ISERROR(SEARCH("Bege",W42)))</formula>
    </cfRule>
  </conditionalFormatting>
  <conditionalFormatting sqref="W42">
    <cfRule type="containsText" dxfId="3560" priority="1272" operator="containsText" text="Cinza">
      <formula>NOT(ISERROR(SEARCH("Cinza",W42)))</formula>
    </cfRule>
    <cfRule type="containsText" dxfId="3559" priority="1273" operator="containsText" text="Púrpura">
      <formula>NOT(ISERROR(SEARCH("Púrpura",W42)))</formula>
    </cfRule>
    <cfRule type="containsText" dxfId="3558" priority="1274" operator="containsText" text="Rosa">
      <formula>NOT(ISERROR(SEARCH("Rosa",W42)))</formula>
    </cfRule>
    <cfRule type="containsText" dxfId="3557" priority="1275" operator="containsText" text="Castanho">
      <formula>NOT(ISERROR(SEARCH("Castanho",W42)))</formula>
    </cfRule>
    <cfRule type="containsText" dxfId="3556" priority="1276" operator="containsText" text="Verde Água">
      <formula>NOT(ISERROR(SEARCH("Verde Água",W42)))</formula>
    </cfRule>
    <cfRule type="containsText" dxfId="3555" priority="1277" operator="containsText" text="Azul Petróleo">
      <formula>NOT(ISERROR(SEARCH("Azul Petróleo",W42)))</formula>
    </cfRule>
    <cfRule type="containsText" dxfId="3554" priority="1278" operator="containsText" text="Preto">
      <formula>NOT(ISERROR(SEARCH("Preto",W42)))</formula>
    </cfRule>
    <cfRule type="containsText" priority="1279" operator="containsText" text="Branco">
      <formula>NOT(ISERROR(SEARCH("Branco",W42)))</formula>
    </cfRule>
    <cfRule type="containsText" dxfId="3553" priority="1280" operator="containsText" text="Bege">
      <formula>NOT(ISERROR(SEARCH("Bege",W42)))</formula>
    </cfRule>
  </conditionalFormatting>
  <conditionalFormatting sqref="W42">
    <cfRule type="containsText" dxfId="3552" priority="1263" operator="containsText" text="Cinza">
      <formula>NOT(ISERROR(SEARCH("Cinza",W42)))</formula>
    </cfRule>
    <cfRule type="containsText" dxfId="3551" priority="1264" operator="containsText" text="Púrpura">
      <formula>NOT(ISERROR(SEARCH("Púrpura",W42)))</formula>
    </cfRule>
    <cfRule type="containsText" dxfId="3550" priority="1265" operator="containsText" text="Rosa">
      <formula>NOT(ISERROR(SEARCH("Rosa",W42)))</formula>
    </cfRule>
    <cfRule type="containsText" dxfId="3549" priority="1266" operator="containsText" text="Castanho">
      <formula>NOT(ISERROR(SEARCH("Castanho",W42)))</formula>
    </cfRule>
    <cfRule type="containsText" dxfId="3548" priority="1267" operator="containsText" text="Verde Água">
      <formula>NOT(ISERROR(SEARCH("Verde Água",W42)))</formula>
    </cfRule>
    <cfRule type="containsText" dxfId="3547" priority="1268" operator="containsText" text="Azul Petróleo">
      <formula>NOT(ISERROR(SEARCH("Azul Petróleo",W42)))</formula>
    </cfRule>
    <cfRule type="containsText" dxfId="3546" priority="1269" operator="containsText" text="Preto">
      <formula>NOT(ISERROR(SEARCH("Preto",W42)))</formula>
    </cfRule>
    <cfRule type="containsText" priority="1270" operator="containsText" text="Branco">
      <formula>NOT(ISERROR(SEARCH("Branco",W42)))</formula>
    </cfRule>
    <cfRule type="containsText" dxfId="3545" priority="1271" operator="containsText" text="Bege">
      <formula>NOT(ISERROR(SEARCH("Bege",W42)))</formula>
    </cfRule>
  </conditionalFormatting>
  <conditionalFormatting sqref="W42">
    <cfRule type="containsText" dxfId="3544" priority="1254" operator="containsText" text="Cinza">
      <formula>NOT(ISERROR(SEARCH("Cinza",W42)))</formula>
    </cfRule>
    <cfRule type="containsText" dxfId="3543" priority="1255" operator="containsText" text="Púrpura">
      <formula>NOT(ISERROR(SEARCH("Púrpura",W42)))</formula>
    </cfRule>
    <cfRule type="containsText" dxfId="3542" priority="1256" operator="containsText" text="Rosa">
      <formula>NOT(ISERROR(SEARCH("Rosa",W42)))</formula>
    </cfRule>
    <cfRule type="containsText" dxfId="3541" priority="1257" operator="containsText" text="Castanho">
      <formula>NOT(ISERROR(SEARCH("Castanho",W42)))</formula>
    </cfRule>
    <cfRule type="containsText" dxfId="3540" priority="1258" operator="containsText" text="Verde Água">
      <formula>NOT(ISERROR(SEARCH("Verde Água",W42)))</formula>
    </cfRule>
    <cfRule type="containsText" dxfId="3539" priority="1259" operator="containsText" text="Azul Petróleo">
      <formula>NOT(ISERROR(SEARCH("Azul Petróleo",W42)))</formula>
    </cfRule>
    <cfRule type="containsText" dxfId="3538" priority="1260" operator="containsText" text="Preto">
      <formula>NOT(ISERROR(SEARCH("Preto",W42)))</formula>
    </cfRule>
    <cfRule type="containsText" priority="1261" operator="containsText" text="Branco">
      <formula>NOT(ISERROR(SEARCH("Branco",W42)))</formula>
    </cfRule>
    <cfRule type="containsText" dxfId="3537" priority="1262" operator="containsText" text="Bege">
      <formula>NOT(ISERROR(SEARCH("Bege",W42)))</formula>
    </cfRule>
  </conditionalFormatting>
  <conditionalFormatting sqref="W42">
    <cfRule type="containsText" dxfId="3536" priority="1245" operator="containsText" text="Cinza">
      <formula>NOT(ISERROR(SEARCH("Cinza",W42)))</formula>
    </cfRule>
    <cfRule type="containsText" dxfId="3535" priority="1246" operator="containsText" text="Púrpura">
      <formula>NOT(ISERROR(SEARCH("Púrpura",W42)))</formula>
    </cfRule>
    <cfRule type="containsText" dxfId="3534" priority="1247" operator="containsText" text="Rosa">
      <formula>NOT(ISERROR(SEARCH("Rosa",W42)))</formula>
    </cfRule>
    <cfRule type="containsText" dxfId="3533" priority="1248" operator="containsText" text="Castanho">
      <formula>NOT(ISERROR(SEARCH("Castanho",W42)))</formula>
    </cfRule>
    <cfRule type="containsText" dxfId="3532" priority="1249" operator="containsText" text="Verde Água">
      <formula>NOT(ISERROR(SEARCH("Verde Água",W42)))</formula>
    </cfRule>
    <cfRule type="containsText" dxfId="3531" priority="1250" operator="containsText" text="Azul Petróleo">
      <formula>NOT(ISERROR(SEARCH("Azul Petróleo",W42)))</formula>
    </cfRule>
    <cfRule type="containsText" dxfId="3530" priority="1251" operator="containsText" text="Preto">
      <formula>NOT(ISERROR(SEARCH("Preto",W42)))</formula>
    </cfRule>
    <cfRule type="containsText" priority="1252" operator="containsText" text="Branco">
      <formula>NOT(ISERROR(SEARCH("Branco",W42)))</formula>
    </cfRule>
    <cfRule type="containsText" dxfId="3529" priority="1253" operator="containsText" text="Bege">
      <formula>NOT(ISERROR(SEARCH("Bege",W42)))</formula>
    </cfRule>
  </conditionalFormatting>
  <conditionalFormatting sqref="W42">
    <cfRule type="containsText" dxfId="3528" priority="1236" operator="containsText" text="Cinza">
      <formula>NOT(ISERROR(SEARCH("Cinza",W42)))</formula>
    </cfRule>
    <cfRule type="containsText" dxfId="3527" priority="1237" operator="containsText" text="Púrpura">
      <formula>NOT(ISERROR(SEARCH("Púrpura",W42)))</formula>
    </cfRule>
    <cfRule type="containsText" dxfId="3526" priority="1238" operator="containsText" text="Rosa">
      <formula>NOT(ISERROR(SEARCH("Rosa",W42)))</formula>
    </cfRule>
    <cfRule type="containsText" dxfId="3525" priority="1239" operator="containsText" text="Castanho">
      <formula>NOT(ISERROR(SEARCH("Castanho",W42)))</formula>
    </cfRule>
    <cfRule type="containsText" dxfId="3524" priority="1240" operator="containsText" text="Verde Água">
      <formula>NOT(ISERROR(SEARCH("Verde Água",W42)))</formula>
    </cfRule>
    <cfRule type="containsText" dxfId="3523" priority="1241" operator="containsText" text="Azul Petróleo">
      <formula>NOT(ISERROR(SEARCH("Azul Petróleo",W42)))</formula>
    </cfRule>
    <cfRule type="containsText" dxfId="3522" priority="1242" operator="containsText" text="Preto">
      <formula>NOT(ISERROR(SEARCH("Preto",W42)))</formula>
    </cfRule>
    <cfRule type="containsText" priority="1243" operator="containsText" text="Branco">
      <formula>NOT(ISERROR(SEARCH("Branco",W42)))</formula>
    </cfRule>
    <cfRule type="containsText" dxfId="3521" priority="1244" operator="containsText" text="Bege">
      <formula>NOT(ISERROR(SEARCH("Bege",W42)))</formula>
    </cfRule>
  </conditionalFormatting>
  <conditionalFormatting sqref="W42">
    <cfRule type="containsText" dxfId="3520" priority="1227" operator="containsText" text="Cinza">
      <formula>NOT(ISERROR(SEARCH("Cinza",W42)))</formula>
    </cfRule>
    <cfRule type="containsText" dxfId="3519" priority="1228" operator="containsText" text="Púrpura">
      <formula>NOT(ISERROR(SEARCH("Púrpura",W42)))</formula>
    </cfRule>
    <cfRule type="containsText" dxfId="3518" priority="1229" operator="containsText" text="Rosa">
      <formula>NOT(ISERROR(SEARCH("Rosa",W42)))</formula>
    </cfRule>
    <cfRule type="containsText" dxfId="3517" priority="1230" operator="containsText" text="Castanho">
      <formula>NOT(ISERROR(SEARCH("Castanho",W42)))</formula>
    </cfRule>
    <cfRule type="containsText" dxfId="3516" priority="1231" operator="containsText" text="Verde Água">
      <formula>NOT(ISERROR(SEARCH("Verde Água",W42)))</formula>
    </cfRule>
    <cfRule type="containsText" dxfId="3515" priority="1232" operator="containsText" text="Azul Petróleo">
      <formula>NOT(ISERROR(SEARCH("Azul Petróleo",W42)))</formula>
    </cfRule>
    <cfRule type="containsText" dxfId="3514" priority="1233" operator="containsText" text="Preto">
      <formula>NOT(ISERROR(SEARCH("Preto",W42)))</formula>
    </cfRule>
    <cfRule type="containsText" priority="1234" operator="containsText" text="Branco">
      <formula>NOT(ISERROR(SEARCH("Branco",W42)))</formula>
    </cfRule>
    <cfRule type="containsText" dxfId="3513" priority="1235" operator="containsText" text="Bege">
      <formula>NOT(ISERROR(SEARCH("Bege",W42)))</formula>
    </cfRule>
  </conditionalFormatting>
  <conditionalFormatting sqref="W42">
    <cfRule type="containsText" dxfId="3512" priority="1218" operator="containsText" text="Cinza">
      <formula>NOT(ISERROR(SEARCH("Cinza",W42)))</formula>
    </cfRule>
    <cfRule type="containsText" dxfId="3511" priority="1219" operator="containsText" text="Púrpura">
      <formula>NOT(ISERROR(SEARCH("Púrpura",W42)))</formula>
    </cfRule>
    <cfRule type="containsText" dxfId="3510" priority="1220" operator="containsText" text="Rosa">
      <formula>NOT(ISERROR(SEARCH("Rosa",W42)))</formula>
    </cfRule>
    <cfRule type="containsText" dxfId="3509" priority="1221" operator="containsText" text="Castanho">
      <formula>NOT(ISERROR(SEARCH("Castanho",W42)))</formula>
    </cfRule>
    <cfRule type="containsText" dxfId="3508" priority="1222" operator="containsText" text="Verde Água">
      <formula>NOT(ISERROR(SEARCH("Verde Água",W42)))</formula>
    </cfRule>
    <cfRule type="containsText" dxfId="3507" priority="1223" operator="containsText" text="Azul Petróleo">
      <formula>NOT(ISERROR(SEARCH("Azul Petróleo",W42)))</formula>
    </cfRule>
    <cfRule type="containsText" dxfId="3506" priority="1224" operator="containsText" text="Preto">
      <formula>NOT(ISERROR(SEARCH("Preto",W42)))</formula>
    </cfRule>
    <cfRule type="containsText" priority="1225" operator="containsText" text="Branco">
      <formula>NOT(ISERROR(SEARCH("Branco",W42)))</formula>
    </cfRule>
    <cfRule type="containsText" dxfId="3505" priority="1226" operator="containsText" text="Bege">
      <formula>NOT(ISERROR(SEARCH("Bege",W42)))</formula>
    </cfRule>
  </conditionalFormatting>
  <conditionalFormatting sqref="W42">
    <cfRule type="containsText" dxfId="3504" priority="1209" operator="containsText" text="Cinza">
      <formula>NOT(ISERROR(SEARCH("Cinza",W42)))</formula>
    </cfRule>
    <cfRule type="containsText" dxfId="3503" priority="1210" operator="containsText" text="Púrpura">
      <formula>NOT(ISERROR(SEARCH("Púrpura",W42)))</formula>
    </cfRule>
    <cfRule type="containsText" dxfId="3502" priority="1211" operator="containsText" text="Rosa">
      <formula>NOT(ISERROR(SEARCH("Rosa",W42)))</formula>
    </cfRule>
    <cfRule type="containsText" dxfId="3501" priority="1212" operator="containsText" text="Castanho">
      <formula>NOT(ISERROR(SEARCH("Castanho",W42)))</formula>
    </cfRule>
    <cfRule type="containsText" dxfId="3500" priority="1213" operator="containsText" text="Verde Água">
      <formula>NOT(ISERROR(SEARCH("Verde Água",W42)))</formula>
    </cfRule>
    <cfRule type="containsText" dxfId="3499" priority="1214" operator="containsText" text="Azul Petróleo">
      <formula>NOT(ISERROR(SEARCH("Azul Petróleo",W42)))</formula>
    </cfRule>
    <cfRule type="containsText" dxfId="3498" priority="1215" operator="containsText" text="Preto">
      <formula>NOT(ISERROR(SEARCH("Preto",W42)))</formula>
    </cfRule>
    <cfRule type="containsText" priority="1216" operator="containsText" text="Branco">
      <formula>NOT(ISERROR(SEARCH("Branco",W42)))</formula>
    </cfRule>
    <cfRule type="containsText" dxfId="3497" priority="1217" operator="containsText" text="Bege">
      <formula>NOT(ISERROR(SEARCH("Bege",W42)))</formula>
    </cfRule>
  </conditionalFormatting>
  <conditionalFormatting sqref="W42">
    <cfRule type="containsText" dxfId="3496" priority="1200" operator="containsText" text="Cinza">
      <formula>NOT(ISERROR(SEARCH("Cinza",W42)))</formula>
    </cfRule>
    <cfRule type="containsText" dxfId="3495" priority="1201" operator="containsText" text="Púrpura">
      <formula>NOT(ISERROR(SEARCH("Púrpura",W42)))</formula>
    </cfRule>
    <cfRule type="containsText" dxfId="3494" priority="1202" operator="containsText" text="Rosa">
      <formula>NOT(ISERROR(SEARCH("Rosa",W42)))</formula>
    </cfRule>
    <cfRule type="containsText" dxfId="3493" priority="1203" operator="containsText" text="Castanho">
      <formula>NOT(ISERROR(SEARCH("Castanho",W42)))</formula>
    </cfRule>
    <cfRule type="containsText" dxfId="3492" priority="1204" operator="containsText" text="Verde Água">
      <formula>NOT(ISERROR(SEARCH("Verde Água",W42)))</formula>
    </cfRule>
    <cfRule type="containsText" dxfId="3491" priority="1205" operator="containsText" text="Azul Petróleo">
      <formula>NOT(ISERROR(SEARCH("Azul Petróleo",W42)))</formula>
    </cfRule>
    <cfRule type="containsText" dxfId="3490" priority="1206" operator="containsText" text="Preto">
      <formula>NOT(ISERROR(SEARCH("Preto",W42)))</formula>
    </cfRule>
    <cfRule type="containsText" priority="1207" operator="containsText" text="Branco">
      <formula>NOT(ISERROR(SEARCH("Branco",W42)))</formula>
    </cfRule>
    <cfRule type="containsText" dxfId="3489" priority="1208" operator="containsText" text="Bege">
      <formula>NOT(ISERROR(SEARCH("Bege",W42)))</formula>
    </cfRule>
  </conditionalFormatting>
  <conditionalFormatting sqref="W42">
    <cfRule type="containsText" dxfId="3488" priority="1191" operator="containsText" text="Cinza">
      <formula>NOT(ISERROR(SEARCH("Cinza",W42)))</formula>
    </cfRule>
    <cfRule type="containsText" dxfId="3487" priority="1192" operator="containsText" text="Púrpura">
      <formula>NOT(ISERROR(SEARCH("Púrpura",W42)))</formula>
    </cfRule>
    <cfRule type="containsText" dxfId="3486" priority="1193" operator="containsText" text="Rosa">
      <formula>NOT(ISERROR(SEARCH("Rosa",W42)))</formula>
    </cfRule>
    <cfRule type="containsText" dxfId="3485" priority="1194" operator="containsText" text="Castanho">
      <formula>NOT(ISERROR(SEARCH("Castanho",W42)))</formula>
    </cfRule>
    <cfRule type="containsText" dxfId="3484" priority="1195" operator="containsText" text="Verde Água">
      <formula>NOT(ISERROR(SEARCH("Verde Água",W42)))</formula>
    </cfRule>
    <cfRule type="containsText" dxfId="3483" priority="1196" operator="containsText" text="Azul Petróleo">
      <formula>NOT(ISERROR(SEARCH("Azul Petróleo",W42)))</formula>
    </cfRule>
    <cfRule type="containsText" dxfId="3482" priority="1197" operator="containsText" text="Preto">
      <formula>NOT(ISERROR(SEARCH("Preto",W42)))</formula>
    </cfRule>
    <cfRule type="containsText" priority="1198" operator="containsText" text="Branco">
      <formula>NOT(ISERROR(SEARCH("Branco",W42)))</formula>
    </cfRule>
    <cfRule type="containsText" dxfId="3481" priority="1199" operator="containsText" text="Bege">
      <formula>NOT(ISERROR(SEARCH("Bege",W42)))</formula>
    </cfRule>
  </conditionalFormatting>
  <conditionalFormatting sqref="W42">
    <cfRule type="containsText" dxfId="3480" priority="1182" operator="containsText" text="Cinza">
      <formula>NOT(ISERROR(SEARCH("Cinza",W42)))</formula>
    </cfRule>
    <cfRule type="containsText" dxfId="3479" priority="1183" operator="containsText" text="Púrpura">
      <formula>NOT(ISERROR(SEARCH("Púrpura",W42)))</formula>
    </cfRule>
    <cfRule type="containsText" dxfId="3478" priority="1184" operator="containsText" text="Rosa">
      <formula>NOT(ISERROR(SEARCH("Rosa",W42)))</formula>
    </cfRule>
    <cfRule type="containsText" dxfId="3477" priority="1185" operator="containsText" text="Castanho">
      <formula>NOT(ISERROR(SEARCH("Castanho",W42)))</formula>
    </cfRule>
    <cfRule type="containsText" dxfId="3476" priority="1186" operator="containsText" text="Verde Água">
      <formula>NOT(ISERROR(SEARCH("Verde Água",W42)))</formula>
    </cfRule>
    <cfRule type="containsText" dxfId="3475" priority="1187" operator="containsText" text="Azul Petróleo">
      <formula>NOT(ISERROR(SEARCH("Azul Petróleo",W42)))</formula>
    </cfRule>
    <cfRule type="containsText" dxfId="3474" priority="1188" operator="containsText" text="Preto">
      <formula>NOT(ISERROR(SEARCH("Preto",W42)))</formula>
    </cfRule>
    <cfRule type="containsText" priority="1189" operator="containsText" text="Branco">
      <formula>NOT(ISERROR(SEARCH("Branco",W42)))</formula>
    </cfRule>
    <cfRule type="containsText" dxfId="3473" priority="1190" operator="containsText" text="Bege">
      <formula>NOT(ISERROR(SEARCH("Bege",W42)))</formula>
    </cfRule>
  </conditionalFormatting>
  <conditionalFormatting sqref="W42">
    <cfRule type="containsText" dxfId="3472" priority="1173" operator="containsText" text="Cinza">
      <formula>NOT(ISERROR(SEARCH("Cinza",W42)))</formula>
    </cfRule>
    <cfRule type="containsText" dxfId="3471" priority="1174" operator="containsText" text="Púrpura">
      <formula>NOT(ISERROR(SEARCH("Púrpura",W42)))</formula>
    </cfRule>
    <cfRule type="containsText" dxfId="3470" priority="1175" operator="containsText" text="Rosa">
      <formula>NOT(ISERROR(SEARCH("Rosa",W42)))</formula>
    </cfRule>
    <cfRule type="containsText" dxfId="3469" priority="1176" operator="containsText" text="Castanho">
      <formula>NOT(ISERROR(SEARCH("Castanho",W42)))</formula>
    </cfRule>
    <cfRule type="containsText" dxfId="3468" priority="1177" operator="containsText" text="Verde Água">
      <formula>NOT(ISERROR(SEARCH("Verde Água",W42)))</formula>
    </cfRule>
    <cfRule type="containsText" dxfId="3467" priority="1178" operator="containsText" text="Azul Petróleo">
      <formula>NOT(ISERROR(SEARCH("Azul Petróleo",W42)))</formula>
    </cfRule>
    <cfRule type="containsText" dxfId="3466" priority="1179" operator="containsText" text="Preto">
      <formula>NOT(ISERROR(SEARCH("Preto",W42)))</formula>
    </cfRule>
    <cfRule type="containsText" priority="1180" operator="containsText" text="Branco">
      <formula>NOT(ISERROR(SEARCH("Branco",W42)))</formula>
    </cfRule>
    <cfRule type="containsText" dxfId="3465" priority="1181" operator="containsText" text="Bege">
      <formula>NOT(ISERROR(SEARCH("Bege",W42)))</formula>
    </cfRule>
  </conditionalFormatting>
  <conditionalFormatting sqref="W42">
    <cfRule type="containsText" dxfId="3464" priority="1164" operator="containsText" text="Cinza">
      <formula>NOT(ISERROR(SEARCH("Cinza",W42)))</formula>
    </cfRule>
    <cfRule type="containsText" dxfId="3463" priority="1165" operator="containsText" text="Púrpura">
      <formula>NOT(ISERROR(SEARCH("Púrpura",W42)))</formula>
    </cfRule>
    <cfRule type="containsText" dxfId="3462" priority="1166" operator="containsText" text="Rosa">
      <formula>NOT(ISERROR(SEARCH("Rosa",W42)))</formula>
    </cfRule>
    <cfRule type="containsText" dxfId="3461" priority="1167" operator="containsText" text="Castanho">
      <formula>NOT(ISERROR(SEARCH("Castanho",W42)))</formula>
    </cfRule>
    <cfRule type="containsText" dxfId="3460" priority="1168" operator="containsText" text="Verde Água">
      <formula>NOT(ISERROR(SEARCH("Verde Água",W42)))</formula>
    </cfRule>
    <cfRule type="containsText" dxfId="3459" priority="1169" operator="containsText" text="Azul Petróleo">
      <formula>NOT(ISERROR(SEARCH("Azul Petróleo",W42)))</formula>
    </cfRule>
    <cfRule type="containsText" dxfId="3458" priority="1170" operator="containsText" text="Preto">
      <formula>NOT(ISERROR(SEARCH("Preto",W42)))</formula>
    </cfRule>
    <cfRule type="containsText" priority="1171" operator="containsText" text="Branco">
      <formula>NOT(ISERROR(SEARCH("Branco",W42)))</formula>
    </cfRule>
    <cfRule type="containsText" dxfId="3457" priority="1172" operator="containsText" text="Bege">
      <formula>NOT(ISERROR(SEARCH("Bege",W42)))</formula>
    </cfRule>
  </conditionalFormatting>
  <conditionalFormatting sqref="W42">
    <cfRule type="containsText" dxfId="3456" priority="1155" operator="containsText" text="Escuro">
      <formula>NOT(ISERROR(SEARCH("Escuro",W42)))</formula>
    </cfRule>
    <cfRule type="containsText" dxfId="3455" priority="1156" operator="containsText" text="Cinza">
      <formula>NOT(ISERROR(SEARCH("Cinza",W42)))</formula>
    </cfRule>
    <cfRule type="containsText" dxfId="3454" priority="1157" operator="containsText" text="Púrpura">
      <formula>NOT(ISERROR(SEARCH("Púrpura",W42)))</formula>
    </cfRule>
    <cfRule type="containsText" dxfId="3453" priority="1158" operator="containsText" text="Rosa">
      <formula>NOT(ISERROR(SEARCH("Rosa",W42)))</formula>
    </cfRule>
    <cfRule type="containsText" dxfId="3452" priority="1159" operator="containsText" text="Castanho">
      <formula>NOT(ISERROR(SEARCH("Castanho",W42)))</formula>
    </cfRule>
    <cfRule type="containsText" dxfId="3451" priority="1160" operator="containsText" text="Verde Água">
      <formula>NOT(ISERROR(SEARCH("Verde Água",W42)))</formula>
    </cfRule>
    <cfRule type="containsText" dxfId="3450" priority="1161" operator="containsText" text="Azul Petróleo">
      <formula>NOT(ISERROR(SEARCH("Azul Petróleo",W42)))</formula>
    </cfRule>
    <cfRule type="containsText" dxfId="3449" priority="1162" operator="containsText" text="Preto">
      <formula>NOT(ISERROR(SEARCH("Preto",W42)))</formula>
    </cfRule>
    <cfRule type="containsText" priority="1163" operator="containsText" text="Branco">
      <formula>NOT(ISERROR(SEARCH("Branco",W42)))</formula>
    </cfRule>
  </conditionalFormatting>
  <conditionalFormatting sqref="W40">
    <cfRule type="containsText" dxfId="3448" priority="1146" operator="containsText" text="Cinza">
      <formula>NOT(ISERROR(SEARCH("Cinza",W40)))</formula>
    </cfRule>
    <cfRule type="containsText" dxfId="3447" priority="1147" operator="containsText" text="Púrpura">
      <formula>NOT(ISERROR(SEARCH("Púrpura",W40)))</formula>
    </cfRule>
    <cfRule type="containsText" dxfId="3446" priority="1148" operator="containsText" text="Rosa">
      <formula>NOT(ISERROR(SEARCH("Rosa",W40)))</formula>
    </cfRule>
    <cfRule type="containsText" dxfId="3445" priority="1149" operator="containsText" text="Castanho">
      <formula>NOT(ISERROR(SEARCH("Castanho",W40)))</formula>
    </cfRule>
    <cfRule type="containsText" dxfId="3444" priority="1150" operator="containsText" text="Verde Água">
      <formula>NOT(ISERROR(SEARCH("Verde Água",W40)))</formula>
    </cfRule>
    <cfRule type="containsText" dxfId="3443" priority="1151" operator="containsText" text="Azul Petróleo">
      <formula>NOT(ISERROR(SEARCH("Azul Petróleo",W40)))</formula>
    </cfRule>
    <cfRule type="containsText" dxfId="3442" priority="1152" operator="containsText" text="Preto">
      <formula>NOT(ISERROR(SEARCH("Preto",W40)))</formula>
    </cfRule>
    <cfRule type="containsText" priority="1153" operator="containsText" text="Branco">
      <formula>NOT(ISERROR(SEARCH("Branco",W40)))</formula>
    </cfRule>
    <cfRule type="containsText" dxfId="3441" priority="1154" operator="containsText" text="Bege">
      <formula>NOT(ISERROR(SEARCH("Bege",W40)))</formula>
    </cfRule>
  </conditionalFormatting>
  <conditionalFormatting sqref="W40">
    <cfRule type="containsText" dxfId="3440" priority="1137" operator="containsText" text="Cinza">
      <formula>NOT(ISERROR(SEARCH("Cinza",W40)))</formula>
    </cfRule>
    <cfRule type="containsText" dxfId="3439" priority="1138" operator="containsText" text="Púrpura">
      <formula>NOT(ISERROR(SEARCH("Púrpura",W40)))</formula>
    </cfRule>
    <cfRule type="containsText" dxfId="3438" priority="1139" operator="containsText" text="Rosa">
      <formula>NOT(ISERROR(SEARCH("Rosa",W40)))</formula>
    </cfRule>
    <cfRule type="containsText" dxfId="3437" priority="1140" operator="containsText" text="Castanho">
      <formula>NOT(ISERROR(SEARCH("Castanho",W40)))</formula>
    </cfRule>
    <cfRule type="containsText" dxfId="3436" priority="1141" operator="containsText" text="Verde Água">
      <formula>NOT(ISERROR(SEARCH("Verde Água",W40)))</formula>
    </cfRule>
    <cfRule type="containsText" dxfId="3435" priority="1142" operator="containsText" text="Azul Petróleo">
      <formula>NOT(ISERROR(SEARCH("Azul Petróleo",W40)))</formula>
    </cfRule>
    <cfRule type="containsText" dxfId="3434" priority="1143" operator="containsText" text="Preto">
      <formula>NOT(ISERROR(SEARCH("Preto",W40)))</formula>
    </cfRule>
    <cfRule type="containsText" priority="1144" operator="containsText" text="Branco">
      <formula>NOT(ISERROR(SEARCH("Branco",W40)))</formula>
    </cfRule>
    <cfRule type="containsText" dxfId="3433" priority="1145" operator="containsText" text="Bege">
      <formula>NOT(ISERROR(SEARCH("Bege",W40)))</formula>
    </cfRule>
  </conditionalFormatting>
  <conditionalFormatting sqref="W40">
    <cfRule type="containsText" dxfId="3432" priority="1128" operator="containsText" text="Cinza">
      <formula>NOT(ISERROR(SEARCH("Cinza",W40)))</formula>
    </cfRule>
    <cfRule type="containsText" dxfId="3431" priority="1129" operator="containsText" text="Púrpura">
      <formula>NOT(ISERROR(SEARCH("Púrpura",W40)))</formula>
    </cfRule>
    <cfRule type="containsText" dxfId="3430" priority="1130" operator="containsText" text="Rosa">
      <formula>NOT(ISERROR(SEARCH("Rosa",W40)))</formula>
    </cfRule>
    <cfRule type="containsText" dxfId="3429" priority="1131" operator="containsText" text="Castanho">
      <formula>NOT(ISERROR(SEARCH("Castanho",W40)))</formula>
    </cfRule>
    <cfRule type="containsText" dxfId="3428" priority="1132" operator="containsText" text="Verde Água">
      <formula>NOT(ISERROR(SEARCH("Verde Água",W40)))</formula>
    </cfRule>
    <cfRule type="containsText" dxfId="3427" priority="1133" operator="containsText" text="Azul Petróleo">
      <formula>NOT(ISERROR(SEARCH("Azul Petróleo",W40)))</formula>
    </cfRule>
    <cfRule type="containsText" dxfId="3426" priority="1134" operator="containsText" text="Preto">
      <formula>NOT(ISERROR(SEARCH("Preto",W40)))</formula>
    </cfRule>
    <cfRule type="containsText" priority="1135" operator="containsText" text="Branco">
      <formula>NOT(ISERROR(SEARCH("Branco",W40)))</formula>
    </cfRule>
    <cfRule type="containsText" dxfId="3425" priority="1136" operator="containsText" text="Bege">
      <formula>NOT(ISERROR(SEARCH("Bege",W40)))</formula>
    </cfRule>
  </conditionalFormatting>
  <conditionalFormatting sqref="W40">
    <cfRule type="containsText" dxfId="3424" priority="1119" operator="containsText" text="Cinza">
      <formula>NOT(ISERROR(SEARCH("Cinza",W40)))</formula>
    </cfRule>
    <cfRule type="containsText" dxfId="3423" priority="1120" operator="containsText" text="Púrpura">
      <formula>NOT(ISERROR(SEARCH("Púrpura",W40)))</formula>
    </cfRule>
    <cfRule type="containsText" dxfId="3422" priority="1121" operator="containsText" text="Rosa">
      <formula>NOT(ISERROR(SEARCH("Rosa",W40)))</formula>
    </cfRule>
    <cfRule type="containsText" dxfId="3421" priority="1122" operator="containsText" text="Castanho">
      <formula>NOT(ISERROR(SEARCH("Castanho",W40)))</formula>
    </cfRule>
    <cfRule type="containsText" dxfId="3420" priority="1123" operator="containsText" text="Verde Água">
      <formula>NOT(ISERROR(SEARCH("Verde Água",W40)))</formula>
    </cfRule>
    <cfRule type="containsText" dxfId="3419" priority="1124" operator="containsText" text="Azul Petróleo">
      <formula>NOT(ISERROR(SEARCH("Azul Petróleo",W40)))</formula>
    </cfRule>
    <cfRule type="containsText" dxfId="3418" priority="1125" operator="containsText" text="Preto">
      <formula>NOT(ISERROR(SEARCH("Preto",W40)))</formula>
    </cfRule>
    <cfRule type="containsText" priority="1126" operator="containsText" text="Branco">
      <formula>NOT(ISERROR(SEARCH("Branco",W40)))</formula>
    </cfRule>
    <cfRule type="containsText" dxfId="3417" priority="1127" operator="containsText" text="Bege">
      <formula>NOT(ISERROR(SEARCH("Bege",W40)))</formula>
    </cfRule>
  </conditionalFormatting>
  <conditionalFormatting sqref="W40">
    <cfRule type="containsText" dxfId="3416" priority="1110" operator="containsText" text="Cinza">
      <formula>NOT(ISERROR(SEARCH("Cinza",W40)))</formula>
    </cfRule>
    <cfRule type="containsText" dxfId="3415" priority="1111" operator="containsText" text="Púrpura">
      <formula>NOT(ISERROR(SEARCH("Púrpura",W40)))</formula>
    </cfRule>
    <cfRule type="containsText" dxfId="3414" priority="1112" operator="containsText" text="Rosa">
      <formula>NOT(ISERROR(SEARCH("Rosa",W40)))</formula>
    </cfRule>
    <cfRule type="containsText" dxfId="3413" priority="1113" operator="containsText" text="Castanho">
      <formula>NOT(ISERROR(SEARCH("Castanho",W40)))</formula>
    </cfRule>
    <cfRule type="containsText" dxfId="3412" priority="1114" operator="containsText" text="Verde Água">
      <formula>NOT(ISERROR(SEARCH("Verde Água",W40)))</formula>
    </cfRule>
    <cfRule type="containsText" dxfId="3411" priority="1115" operator="containsText" text="Azul Petróleo">
      <formula>NOT(ISERROR(SEARCH("Azul Petróleo",W40)))</formula>
    </cfRule>
    <cfRule type="containsText" dxfId="3410" priority="1116" operator="containsText" text="Preto">
      <formula>NOT(ISERROR(SEARCH("Preto",W40)))</formula>
    </cfRule>
    <cfRule type="containsText" priority="1117" operator="containsText" text="Branco">
      <formula>NOT(ISERROR(SEARCH("Branco",W40)))</formula>
    </cfRule>
    <cfRule type="containsText" dxfId="3409" priority="1118" operator="containsText" text="Bege">
      <formula>NOT(ISERROR(SEARCH("Bege",W40)))</formula>
    </cfRule>
  </conditionalFormatting>
  <conditionalFormatting sqref="W40">
    <cfRule type="containsText" dxfId="3408" priority="1101" operator="containsText" text="Cinza">
      <formula>NOT(ISERROR(SEARCH("Cinza",W40)))</formula>
    </cfRule>
    <cfRule type="containsText" dxfId="3407" priority="1102" operator="containsText" text="Púrpura">
      <formula>NOT(ISERROR(SEARCH("Púrpura",W40)))</formula>
    </cfRule>
    <cfRule type="containsText" dxfId="3406" priority="1103" operator="containsText" text="Rosa">
      <formula>NOT(ISERROR(SEARCH("Rosa",W40)))</formula>
    </cfRule>
    <cfRule type="containsText" dxfId="3405" priority="1104" operator="containsText" text="Castanho">
      <formula>NOT(ISERROR(SEARCH("Castanho",W40)))</formula>
    </cfRule>
    <cfRule type="containsText" dxfId="3404" priority="1105" operator="containsText" text="Verde Água">
      <formula>NOT(ISERROR(SEARCH("Verde Água",W40)))</formula>
    </cfRule>
    <cfRule type="containsText" dxfId="3403" priority="1106" operator="containsText" text="Azul Petróleo">
      <formula>NOT(ISERROR(SEARCH("Azul Petróleo",W40)))</formula>
    </cfRule>
    <cfRule type="containsText" dxfId="3402" priority="1107" operator="containsText" text="Preto">
      <formula>NOT(ISERROR(SEARCH("Preto",W40)))</formula>
    </cfRule>
    <cfRule type="containsText" priority="1108" operator="containsText" text="Branco">
      <formula>NOT(ISERROR(SEARCH("Branco",W40)))</formula>
    </cfRule>
    <cfRule type="containsText" dxfId="3401" priority="1109" operator="containsText" text="Bege">
      <formula>NOT(ISERROR(SEARCH("Bege",W40)))</formula>
    </cfRule>
  </conditionalFormatting>
  <conditionalFormatting sqref="W40">
    <cfRule type="containsText" dxfId="3400" priority="1092" operator="containsText" text="Cinza">
      <formula>NOT(ISERROR(SEARCH("Cinza",W40)))</formula>
    </cfRule>
    <cfRule type="containsText" dxfId="3399" priority="1093" operator="containsText" text="Púrpura">
      <formula>NOT(ISERROR(SEARCH("Púrpura",W40)))</formula>
    </cfRule>
    <cfRule type="containsText" dxfId="3398" priority="1094" operator="containsText" text="Rosa">
      <formula>NOT(ISERROR(SEARCH("Rosa",W40)))</formula>
    </cfRule>
    <cfRule type="containsText" dxfId="3397" priority="1095" operator="containsText" text="Castanho">
      <formula>NOT(ISERROR(SEARCH("Castanho",W40)))</formula>
    </cfRule>
    <cfRule type="containsText" dxfId="3396" priority="1096" operator="containsText" text="Verde Água">
      <formula>NOT(ISERROR(SEARCH("Verde Água",W40)))</formula>
    </cfRule>
    <cfRule type="containsText" dxfId="3395" priority="1097" operator="containsText" text="Azul Petróleo">
      <formula>NOT(ISERROR(SEARCH("Azul Petróleo",W40)))</formula>
    </cfRule>
    <cfRule type="containsText" dxfId="3394" priority="1098" operator="containsText" text="Preto">
      <formula>NOT(ISERROR(SEARCH("Preto",W40)))</formula>
    </cfRule>
    <cfRule type="containsText" priority="1099" operator="containsText" text="Branco">
      <formula>NOT(ISERROR(SEARCH("Branco",W40)))</formula>
    </cfRule>
    <cfRule type="containsText" dxfId="3393" priority="1100" operator="containsText" text="Bege">
      <formula>NOT(ISERROR(SEARCH("Bege",W40)))</formula>
    </cfRule>
  </conditionalFormatting>
  <conditionalFormatting sqref="W40">
    <cfRule type="containsText" dxfId="3392" priority="1083" operator="containsText" text="Cinza">
      <formula>NOT(ISERROR(SEARCH("Cinza",W40)))</formula>
    </cfRule>
    <cfRule type="containsText" dxfId="3391" priority="1084" operator="containsText" text="Púrpura">
      <formula>NOT(ISERROR(SEARCH("Púrpura",W40)))</formula>
    </cfRule>
    <cfRule type="containsText" dxfId="3390" priority="1085" operator="containsText" text="Rosa">
      <formula>NOT(ISERROR(SEARCH("Rosa",W40)))</formula>
    </cfRule>
    <cfRule type="containsText" dxfId="3389" priority="1086" operator="containsText" text="Castanho">
      <formula>NOT(ISERROR(SEARCH("Castanho",W40)))</formula>
    </cfRule>
    <cfRule type="containsText" dxfId="3388" priority="1087" operator="containsText" text="Verde Água">
      <formula>NOT(ISERROR(SEARCH("Verde Água",W40)))</formula>
    </cfRule>
    <cfRule type="containsText" dxfId="3387" priority="1088" operator="containsText" text="Azul Petróleo">
      <formula>NOT(ISERROR(SEARCH("Azul Petróleo",W40)))</formula>
    </cfRule>
    <cfRule type="containsText" dxfId="3386" priority="1089" operator="containsText" text="Preto">
      <formula>NOT(ISERROR(SEARCH("Preto",W40)))</formula>
    </cfRule>
    <cfRule type="containsText" priority="1090" operator="containsText" text="Branco">
      <formula>NOT(ISERROR(SEARCH("Branco",W40)))</formula>
    </cfRule>
    <cfRule type="containsText" dxfId="3385" priority="1091" operator="containsText" text="Bege">
      <formula>NOT(ISERROR(SEARCH("Bege",W40)))</formula>
    </cfRule>
  </conditionalFormatting>
  <conditionalFormatting sqref="W40">
    <cfRule type="containsText" dxfId="3384" priority="1074" operator="containsText" text="Cinza">
      <formula>NOT(ISERROR(SEARCH("Cinza",W40)))</formula>
    </cfRule>
    <cfRule type="containsText" dxfId="3383" priority="1075" operator="containsText" text="Púrpura">
      <formula>NOT(ISERROR(SEARCH("Púrpura",W40)))</formula>
    </cfRule>
    <cfRule type="containsText" dxfId="3382" priority="1076" operator="containsText" text="Rosa">
      <formula>NOT(ISERROR(SEARCH("Rosa",W40)))</formula>
    </cfRule>
    <cfRule type="containsText" dxfId="3381" priority="1077" operator="containsText" text="Castanho">
      <formula>NOT(ISERROR(SEARCH("Castanho",W40)))</formula>
    </cfRule>
    <cfRule type="containsText" dxfId="3380" priority="1078" operator="containsText" text="Verde Água">
      <formula>NOT(ISERROR(SEARCH("Verde Água",W40)))</formula>
    </cfRule>
    <cfRule type="containsText" dxfId="3379" priority="1079" operator="containsText" text="Azul Petróleo">
      <formula>NOT(ISERROR(SEARCH("Azul Petróleo",W40)))</formula>
    </cfRule>
    <cfRule type="containsText" dxfId="3378" priority="1080" operator="containsText" text="Preto">
      <formula>NOT(ISERROR(SEARCH("Preto",W40)))</formula>
    </cfRule>
    <cfRule type="containsText" priority="1081" operator="containsText" text="Branco">
      <formula>NOT(ISERROR(SEARCH("Branco",W40)))</formula>
    </cfRule>
    <cfRule type="containsText" dxfId="3377" priority="1082" operator="containsText" text="Bege">
      <formula>NOT(ISERROR(SEARCH("Bege",W40)))</formula>
    </cfRule>
  </conditionalFormatting>
  <conditionalFormatting sqref="W40">
    <cfRule type="containsText" dxfId="3376" priority="1065" operator="containsText" text="Cinza">
      <formula>NOT(ISERROR(SEARCH("Cinza",W40)))</formula>
    </cfRule>
    <cfRule type="containsText" dxfId="3375" priority="1066" operator="containsText" text="Púrpura">
      <formula>NOT(ISERROR(SEARCH("Púrpura",W40)))</formula>
    </cfRule>
    <cfRule type="containsText" dxfId="3374" priority="1067" operator="containsText" text="Rosa">
      <formula>NOT(ISERROR(SEARCH("Rosa",W40)))</formula>
    </cfRule>
    <cfRule type="containsText" dxfId="3373" priority="1068" operator="containsText" text="Castanho">
      <formula>NOT(ISERROR(SEARCH("Castanho",W40)))</formula>
    </cfRule>
    <cfRule type="containsText" dxfId="3372" priority="1069" operator="containsText" text="Verde Água">
      <formula>NOT(ISERROR(SEARCH("Verde Água",W40)))</formula>
    </cfRule>
    <cfRule type="containsText" dxfId="3371" priority="1070" operator="containsText" text="Azul Petróleo">
      <formula>NOT(ISERROR(SEARCH("Azul Petróleo",W40)))</formula>
    </cfRule>
    <cfRule type="containsText" dxfId="3370" priority="1071" operator="containsText" text="Preto">
      <formula>NOT(ISERROR(SEARCH("Preto",W40)))</formula>
    </cfRule>
    <cfRule type="containsText" priority="1072" operator="containsText" text="Branco">
      <formula>NOT(ISERROR(SEARCH("Branco",W40)))</formula>
    </cfRule>
    <cfRule type="containsText" dxfId="3369" priority="1073" operator="containsText" text="Bege">
      <formula>NOT(ISERROR(SEARCH("Bege",W40)))</formula>
    </cfRule>
  </conditionalFormatting>
  <conditionalFormatting sqref="W40">
    <cfRule type="containsText" dxfId="3368" priority="1056" operator="containsText" text="Cinza">
      <formula>NOT(ISERROR(SEARCH("Cinza",W40)))</formula>
    </cfRule>
    <cfRule type="containsText" dxfId="3367" priority="1057" operator="containsText" text="Púrpura">
      <formula>NOT(ISERROR(SEARCH("Púrpura",W40)))</formula>
    </cfRule>
    <cfRule type="containsText" dxfId="3366" priority="1058" operator="containsText" text="Rosa">
      <formula>NOT(ISERROR(SEARCH("Rosa",W40)))</formula>
    </cfRule>
    <cfRule type="containsText" dxfId="3365" priority="1059" operator="containsText" text="Castanho">
      <formula>NOT(ISERROR(SEARCH("Castanho",W40)))</formula>
    </cfRule>
    <cfRule type="containsText" dxfId="3364" priority="1060" operator="containsText" text="Verde Água">
      <formula>NOT(ISERROR(SEARCH("Verde Água",W40)))</formula>
    </cfRule>
    <cfRule type="containsText" dxfId="3363" priority="1061" operator="containsText" text="Azul Petróleo">
      <formula>NOT(ISERROR(SEARCH("Azul Petróleo",W40)))</formula>
    </cfRule>
    <cfRule type="containsText" dxfId="3362" priority="1062" operator="containsText" text="Preto">
      <formula>NOT(ISERROR(SEARCH("Preto",W40)))</formula>
    </cfRule>
    <cfRule type="containsText" priority="1063" operator="containsText" text="Branco">
      <formula>NOT(ISERROR(SEARCH("Branco",W40)))</formula>
    </cfRule>
    <cfRule type="containsText" dxfId="3361" priority="1064" operator="containsText" text="Bege">
      <formula>NOT(ISERROR(SEARCH("Bege",W40)))</formula>
    </cfRule>
  </conditionalFormatting>
  <conditionalFormatting sqref="W40">
    <cfRule type="containsText" dxfId="3360" priority="1047" operator="containsText" text="Cinza">
      <formula>NOT(ISERROR(SEARCH("Cinza",W40)))</formula>
    </cfRule>
    <cfRule type="containsText" dxfId="3359" priority="1048" operator="containsText" text="Púrpura">
      <formula>NOT(ISERROR(SEARCH("Púrpura",W40)))</formula>
    </cfRule>
    <cfRule type="containsText" dxfId="3358" priority="1049" operator="containsText" text="Rosa">
      <formula>NOT(ISERROR(SEARCH("Rosa",W40)))</formula>
    </cfRule>
    <cfRule type="containsText" dxfId="3357" priority="1050" operator="containsText" text="Castanho">
      <formula>NOT(ISERROR(SEARCH("Castanho",W40)))</formula>
    </cfRule>
    <cfRule type="containsText" dxfId="3356" priority="1051" operator="containsText" text="Verde Água">
      <formula>NOT(ISERROR(SEARCH("Verde Água",W40)))</formula>
    </cfRule>
    <cfRule type="containsText" dxfId="3355" priority="1052" operator="containsText" text="Azul Petróleo">
      <formula>NOT(ISERROR(SEARCH("Azul Petróleo",W40)))</formula>
    </cfRule>
    <cfRule type="containsText" dxfId="3354" priority="1053" operator="containsText" text="Preto">
      <formula>NOT(ISERROR(SEARCH("Preto",W40)))</formula>
    </cfRule>
    <cfRule type="containsText" priority="1054" operator="containsText" text="Branco">
      <formula>NOT(ISERROR(SEARCH("Branco",W40)))</formula>
    </cfRule>
    <cfRule type="containsText" dxfId="3353" priority="1055" operator="containsText" text="Bege">
      <formula>NOT(ISERROR(SEARCH("Bege",W40)))</formula>
    </cfRule>
  </conditionalFormatting>
  <conditionalFormatting sqref="W40">
    <cfRule type="containsText" dxfId="3352" priority="1038" operator="containsText" text="Cinza">
      <formula>NOT(ISERROR(SEARCH("Cinza",W40)))</formula>
    </cfRule>
    <cfRule type="containsText" dxfId="3351" priority="1039" operator="containsText" text="Púrpura">
      <formula>NOT(ISERROR(SEARCH("Púrpura",W40)))</formula>
    </cfRule>
    <cfRule type="containsText" dxfId="3350" priority="1040" operator="containsText" text="Rosa">
      <formula>NOT(ISERROR(SEARCH("Rosa",W40)))</formula>
    </cfRule>
    <cfRule type="containsText" dxfId="3349" priority="1041" operator="containsText" text="Castanho">
      <formula>NOT(ISERROR(SEARCH("Castanho",W40)))</formula>
    </cfRule>
    <cfRule type="containsText" dxfId="3348" priority="1042" operator="containsText" text="Verde Água">
      <formula>NOT(ISERROR(SEARCH("Verde Água",W40)))</formula>
    </cfRule>
    <cfRule type="containsText" dxfId="3347" priority="1043" operator="containsText" text="Azul Petróleo">
      <formula>NOT(ISERROR(SEARCH("Azul Petróleo",W40)))</formula>
    </cfRule>
    <cfRule type="containsText" dxfId="3346" priority="1044" operator="containsText" text="Preto">
      <formula>NOT(ISERROR(SEARCH("Preto",W40)))</formula>
    </cfRule>
    <cfRule type="containsText" priority="1045" operator="containsText" text="Branco">
      <formula>NOT(ISERROR(SEARCH("Branco",W40)))</formula>
    </cfRule>
    <cfRule type="containsText" dxfId="3345" priority="1046" operator="containsText" text="Bege">
      <formula>NOT(ISERROR(SEARCH("Bege",W40)))</formula>
    </cfRule>
  </conditionalFormatting>
  <conditionalFormatting sqref="W40">
    <cfRule type="containsText" dxfId="3344" priority="1029" operator="containsText" text="Cinza">
      <formula>NOT(ISERROR(SEARCH("Cinza",W40)))</formula>
    </cfRule>
    <cfRule type="containsText" dxfId="3343" priority="1030" operator="containsText" text="Púrpura">
      <formula>NOT(ISERROR(SEARCH("Púrpura",W40)))</formula>
    </cfRule>
    <cfRule type="containsText" dxfId="3342" priority="1031" operator="containsText" text="Rosa">
      <formula>NOT(ISERROR(SEARCH("Rosa",W40)))</formula>
    </cfRule>
    <cfRule type="containsText" dxfId="3341" priority="1032" operator="containsText" text="Castanho">
      <formula>NOT(ISERROR(SEARCH("Castanho",W40)))</formula>
    </cfRule>
    <cfRule type="containsText" dxfId="3340" priority="1033" operator="containsText" text="Verde Água">
      <formula>NOT(ISERROR(SEARCH("Verde Água",W40)))</formula>
    </cfRule>
    <cfRule type="containsText" dxfId="3339" priority="1034" operator="containsText" text="Azul Petróleo">
      <formula>NOT(ISERROR(SEARCH("Azul Petróleo",W40)))</formula>
    </cfRule>
    <cfRule type="containsText" dxfId="3338" priority="1035" operator="containsText" text="Preto">
      <formula>NOT(ISERROR(SEARCH("Preto",W40)))</formula>
    </cfRule>
    <cfRule type="containsText" priority="1036" operator="containsText" text="Branco">
      <formula>NOT(ISERROR(SEARCH("Branco",W40)))</formula>
    </cfRule>
    <cfRule type="containsText" dxfId="3337" priority="1037" operator="containsText" text="Bege">
      <formula>NOT(ISERROR(SEARCH("Bege",W40)))</formula>
    </cfRule>
  </conditionalFormatting>
  <conditionalFormatting sqref="W40">
    <cfRule type="containsText" dxfId="3336" priority="1020" operator="containsText" text="Cinza">
      <formula>NOT(ISERROR(SEARCH("Cinza",W40)))</formula>
    </cfRule>
    <cfRule type="containsText" dxfId="3335" priority="1021" operator="containsText" text="Púrpura">
      <formula>NOT(ISERROR(SEARCH("Púrpura",W40)))</formula>
    </cfRule>
    <cfRule type="containsText" dxfId="3334" priority="1022" operator="containsText" text="Rosa">
      <formula>NOT(ISERROR(SEARCH("Rosa",W40)))</formula>
    </cfRule>
    <cfRule type="containsText" dxfId="3333" priority="1023" operator="containsText" text="Castanho">
      <formula>NOT(ISERROR(SEARCH("Castanho",W40)))</formula>
    </cfRule>
    <cfRule type="containsText" dxfId="3332" priority="1024" operator="containsText" text="Verde Água">
      <formula>NOT(ISERROR(SEARCH("Verde Água",W40)))</formula>
    </cfRule>
    <cfRule type="containsText" dxfId="3331" priority="1025" operator="containsText" text="Azul Petróleo">
      <formula>NOT(ISERROR(SEARCH("Azul Petróleo",W40)))</formula>
    </cfRule>
    <cfRule type="containsText" dxfId="3330" priority="1026" operator="containsText" text="Preto">
      <formula>NOT(ISERROR(SEARCH("Preto",W40)))</formula>
    </cfRule>
    <cfRule type="containsText" priority="1027" operator="containsText" text="Branco">
      <formula>NOT(ISERROR(SEARCH("Branco",W40)))</formula>
    </cfRule>
    <cfRule type="containsText" dxfId="3329" priority="1028" operator="containsText" text="Bege">
      <formula>NOT(ISERROR(SEARCH("Bege",W40)))</formula>
    </cfRule>
  </conditionalFormatting>
  <conditionalFormatting sqref="W40">
    <cfRule type="containsText" dxfId="3328" priority="1011" operator="containsText" text="Cinza">
      <formula>NOT(ISERROR(SEARCH("Cinza",W40)))</formula>
    </cfRule>
    <cfRule type="containsText" dxfId="3327" priority="1012" operator="containsText" text="Púrpura">
      <formula>NOT(ISERROR(SEARCH("Púrpura",W40)))</formula>
    </cfRule>
    <cfRule type="containsText" dxfId="3326" priority="1013" operator="containsText" text="Rosa">
      <formula>NOT(ISERROR(SEARCH("Rosa",W40)))</formula>
    </cfRule>
    <cfRule type="containsText" dxfId="3325" priority="1014" operator="containsText" text="Castanho">
      <formula>NOT(ISERROR(SEARCH("Castanho",W40)))</formula>
    </cfRule>
    <cfRule type="containsText" dxfId="3324" priority="1015" operator="containsText" text="Verde Água">
      <formula>NOT(ISERROR(SEARCH("Verde Água",W40)))</formula>
    </cfRule>
    <cfRule type="containsText" dxfId="3323" priority="1016" operator="containsText" text="Azul Petróleo">
      <formula>NOT(ISERROR(SEARCH("Azul Petróleo",W40)))</formula>
    </cfRule>
    <cfRule type="containsText" dxfId="3322" priority="1017" operator="containsText" text="Preto">
      <formula>NOT(ISERROR(SEARCH("Preto",W40)))</formula>
    </cfRule>
    <cfRule type="containsText" priority="1018" operator="containsText" text="Branco">
      <formula>NOT(ISERROR(SEARCH("Branco",W40)))</formula>
    </cfRule>
    <cfRule type="containsText" dxfId="3321" priority="1019" operator="containsText" text="Bege">
      <formula>NOT(ISERROR(SEARCH("Bege",W40)))</formula>
    </cfRule>
  </conditionalFormatting>
  <conditionalFormatting sqref="W40">
    <cfRule type="containsText" dxfId="3320" priority="1002" operator="containsText" text="Escuro">
      <formula>NOT(ISERROR(SEARCH("Escuro",W40)))</formula>
    </cfRule>
    <cfRule type="containsText" dxfId="3319" priority="1003" operator="containsText" text="Cinza">
      <formula>NOT(ISERROR(SEARCH("Cinza",W40)))</formula>
    </cfRule>
    <cfRule type="containsText" dxfId="3318" priority="1004" operator="containsText" text="Púrpura">
      <formula>NOT(ISERROR(SEARCH("Púrpura",W40)))</formula>
    </cfRule>
    <cfRule type="containsText" dxfId="3317" priority="1005" operator="containsText" text="Rosa">
      <formula>NOT(ISERROR(SEARCH("Rosa",W40)))</formula>
    </cfRule>
    <cfRule type="containsText" dxfId="3316" priority="1006" operator="containsText" text="Castanho">
      <formula>NOT(ISERROR(SEARCH("Castanho",W40)))</formula>
    </cfRule>
    <cfRule type="containsText" dxfId="3315" priority="1007" operator="containsText" text="Verde Água">
      <formula>NOT(ISERROR(SEARCH("Verde Água",W40)))</formula>
    </cfRule>
    <cfRule type="containsText" dxfId="3314" priority="1008" operator="containsText" text="Azul Petróleo">
      <formula>NOT(ISERROR(SEARCH("Azul Petróleo",W40)))</formula>
    </cfRule>
    <cfRule type="containsText" dxfId="3313" priority="1009" operator="containsText" text="Preto">
      <formula>NOT(ISERROR(SEARCH("Preto",W40)))</formula>
    </cfRule>
    <cfRule type="containsText" priority="1010" operator="containsText" text="Branco">
      <formula>NOT(ISERROR(SEARCH("Branco",W40)))</formula>
    </cfRule>
  </conditionalFormatting>
  <conditionalFormatting sqref="W15">
    <cfRule type="containsText" dxfId="3312" priority="993" operator="containsText" text="Cinza">
      <formula>NOT(ISERROR(SEARCH("Cinza",W15)))</formula>
    </cfRule>
    <cfRule type="containsText" dxfId="3311" priority="994" operator="containsText" text="Púrpura">
      <formula>NOT(ISERROR(SEARCH("Púrpura",W15)))</formula>
    </cfRule>
    <cfRule type="containsText" dxfId="3310" priority="995" operator="containsText" text="Rosa">
      <formula>NOT(ISERROR(SEARCH("Rosa",W15)))</formula>
    </cfRule>
    <cfRule type="containsText" dxfId="3309" priority="996" operator="containsText" text="Castanho">
      <formula>NOT(ISERROR(SEARCH("Castanho",W15)))</formula>
    </cfRule>
    <cfRule type="containsText" dxfId="3308" priority="997" operator="containsText" text="Verde Água">
      <formula>NOT(ISERROR(SEARCH("Verde Água",W15)))</formula>
    </cfRule>
    <cfRule type="containsText" dxfId="3307" priority="998" operator="containsText" text="Azul Petróleo">
      <formula>NOT(ISERROR(SEARCH("Azul Petróleo",W15)))</formula>
    </cfRule>
    <cfRule type="containsText" dxfId="3306" priority="999" operator="containsText" text="Preto">
      <formula>NOT(ISERROR(SEARCH("Preto",W15)))</formula>
    </cfRule>
    <cfRule type="containsText" priority="1000" operator="containsText" text="Branco">
      <formula>NOT(ISERROR(SEARCH("Branco",W15)))</formula>
    </cfRule>
    <cfRule type="containsText" dxfId="3305" priority="1001" operator="containsText" text="Bege">
      <formula>NOT(ISERROR(SEARCH("Bege",W15)))</formula>
    </cfRule>
  </conditionalFormatting>
  <conditionalFormatting sqref="W15">
    <cfRule type="containsText" dxfId="3304" priority="984" operator="containsText" text="Escuro">
      <formula>NOT(ISERROR(SEARCH("Escuro",W15)))</formula>
    </cfRule>
    <cfRule type="containsText" dxfId="3303" priority="985" operator="containsText" text="Cinza">
      <formula>NOT(ISERROR(SEARCH("Cinza",W15)))</formula>
    </cfRule>
    <cfRule type="containsText" dxfId="3302" priority="986" operator="containsText" text="Púrpura">
      <formula>NOT(ISERROR(SEARCH("Púrpura",W15)))</formula>
    </cfRule>
    <cfRule type="containsText" dxfId="3301" priority="987" operator="containsText" text="Rosa">
      <formula>NOT(ISERROR(SEARCH("Rosa",W15)))</formula>
    </cfRule>
    <cfRule type="containsText" dxfId="3300" priority="988" operator="containsText" text="Castanho">
      <formula>NOT(ISERROR(SEARCH("Castanho",W15)))</formula>
    </cfRule>
    <cfRule type="containsText" dxfId="3299" priority="989" operator="containsText" text="Verde Água">
      <formula>NOT(ISERROR(SEARCH("Verde Água",W15)))</formula>
    </cfRule>
    <cfRule type="containsText" dxfId="3298" priority="990" operator="containsText" text="Azul Petróleo">
      <formula>NOT(ISERROR(SEARCH("Azul Petróleo",W15)))</formula>
    </cfRule>
    <cfRule type="containsText" dxfId="3297" priority="991" operator="containsText" text="Preto">
      <formula>NOT(ISERROR(SEARCH("Preto",W15)))</formula>
    </cfRule>
    <cfRule type="containsText" priority="992" operator="containsText" text="Branco">
      <formula>NOT(ISERROR(SEARCH("Branco",W15)))</formula>
    </cfRule>
  </conditionalFormatting>
  <conditionalFormatting sqref="W17">
    <cfRule type="containsText" dxfId="3296" priority="975" operator="containsText" text="Cinza">
      <formula>NOT(ISERROR(SEARCH("Cinza",W17)))</formula>
    </cfRule>
    <cfRule type="containsText" dxfId="3295" priority="976" operator="containsText" text="Púrpura">
      <formula>NOT(ISERROR(SEARCH("Púrpura",W17)))</formula>
    </cfRule>
    <cfRule type="containsText" dxfId="3294" priority="977" operator="containsText" text="Rosa">
      <formula>NOT(ISERROR(SEARCH("Rosa",W17)))</formula>
    </cfRule>
    <cfRule type="containsText" dxfId="3293" priority="978" operator="containsText" text="Castanho">
      <formula>NOT(ISERROR(SEARCH("Castanho",W17)))</formula>
    </cfRule>
    <cfRule type="containsText" dxfId="3292" priority="979" operator="containsText" text="Verde Água">
      <formula>NOT(ISERROR(SEARCH("Verde Água",W17)))</formula>
    </cfRule>
    <cfRule type="containsText" dxfId="3291" priority="980" operator="containsText" text="Azul Petróleo">
      <formula>NOT(ISERROR(SEARCH("Azul Petróleo",W17)))</formula>
    </cfRule>
    <cfRule type="containsText" dxfId="3290" priority="981" operator="containsText" text="Preto">
      <formula>NOT(ISERROR(SEARCH("Preto",W17)))</formula>
    </cfRule>
    <cfRule type="containsText" priority="982" operator="containsText" text="Branco">
      <formula>NOT(ISERROR(SEARCH("Branco",W17)))</formula>
    </cfRule>
    <cfRule type="containsText" dxfId="3289" priority="983" operator="containsText" text="Bege">
      <formula>NOT(ISERROR(SEARCH("Bege",W17)))</formula>
    </cfRule>
  </conditionalFormatting>
  <conditionalFormatting sqref="W17">
    <cfRule type="containsText" dxfId="3288" priority="966" operator="containsText" text="Escuro">
      <formula>NOT(ISERROR(SEARCH("Escuro",W17)))</formula>
    </cfRule>
    <cfRule type="containsText" dxfId="3287" priority="967" operator="containsText" text="Cinza">
      <formula>NOT(ISERROR(SEARCH("Cinza",W17)))</formula>
    </cfRule>
    <cfRule type="containsText" dxfId="3286" priority="968" operator="containsText" text="Púrpura">
      <formula>NOT(ISERROR(SEARCH("Púrpura",W17)))</formula>
    </cfRule>
    <cfRule type="containsText" dxfId="3285" priority="969" operator="containsText" text="Rosa">
      <formula>NOT(ISERROR(SEARCH("Rosa",W17)))</formula>
    </cfRule>
    <cfRule type="containsText" dxfId="3284" priority="970" operator="containsText" text="Castanho">
      <formula>NOT(ISERROR(SEARCH("Castanho",W17)))</formula>
    </cfRule>
    <cfRule type="containsText" dxfId="3283" priority="971" operator="containsText" text="Verde Água">
      <formula>NOT(ISERROR(SEARCH("Verde Água",W17)))</formula>
    </cfRule>
    <cfRule type="containsText" dxfId="3282" priority="972" operator="containsText" text="Azul Petróleo">
      <formula>NOT(ISERROR(SEARCH("Azul Petróleo",W17)))</formula>
    </cfRule>
    <cfRule type="containsText" dxfId="3281" priority="973" operator="containsText" text="Preto">
      <formula>NOT(ISERROR(SEARCH("Preto",W17)))</formula>
    </cfRule>
    <cfRule type="containsText" priority="974" operator="containsText" text="Branco">
      <formula>NOT(ISERROR(SEARCH("Branco",W17)))</formula>
    </cfRule>
  </conditionalFormatting>
  <conditionalFormatting sqref="W19">
    <cfRule type="containsText" dxfId="3280" priority="957" operator="containsText" text="Cinza">
      <formula>NOT(ISERROR(SEARCH("Cinza",W19)))</formula>
    </cfRule>
    <cfRule type="containsText" dxfId="3279" priority="958" operator="containsText" text="Púrpura">
      <formula>NOT(ISERROR(SEARCH("Púrpura",W19)))</formula>
    </cfRule>
    <cfRule type="containsText" dxfId="3278" priority="959" operator="containsText" text="Rosa">
      <formula>NOT(ISERROR(SEARCH("Rosa",W19)))</formula>
    </cfRule>
    <cfRule type="containsText" dxfId="3277" priority="960" operator="containsText" text="Castanho">
      <formula>NOT(ISERROR(SEARCH("Castanho",W19)))</formula>
    </cfRule>
    <cfRule type="containsText" dxfId="3276" priority="961" operator="containsText" text="Verde Água">
      <formula>NOT(ISERROR(SEARCH("Verde Água",W19)))</formula>
    </cfRule>
    <cfRule type="containsText" dxfId="3275" priority="962" operator="containsText" text="Azul Petróleo">
      <formula>NOT(ISERROR(SEARCH("Azul Petróleo",W19)))</formula>
    </cfRule>
    <cfRule type="containsText" dxfId="3274" priority="963" operator="containsText" text="Preto">
      <formula>NOT(ISERROR(SEARCH("Preto",W19)))</formula>
    </cfRule>
    <cfRule type="containsText" priority="964" operator="containsText" text="Branco">
      <formula>NOT(ISERROR(SEARCH("Branco",W19)))</formula>
    </cfRule>
    <cfRule type="containsText" dxfId="3273" priority="965" operator="containsText" text="Bege">
      <formula>NOT(ISERROR(SEARCH("Bege",W19)))</formula>
    </cfRule>
  </conditionalFormatting>
  <conditionalFormatting sqref="W19">
    <cfRule type="containsText" dxfId="3272" priority="948" operator="containsText" text="Escuro">
      <formula>NOT(ISERROR(SEARCH("Escuro",W19)))</formula>
    </cfRule>
    <cfRule type="containsText" dxfId="3271" priority="949" operator="containsText" text="Cinza">
      <formula>NOT(ISERROR(SEARCH("Cinza",W19)))</formula>
    </cfRule>
    <cfRule type="containsText" dxfId="3270" priority="950" operator="containsText" text="Púrpura">
      <formula>NOT(ISERROR(SEARCH("Púrpura",W19)))</formula>
    </cfRule>
    <cfRule type="containsText" dxfId="3269" priority="951" operator="containsText" text="Rosa">
      <formula>NOT(ISERROR(SEARCH("Rosa",W19)))</formula>
    </cfRule>
    <cfRule type="containsText" dxfId="3268" priority="952" operator="containsText" text="Castanho">
      <formula>NOT(ISERROR(SEARCH("Castanho",W19)))</formula>
    </cfRule>
    <cfRule type="containsText" dxfId="3267" priority="953" operator="containsText" text="Verde Água">
      <formula>NOT(ISERROR(SEARCH("Verde Água",W19)))</formula>
    </cfRule>
    <cfRule type="containsText" dxfId="3266" priority="954" operator="containsText" text="Azul Petróleo">
      <formula>NOT(ISERROR(SEARCH("Azul Petróleo",W19)))</formula>
    </cfRule>
    <cfRule type="containsText" dxfId="3265" priority="955" operator="containsText" text="Preto">
      <formula>NOT(ISERROR(SEARCH("Preto",W19)))</formula>
    </cfRule>
    <cfRule type="containsText" priority="956" operator="containsText" text="Branco">
      <formula>NOT(ISERROR(SEARCH("Branco",W19)))</formula>
    </cfRule>
  </conditionalFormatting>
  <conditionalFormatting sqref="W21">
    <cfRule type="containsText" dxfId="3264" priority="939" operator="containsText" text="Cinza">
      <formula>NOT(ISERROR(SEARCH("Cinza",W21)))</formula>
    </cfRule>
    <cfRule type="containsText" dxfId="3263" priority="940" operator="containsText" text="Púrpura">
      <formula>NOT(ISERROR(SEARCH("Púrpura",W21)))</formula>
    </cfRule>
    <cfRule type="containsText" dxfId="3262" priority="941" operator="containsText" text="Rosa">
      <formula>NOT(ISERROR(SEARCH("Rosa",W21)))</formula>
    </cfRule>
    <cfRule type="containsText" dxfId="3261" priority="942" operator="containsText" text="Castanho">
      <formula>NOT(ISERROR(SEARCH("Castanho",W21)))</formula>
    </cfRule>
    <cfRule type="containsText" dxfId="3260" priority="943" operator="containsText" text="Verde Água">
      <formula>NOT(ISERROR(SEARCH("Verde Água",W21)))</formula>
    </cfRule>
    <cfRule type="containsText" dxfId="3259" priority="944" operator="containsText" text="Azul Petróleo">
      <formula>NOT(ISERROR(SEARCH("Azul Petróleo",W21)))</formula>
    </cfRule>
    <cfRule type="containsText" dxfId="3258" priority="945" operator="containsText" text="Preto">
      <formula>NOT(ISERROR(SEARCH("Preto",W21)))</formula>
    </cfRule>
    <cfRule type="containsText" priority="946" operator="containsText" text="Branco">
      <formula>NOT(ISERROR(SEARCH("Branco",W21)))</formula>
    </cfRule>
    <cfRule type="containsText" dxfId="3257" priority="947" operator="containsText" text="Bege">
      <formula>NOT(ISERROR(SEARCH("Bege",W21)))</formula>
    </cfRule>
  </conditionalFormatting>
  <conditionalFormatting sqref="W21">
    <cfRule type="containsText" dxfId="3256" priority="930" operator="containsText" text="Escuro">
      <formula>NOT(ISERROR(SEARCH("Escuro",W21)))</formula>
    </cfRule>
    <cfRule type="containsText" dxfId="3255" priority="931" operator="containsText" text="Cinza">
      <formula>NOT(ISERROR(SEARCH("Cinza",W21)))</formula>
    </cfRule>
    <cfRule type="containsText" dxfId="3254" priority="932" operator="containsText" text="Púrpura">
      <formula>NOT(ISERROR(SEARCH("Púrpura",W21)))</formula>
    </cfRule>
    <cfRule type="containsText" dxfId="3253" priority="933" operator="containsText" text="Rosa">
      <formula>NOT(ISERROR(SEARCH("Rosa",W21)))</formula>
    </cfRule>
    <cfRule type="containsText" dxfId="3252" priority="934" operator="containsText" text="Castanho">
      <formula>NOT(ISERROR(SEARCH("Castanho",W21)))</formula>
    </cfRule>
    <cfRule type="containsText" dxfId="3251" priority="935" operator="containsText" text="Verde Água">
      <formula>NOT(ISERROR(SEARCH("Verde Água",W21)))</formula>
    </cfRule>
    <cfRule type="containsText" dxfId="3250" priority="936" operator="containsText" text="Azul Petróleo">
      <formula>NOT(ISERROR(SEARCH("Azul Petróleo",W21)))</formula>
    </cfRule>
    <cfRule type="containsText" dxfId="3249" priority="937" operator="containsText" text="Preto">
      <formula>NOT(ISERROR(SEARCH("Preto",W21)))</formula>
    </cfRule>
    <cfRule type="containsText" priority="938" operator="containsText" text="Branco">
      <formula>NOT(ISERROR(SEARCH("Branco",W21)))</formula>
    </cfRule>
  </conditionalFormatting>
  <conditionalFormatting sqref="W23">
    <cfRule type="containsText" dxfId="3248" priority="921" operator="containsText" text="Cinza">
      <formula>NOT(ISERROR(SEARCH("Cinza",W23)))</formula>
    </cfRule>
    <cfRule type="containsText" dxfId="3247" priority="922" operator="containsText" text="Púrpura">
      <formula>NOT(ISERROR(SEARCH("Púrpura",W23)))</formula>
    </cfRule>
    <cfRule type="containsText" dxfId="3246" priority="923" operator="containsText" text="Rosa">
      <formula>NOT(ISERROR(SEARCH("Rosa",W23)))</formula>
    </cfRule>
    <cfRule type="containsText" dxfId="3245" priority="924" operator="containsText" text="Castanho">
      <formula>NOT(ISERROR(SEARCH("Castanho",W23)))</formula>
    </cfRule>
    <cfRule type="containsText" dxfId="3244" priority="925" operator="containsText" text="Verde Água">
      <formula>NOT(ISERROR(SEARCH("Verde Água",W23)))</formula>
    </cfRule>
    <cfRule type="containsText" dxfId="3243" priority="926" operator="containsText" text="Azul Petróleo">
      <formula>NOT(ISERROR(SEARCH("Azul Petróleo",W23)))</formula>
    </cfRule>
    <cfRule type="containsText" dxfId="3242" priority="927" operator="containsText" text="Preto">
      <formula>NOT(ISERROR(SEARCH("Preto",W23)))</formula>
    </cfRule>
    <cfRule type="containsText" priority="928" operator="containsText" text="Branco">
      <formula>NOT(ISERROR(SEARCH("Branco",W23)))</formula>
    </cfRule>
    <cfRule type="containsText" dxfId="3241" priority="929" operator="containsText" text="Bege">
      <formula>NOT(ISERROR(SEARCH("Bege",W23)))</formula>
    </cfRule>
  </conditionalFormatting>
  <conditionalFormatting sqref="W23">
    <cfRule type="containsText" dxfId="3240" priority="912" operator="containsText" text="Escuro">
      <formula>NOT(ISERROR(SEARCH("Escuro",W23)))</formula>
    </cfRule>
    <cfRule type="containsText" dxfId="3239" priority="913" operator="containsText" text="Cinza">
      <formula>NOT(ISERROR(SEARCH("Cinza",W23)))</formula>
    </cfRule>
    <cfRule type="containsText" dxfId="3238" priority="914" operator="containsText" text="Púrpura">
      <formula>NOT(ISERROR(SEARCH("Púrpura",W23)))</formula>
    </cfRule>
    <cfRule type="containsText" dxfId="3237" priority="915" operator="containsText" text="Rosa">
      <formula>NOT(ISERROR(SEARCH("Rosa",W23)))</formula>
    </cfRule>
    <cfRule type="containsText" dxfId="3236" priority="916" operator="containsText" text="Castanho">
      <formula>NOT(ISERROR(SEARCH("Castanho",W23)))</formula>
    </cfRule>
    <cfRule type="containsText" dxfId="3235" priority="917" operator="containsText" text="Verde Água">
      <formula>NOT(ISERROR(SEARCH("Verde Água",W23)))</formula>
    </cfRule>
    <cfRule type="containsText" dxfId="3234" priority="918" operator="containsText" text="Azul Petróleo">
      <formula>NOT(ISERROR(SEARCH("Azul Petróleo",W23)))</formula>
    </cfRule>
    <cfRule type="containsText" dxfId="3233" priority="919" operator="containsText" text="Preto">
      <formula>NOT(ISERROR(SEARCH("Preto",W23)))</formula>
    </cfRule>
    <cfRule type="containsText" priority="920" operator="containsText" text="Branco">
      <formula>NOT(ISERROR(SEARCH("Branco",W23)))</formula>
    </cfRule>
  </conditionalFormatting>
  <conditionalFormatting sqref="W25">
    <cfRule type="containsText" dxfId="3232" priority="903" operator="containsText" text="Cinza">
      <formula>NOT(ISERROR(SEARCH("Cinza",W25)))</formula>
    </cfRule>
    <cfRule type="containsText" dxfId="3231" priority="904" operator="containsText" text="Púrpura">
      <formula>NOT(ISERROR(SEARCH("Púrpura",W25)))</formula>
    </cfRule>
    <cfRule type="containsText" dxfId="3230" priority="905" operator="containsText" text="Rosa">
      <formula>NOT(ISERROR(SEARCH("Rosa",W25)))</formula>
    </cfRule>
    <cfRule type="containsText" dxfId="3229" priority="906" operator="containsText" text="Castanho">
      <formula>NOT(ISERROR(SEARCH("Castanho",W25)))</formula>
    </cfRule>
    <cfRule type="containsText" dxfId="3228" priority="907" operator="containsText" text="Verde Água">
      <formula>NOT(ISERROR(SEARCH("Verde Água",W25)))</formula>
    </cfRule>
    <cfRule type="containsText" dxfId="3227" priority="908" operator="containsText" text="Azul Petróleo">
      <formula>NOT(ISERROR(SEARCH("Azul Petróleo",W25)))</formula>
    </cfRule>
    <cfRule type="containsText" dxfId="3226" priority="909" operator="containsText" text="Preto">
      <formula>NOT(ISERROR(SEARCH("Preto",W25)))</formula>
    </cfRule>
    <cfRule type="containsText" priority="910" operator="containsText" text="Branco">
      <formula>NOT(ISERROR(SEARCH("Branco",W25)))</formula>
    </cfRule>
    <cfRule type="containsText" dxfId="3225" priority="911" operator="containsText" text="Bege">
      <formula>NOT(ISERROR(SEARCH("Bege",W25)))</formula>
    </cfRule>
  </conditionalFormatting>
  <conditionalFormatting sqref="W25">
    <cfRule type="containsText" dxfId="3224" priority="894" operator="containsText" text="Escuro">
      <formula>NOT(ISERROR(SEARCH("Escuro",W25)))</formula>
    </cfRule>
    <cfRule type="containsText" dxfId="3223" priority="895" operator="containsText" text="Cinza">
      <formula>NOT(ISERROR(SEARCH("Cinza",W25)))</formula>
    </cfRule>
    <cfRule type="containsText" dxfId="3222" priority="896" operator="containsText" text="Púrpura">
      <formula>NOT(ISERROR(SEARCH("Púrpura",W25)))</formula>
    </cfRule>
    <cfRule type="containsText" dxfId="3221" priority="897" operator="containsText" text="Rosa">
      <formula>NOT(ISERROR(SEARCH("Rosa",W25)))</formula>
    </cfRule>
    <cfRule type="containsText" dxfId="3220" priority="898" operator="containsText" text="Castanho">
      <formula>NOT(ISERROR(SEARCH("Castanho",W25)))</formula>
    </cfRule>
    <cfRule type="containsText" dxfId="3219" priority="899" operator="containsText" text="Verde Água">
      <formula>NOT(ISERROR(SEARCH("Verde Água",W25)))</formula>
    </cfRule>
    <cfRule type="containsText" dxfId="3218" priority="900" operator="containsText" text="Azul Petróleo">
      <formula>NOT(ISERROR(SEARCH("Azul Petróleo",W25)))</formula>
    </cfRule>
    <cfRule type="containsText" dxfId="3217" priority="901" operator="containsText" text="Preto">
      <formula>NOT(ISERROR(SEARCH("Preto",W25)))</formula>
    </cfRule>
    <cfRule type="containsText" priority="902" operator="containsText" text="Branco">
      <formula>NOT(ISERROR(SEARCH("Branco",W25)))</formula>
    </cfRule>
  </conditionalFormatting>
  <conditionalFormatting sqref="W27">
    <cfRule type="containsText" dxfId="3216" priority="885" operator="containsText" text="Cinza">
      <formula>NOT(ISERROR(SEARCH("Cinza",W27)))</formula>
    </cfRule>
    <cfRule type="containsText" dxfId="3215" priority="886" operator="containsText" text="Púrpura">
      <formula>NOT(ISERROR(SEARCH("Púrpura",W27)))</formula>
    </cfRule>
    <cfRule type="containsText" dxfId="3214" priority="887" operator="containsText" text="Rosa">
      <formula>NOT(ISERROR(SEARCH("Rosa",W27)))</formula>
    </cfRule>
    <cfRule type="containsText" dxfId="3213" priority="888" operator="containsText" text="Castanho">
      <formula>NOT(ISERROR(SEARCH("Castanho",W27)))</formula>
    </cfRule>
    <cfRule type="containsText" dxfId="3212" priority="889" operator="containsText" text="Verde Água">
      <formula>NOT(ISERROR(SEARCH("Verde Água",W27)))</formula>
    </cfRule>
    <cfRule type="containsText" dxfId="3211" priority="890" operator="containsText" text="Azul Petróleo">
      <formula>NOT(ISERROR(SEARCH("Azul Petróleo",W27)))</formula>
    </cfRule>
    <cfRule type="containsText" dxfId="3210" priority="891" operator="containsText" text="Preto">
      <formula>NOT(ISERROR(SEARCH("Preto",W27)))</formula>
    </cfRule>
    <cfRule type="containsText" priority="892" operator="containsText" text="Branco">
      <formula>NOT(ISERROR(SEARCH("Branco",W27)))</formula>
    </cfRule>
    <cfRule type="containsText" dxfId="3209" priority="893" operator="containsText" text="Bege">
      <formula>NOT(ISERROR(SEARCH("Bege",W27)))</formula>
    </cfRule>
  </conditionalFormatting>
  <conditionalFormatting sqref="W27">
    <cfRule type="containsText" dxfId="3208" priority="876" operator="containsText" text="Escuro">
      <formula>NOT(ISERROR(SEARCH("Escuro",W27)))</formula>
    </cfRule>
    <cfRule type="containsText" dxfId="3207" priority="877" operator="containsText" text="Cinza">
      <formula>NOT(ISERROR(SEARCH("Cinza",W27)))</formula>
    </cfRule>
    <cfRule type="containsText" dxfId="3206" priority="878" operator="containsText" text="Púrpura">
      <formula>NOT(ISERROR(SEARCH("Púrpura",W27)))</formula>
    </cfRule>
    <cfRule type="containsText" dxfId="3205" priority="879" operator="containsText" text="Rosa">
      <formula>NOT(ISERROR(SEARCH("Rosa",W27)))</formula>
    </cfRule>
    <cfRule type="containsText" dxfId="3204" priority="880" operator="containsText" text="Castanho">
      <formula>NOT(ISERROR(SEARCH("Castanho",W27)))</formula>
    </cfRule>
    <cfRule type="containsText" dxfId="3203" priority="881" operator="containsText" text="Verde Água">
      <formula>NOT(ISERROR(SEARCH("Verde Água",W27)))</formula>
    </cfRule>
    <cfRule type="containsText" dxfId="3202" priority="882" operator="containsText" text="Azul Petróleo">
      <formula>NOT(ISERROR(SEARCH("Azul Petróleo",W27)))</formula>
    </cfRule>
    <cfRule type="containsText" dxfId="3201" priority="883" operator="containsText" text="Preto">
      <formula>NOT(ISERROR(SEARCH("Preto",W27)))</formula>
    </cfRule>
    <cfRule type="containsText" priority="884" operator="containsText" text="Branco">
      <formula>NOT(ISERROR(SEARCH("Branco",W27)))</formula>
    </cfRule>
  </conditionalFormatting>
  <conditionalFormatting sqref="W48">
    <cfRule type="containsText" dxfId="3200" priority="867" operator="containsText" text="Cinza">
      <formula>NOT(ISERROR(SEARCH("Cinza",W48)))</formula>
    </cfRule>
    <cfRule type="containsText" dxfId="3199" priority="868" operator="containsText" text="Púrpura">
      <formula>NOT(ISERROR(SEARCH("Púrpura",W48)))</formula>
    </cfRule>
    <cfRule type="containsText" dxfId="3198" priority="869" operator="containsText" text="Rosa">
      <formula>NOT(ISERROR(SEARCH("Rosa",W48)))</formula>
    </cfRule>
    <cfRule type="containsText" dxfId="3197" priority="870" operator="containsText" text="Castanho">
      <formula>NOT(ISERROR(SEARCH("Castanho",W48)))</formula>
    </cfRule>
    <cfRule type="containsText" dxfId="3196" priority="871" operator="containsText" text="Verde Água">
      <formula>NOT(ISERROR(SEARCH("Verde Água",W48)))</formula>
    </cfRule>
    <cfRule type="containsText" dxfId="3195" priority="872" operator="containsText" text="Azul Petróleo">
      <formula>NOT(ISERROR(SEARCH("Azul Petróleo",W48)))</formula>
    </cfRule>
    <cfRule type="containsText" dxfId="3194" priority="873" operator="containsText" text="Preto">
      <formula>NOT(ISERROR(SEARCH("Preto",W48)))</formula>
    </cfRule>
    <cfRule type="containsText" priority="874" operator="containsText" text="Branco">
      <formula>NOT(ISERROR(SEARCH("Branco",W48)))</formula>
    </cfRule>
    <cfRule type="containsText" dxfId="3193" priority="875" operator="containsText" text="Bege">
      <formula>NOT(ISERROR(SEARCH("Bege",W48)))</formula>
    </cfRule>
  </conditionalFormatting>
  <conditionalFormatting sqref="W48">
    <cfRule type="containsText" dxfId="3192" priority="858" operator="containsText" text="Cinza">
      <formula>NOT(ISERROR(SEARCH("Cinza",W48)))</formula>
    </cfRule>
    <cfRule type="containsText" dxfId="3191" priority="859" operator="containsText" text="Púrpura">
      <formula>NOT(ISERROR(SEARCH("Púrpura",W48)))</formula>
    </cfRule>
    <cfRule type="containsText" dxfId="3190" priority="860" operator="containsText" text="Rosa">
      <formula>NOT(ISERROR(SEARCH("Rosa",W48)))</formula>
    </cfRule>
    <cfRule type="containsText" dxfId="3189" priority="861" operator="containsText" text="Castanho">
      <formula>NOT(ISERROR(SEARCH("Castanho",W48)))</formula>
    </cfRule>
    <cfRule type="containsText" dxfId="3188" priority="862" operator="containsText" text="Verde Água">
      <formula>NOT(ISERROR(SEARCH("Verde Água",W48)))</formula>
    </cfRule>
    <cfRule type="containsText" dxfId="3187" priority="863" operator="containsText" text="Azul Petróleo">
      <formula>NOT(ISERROR(SEARCH("Azul Petróleo",W48)))</formula>
    </cfRule>
    <cfRule type="containsText" dxfId="3186" priority="864" operator="containsText" text="Preto">
      <formula>NOT(ISERROR(SEARCH("Preto",W48)))</formula>
    </cfRule>
    <cfRule type="containsText" priority="865" operator="containsText" text="Branco">
      <formula>NOT(ISERROR(SEARCH("Branco",W48)))</formula>
    </cfRule>
    <cfRule type="containsText" dxfId="3185" priority="866" operator="containsText" text="Bege">
      <formula>NOT(ISERROR(SEARCH("Bege",W48)))</formula>
    </cfRule>
  </conditionalFormatting>
  <conditionalFormatting sqref="W48">
    <cfRule type="containsText" dxfId="3184" priority="849" operator="containsText" text="Cinza">
      <formula>NOT(ISERROR(SEARCH("Cinza",W48)))</formula>
    </cfRule>
    <cfRule type="containsText" dxfId="3183" priority="850" operator="containsText" text="Púrpura">
      <formula>NOT(ISERROR(SEARCH("Púrpura",W48)))</formula>
    </cfRule>
    <cfRule type="containsText" dxfId="3182" priority="851" operator="containsText" text="Rosa">
      <formula>NOT(ISERROR(SEARCH("Rosa",W48)))</formula>
    </cfRule>
    <cfRule type="containsText" dxfId="3181" priority="852" operator="containsText" text="Castanho">
      <formula>NOT(ISERROR(SEARCH("Castanho",W48)))</formula>
    </cfRule>
    <cfRule type="containsText" dxfId="3180" priority="853" operator="containsText" text="Verde Água">
      <formula>NOT(ISERROR(SEARCH("Verde Água",W48)))</formula>
    </cfRule>
    <cfRule type="containsText" dxfId="3179" priority="854" operator="containsText" text="Azul Petróleo">
      <formula>NOT(ISERROR(SEARCH("Azul Petróleo",W48)))</formula>
    </cfRule>
    <cfRule type="containsText" dxfId="3178" priority="855" operator="containsText" text="Preto">
      <formula>NOT(ISERROR(SEARCH("Preto",W48)))</formula>
    </cfRule>
    <cfRule type="containsText" priority="856" operator="containsText" text="Branco">
      <formula>NOT(ISERROR(SEARCH("Branco",W48)))</formula>
    </cfRule>
    <cfRule type="containsText" dxfId="3177" priority="857" operator="containsText" text="Bege">
      <formula>NOT(ISERROR(SEARCH("Bege",W48)))</formula>
    </cfRule>
  </conditionalFormatting>
  <conditionalFormatting sqref="W48">
    <cfRule type="containsText" dxfId="3176" priority="840" operator="containsText" text="Cinza">
      <formula>NOT(ISERROR(SEARCH("Cinza",W48)))</formula>
    </cfRule>
    <cfRule type="containsText" dxfId="3175" priority="841" operator="containsText" text="Púrpura">
      <formula>NOT(ISERROR(SEARCH("Púrpura",W48)))</formula>
    </cfRule>
    <cfRule type="containsText" dxfId="3174" priority="842" operator="containsText" text="Rosa">
      <formula>NOT(ISERROR(SEARCH("Rosa",W48)))</formula>
    </cfRule>
    <cfRule type="containsText" dxfId="3173" priority="843" operator="containsText" text="Castanho">
      <formula>NOT(ISERROR(SEARCH("Castanho",W48)))</formula>
    </cfRule>
    <cfRule type="containsText" dxfId="3172" priority="844" operator="containsText" text="Verde Água">
      <formula>NOT(ISERROR(SEARCH("Verde Água",W48)))</formula>
    </cfRule>
    <cfRule type="containsText" dxfId="3171" priority="845" operator="containsText" text="Azul Petróleo">
      <formula>NOT(ISERROR(SEARCH("Azul Petróleo",W48)))</formula>
    </cfRule>
    <cfRule type="containsText" dxfId="3170" priority="846" operator="containsText" text="Preto">
      <formula>NOT(ISERROR(SEARCH("Preto",W48)))</formula>
    </cfRule>
    <cfRule type="containsText" priority="847" operator="containsText" text="Branco">
      <formula>NOT(ISERROR(SEARCH("Branco",W48)))</formula>
    </cfRule>
    <cfRule type="containsText" dxfId="3169" priority="848" operator="containsText" text="Bege">
      <formula>NOT(ISERROR(SEARCH("Bege",W48)))</formula>
    </cfRule>
  </conditionalFormatting>
  <conditionalFormatting sqref="W48">
    <cfRule type="containsText" dxfId="3168" priority="831" operator="containsText" text="Cinza">
      <formula>NOT(ISERROR(SEARCH("Cinza",W48)))</formula>
    </cfRule>
    <cfRule type="containsText" dxfId="3167" priority="832" operator="containsText" text="Púrpura">
      <formula>NOT(ISERROR(SEARCH("Púrpura",W48)))</formula>
    </cfRule>
    <cfRule type="containsText" dxfId="3166" priority="833" operator="containsText" text="Rosa">
      <formula>NOT(ISERROR(SEARCH("Rosa",W48)))</formula>
    </cfRule>
    <cfRule type="containsText" dxfId="3165" priority="834" operator="containsText" text="Castanho">
      <formula>NOT(ISERROR(SEARCH("Castanho",W48)))</formula>
    </cfRule>
    <cfRule type="containsText" dxfId="3164" priority="835" operator="containsText" text="Verde Água">
      <formula>NOT(ISERROR(SEARCH("Verde Água",W48)))</formula>
    </cfRule>
    <cfRule type="containsText" dxfId="3163" priority="836" operator="containsText" text="Azul Petróleo">
      <formula>NOT(ISERROR(SEARCH("Azul Petróleo",W48)))</formula>
    </cfRule>
    <cfRule type="containsText" dxfId="3162" priority="837" operator="containsText" text="Preto">
      <formula>NOT(ISERROR(SEARCH("Preto",W48)))</formula>
    </cfRule>
    <cfRule type="containsText" priority="838" operator="containsText" text="Branco">
      <formula>NOT(ISERROR(SEARCH("Branco",W48)))</formula>
    </cfRule>
    <cfRule type="containsText" dxfId="3161" priority="839" operator="containsText" text="Bege">
      <formula>NOT(ISERROR(SEARCH("Bege",W48)))</formula>
    </cfRule>
  </conditionalFormatting>
  <conditionalFormatting sqref="W48">
    <cfRule type="containsText" dxfId="3160" priority="822" operator="containsText" text="Cinza">
      <formula>NOT(ISERROR(SEARCH("Cinza",W48)))</formula>
    </cfRule>
    <cfRule type="containsText" dxfId="3159" priority="823" operator="containsText" text="Púrpura">
      <formula>NOT(ISERROR(SEARCH("Púrpura",W48)))</formula>
    </cfRule>
    <cfRule type="containsText" dxfId="3158" priority="824" operator="containsText" text="Rosa">
      <formula>NOT(ISERROR(SEARCH("Rosa",W48)))</formula>
    </cfRule>
    <cfRule type="containsText" dxfId="3157" priority="825" operator="containsText" text="Castanho">
      <formula>NOT(ISERROR(SEARCH("Castanho",W48)))</formula>
    </cfRule>
    <cfRule type="containsText" dxfId="3156" priority="826" operator="containsText" text="Verde Água">
      <formula>NOT(ISERROR(SEARCH("Verde Água",W48)))</formula>
    </cfRule>
    <cfRule type="containsText" dxfId="3155" priority="827" operator="containsText" text="Azul Petróleo">
      <formula>NOT(ISERROR(SEARCH("Azul Petróleo",W48)))</formula>
    </cfRule>
    <cfRule type="containsText" dxfId="3154" priority="828" operator="containsText" text="Preto">
      <formula>NOT(ISERROR(SEARCH("Preto",W48)))</formula>
    </cfRule>
    <cfRule type="containsText" priority="829" operator="containsText" text="Branco">
      <formula>NOT(ISERROR(SEARCH("Branco",W48)))</formula>
    </cfRule>
    <cfRule type="containsText" dxfId="3153" priority="830" operator="containsText" text="Bege">
      <formula>NOT(ISERROR(SEARCH("Bege",W48)))</formula>
    </cfRule>
  </conditionalFormatting>
  <conditionalFormatting sqref="W48">
    <cfRule type="containsText" dxfId="3152" priority="813" operator="containsText" text="Cinza">
      <formula>NOT(ISERROR(SEARCH("Cinza",W48)))</formula>
    </cfRule>
    <cfRule type="containsText" dxfId="3151" priority="814" operator="containsText" text="Púrpura">
      <formula>NOT(ISERROR(SEARCH("Púrpura",W48)))</formula>
    </cfRule>
    <cfRule type="containsText" dxfId="3150" priority="815" operator="containsText" text="Rosa">
      <formula>NOT(ISERROR(SEARCH("Rosa",W48)))</formula>
    </cfRule>
    <cfRule type="containsText" dxfId="3149" priority="816" operator="containsText" text="Castanho">
      <formula>NOT(ISERROR(SEARCH("Castanho",W48)))</formula>
    </cfRule>
    <cfRule type="containsText" dxfId="3148" priority="817" operator="containsText" text="Verde Água">
      <formula>NOT(ISERROR(SEARCH("Verde Água",W48)))</formula>
    </cfRule>
    <cfRule type="containsText" dxfId="3147" priority="818" operator="containsText" text="Azul Petróleo">
      <formula>NOT(ISERROR(SEARCH("Azul Petróleo",W48)))</formula>
    </cfRule>
    <cfRule type="containsText" dxfId="3146" priority="819" operator="containsText" text="Preto">
      <formula>NOT(ISERROR(SEARCH("Preto",W48)))</formula>
    </cfRule>
    <cfRule type="containsText" priority="820" operator="containsText" text="Branco">
      <formula>NOT(ISERROR(SEARCH("Branco",W48)))</formula>
    </cfRule>
    <cfRule type="containsText" dxfId="3145" priority="821" operator="containsText" text="Bege">
      <formula>NOT(ISERROR(SEARCH("Bege",W48)))</formula>
    </cfRule>
  </conditionalFormatting>
  <conditionalFormatting sqref="W48">
    <cfRule type="containsText" dxfId="3144" priority="804" operator="containsText" text="Cinza">
      <formula>NOT(ISERROR(SEARCH("Cinza",W48)))</formula>
    </cfRule>
    <cfRule type="containsText" dxfId="3143" priority="805" operator="containsText" text="Púrpura">
      <formula>NOT(ISERROR(SEARCH("Púrpura",W48)))</formula>
    </cfRule>
    <cfRule type="containsText" dxfId="3142" priority="806" operator="containsText" text="Rosa">
      <formula>NOT(ISERROR(SEARCH("Rosa",W48)))</formula>
    </cfRule>
    <cfRule type="containsText" dxfId="3141" priority="807" operator="containsText" text="Castanho">
      <formula>NOT(ISERROR(SEARCH("Castanho",W48)))</formula>
    </cfRule>
    <cfRule type="containsText" dxfId="3140" priority="808" operator="containsText" text="Verde Água">
      <formula>NOT(ISERROR(SEARCH("Verde Água",W48)))</formula>
    </cfRule>
    <cfRule type="containsText" dxfId="3139" priority="809" operator="containsText" text="Azul Petróleo">
      <formula>NOT(ISERROR(SEARCH("Azul Petróleo",W48)))</formula>
    </cfRule>
    <cfRule type="containsText" dxfId="3138" priority="810" operator="containsText" text="Preto">
      <formula>NOT(ISERROR(SEARCH("Preto",W48)))</formula>
    </cfRule>
    <cfRule type="containsText" priority="811" operator="containsText" text="Branco">
      <formula>NOT(ISERROR(SEARCH("Branco",W48)))</formula>
    </cfRule>
    <cfRule type="containsText" dxfId="3137" priority="812" operator="containsText" text="Bege">
      <formula>NOT(ISERROR(SEARCH("Bege",W48)))</formula>
    </cfRule>
  </conditionalFormatting>
  <conditionalFormatting sqref="W48">
    <cfRule type="containsText" dxfId="3136" priority="795" operator="containsText" text="Cinza">
      <formula>NOT(ISERROR(SEARCH("Cinza",W48)))</formula>
    </cfRule>
    <cfRule type="containsText" dxfId="3135" priority="796" operator="containsText" text="Púrpura">
      <formula>NOT(ISERROR(SEARCH("Púrpura",W48)))</formula>
    </cfRule>
    <cfRule type="containsText" dxfId="3134" priority="797" operator="containsText" text="Rosa">
      <formula>NOT(ISERROR(SEARCH("Rosa",W48)))</formula>
    </cfRule>
    <cfRule type="containsText" dxfId="3133" priority="798" operator="containsText" text="Castanho">
      <formula>NOT(ISERROR(SEARCH("Castanho",W48)))</formula>
    </cfRule>
    <cfRule type="containsText" dxfId="3132" priority="799" operator="containsText" text="Verde Água">
      <formula>NOT(ISERROR(SEARCH("Verde Água",W48)))</formula>
    </cfRule>
    <cfRule type="containsText" dxfId="3131" priority="800" operator="containsText" text="Azul Petróleo">
      <formula>NOT(ISERROR(SEARCH("Azul Petróleo",W48)))</formula>
    </cfRule>
    <cfRule type="containsText" dxfId="3130" priority="801" operator="containsText" text="Preto">
      <formula>NOT(ISERROR(SEARCH("Preto",W48)))</formula>
    </cfRule>
    <cfRule type="containsText" priority="802" operator="containsText" text="Branco">
      <formula>NOT(ISERROR(SEARCH("Branco",W48)))</formula>
    </cfRule>
    <cfRule type="containsText" dxfId="3129" priority="803" operator="containsText" text="Bege">
      <formula>NOT(ISERROR(SEARCH("Bege",W48)))</formula>
    </cfRule>
  </conditionalFormatting>
  <conditionalFormatting sqref="W48">
    <cfRule type="containsText" dxfId="3128" priority="786" operator="containsText" text="Cinza">
      <formula>NOT(ISERROR(SEARCH("Cinza",W48)))</formula>
    </cfRule>
    <cfRule type="containsText" dxfId="3127" priority="787" operator="containsText" text="Púrpura">
      <formula>NOT(ISERROR(SEARCH("Púrpura",W48)))</formula>
    </cfRule>
    <cfRule type="containsText" dxfId="3126" priority="788" operator="containsText" text="Rosa">
      <formula>NOT(ISERROR(SEARCH("Rosa",W48)))</formula>
    </cfRule>
    <cfRule type="containsText" dxfId="3125" priority="789" operator="containsText" text="Castanho">
      <formula>NOT(ISERROR(SEARCH("Castanho",W48)))</formula>
    </cfRule>
    <cfRule type="containsText" dxfId="3124" priority="790" operator="containsText" text="Verde Água">
      <formula>NOT(ISERROR(SEARCH("Verde Água",W48)))</formula>
    </cfRule>
    <cfRule type="containsText" dxfId="3123" priority="791" operator="containsText" text="Azul Petróleo">
      <formula>NOT(ISERROR(SEARCH("Azul Petróleo",W48)))</formula>
    </cfRule>
    <cfRule type="containsText" dxfId="3122" priority="792" operator="containsText" text="Preto">
      <formula>NOT(ISERROR(SEARCH("Preto",W48)))</formula>
    </cfRule>
    <cfRule type="containsText" priority="793" operator="containsText" text="Branco">
      <formula>NOT(ISERROR(SEARCH("Branco",W48)))</formula>
    </cfRule>
    <cfRule type="containsText" dxfId="3121" priority="794" operator="containsText" text="Bege">
      <formula>NOT(ISERROR(SEARCH("Bege",W48)))</formula>
    </cfRule>
  </conditionalFormatting>
  <conditionalFormatting sqref="W48">
    <cfRule type="containsText" dxfId="3120" priority="777" operator="containsText" text="Cinza">
      <formula>NOT(ISERROR(SEARCH("Cinza",W48)))</formula>
    </cfRule>
    <cfRule type="containsText" dxfId="3119" priority="778" operator="containsText" text="Púrpura">
      <formula>NOT(ISERROR(SEARCH("Púrpura",W48)))</formula>
    </cfRule>
    <cfRule type="containsText" dxfId="3118" priority="779" operator="containsText" text="Rosa">
      <formula>NOT(ISERROR(SEARCH("Rosa",W48)))</formula>
    </cfRule>
    <cfRule type="containsText" dxfId="3117" priority="780" operator="containsText" text="Castanho">
      <formula>NOT(ISERROR(SEARCH("Castanho",W48)))</formula>
    </cfRule>
    <cfRule type="containsText" dxfId="3116" priority="781" operator="containsText" text="Verde Água">
      <formula>NOT(ISERROR(SEARCH("Verde Água",W48)))</formula>
    </cfRule>
    <cfRule type="containsText" dxfId="3115" priority="782" operator="containsText" text="Azul Petróleo">
      <formula>NOT(ISERROR(SEARCH("Azul Petróleo",W48)))</formula>
    </cfRule>
    <cfRule type="containsText" dxfId="3114" priority="783" operator="containsText" text="Preto">
      <formula>NOT(ISERROR(SEARCH("Preto",W48)))</formula>
    </cfRule>
    <cfRule type="containsText" priority="784" operator="containsText" text="Branco">
      <formula>NOT(ISERROR(SEARCH("Branco",W48)))</formula>
    </cfRule>
    <cfRule type="containsText" dxfId="3113" priority="785" operator="containsText" text="Bege">
      <formula>NOT(ISERROR(SEARCH("Bege",W48)))</formula>
    </cfRule>
  </conditionalFormatting>
  <conditionalFormatting sqref="W48">
    <cfRule type="containsText" dxfId="3112" priority="768" operator="containsText" text="Cinza">
      <formula>NOT(ISERROR(SEARCH("Cinza",W48)))</formula>
    </cfRule>
    <cfRule type="containsText" dxfId="3111" priority="769" operator="containsText" text="Púrpura">
      <formula>NOT(ISERROR(SEARCH("Púrpura",W48)))</formula>
    </cfRule>
    <cfRule type="containsText" dxfId="3110" priority="770" operator="containsText" text="Rosa">
      <formula>NOT(ISERROR(SEARCH("Rosa",W48)))</formula>
    </cfRule>
    <cfRule type="containsText" dxfId="3109" priority="771" operator="containsText" text="Castanho">
      <formula>NOT(ISERROR(SEARCH("Castanho",W48)))</formula>
    </cfRule>
    <cfRule type="containsText" dxfId="3108" priority="772" operator="containsText" text="Verde Água">
      <formula>NOT(ISERROR(SEARCH("Verde Água",W48)))</formula>
    </cfRule>
    <cfRule type="containsText" dxfId="3107" priority="773" operator="containsText" text="Azul Petróleo">
      <formula>NOT(ISERROR(SEARCH("Azul Petróleo",W48)))</formula>
    </cfRule>
    <cfRule type="containsText" dxfId="3106" priority="774" operator="containsText" text="Preto">
      <formula>NOT(ISERROR(SEARCH("Preto",W48)))</formula>
    </cfRule>
    <cfRule type="containsText" priority="775" operator="containsText" text="Branco">
      <formula>NOT(ISERROR(SEARCH("Branco",W48)))</formula>
    </cfRule>
    <cfRule type="containsText" dxfId="3105" priority="776" operator="containsText" text="Bege">
      <formula>NOT(ISERROR(SEARCH("Bege",W48)))</formula>
    </cfRule>
  </conditionalFormatting>
  <conditionalFormatting sqref="W48">
    <cfRule type="containsText" dxfId="3104" priority="759" operator="containsText" text="Cinza">
      <formula>NOT(ISERROR(SEARCH("Cinza",W48)))</formula>
    </cfRule>
    <cfRule type="containsText" dxfId="3103" priority="760" operator="containsText" text="Púrpura">
      <formula>NOT(ISERROR(SEARCH("Púrpura",W48)))</formula>
    </cfRule>
    <cfRule type="containsText" dxfId="3102" priority="761" operator="containsText" text="Rosa">
      <formula>NOT(ISERROR(SEARCH("Rosa",W48)))</formula>
    </cfRule>
    <cfRule type="containsText" dxfId="3101" priority="762" operator="containsText" text="Castanho">
      <formula>NOT(ISERROR(SEARCH("Castanho",W48)))</formula>
    </cfRule>
    <cfRule type="containsText" dxfId="3100" priority="763" operator="containsText" text="Verde Água">
      <formula>NOT(ISERROR(SEARCH("Verde Água",W48)))</formula>
    </cfRule>
    <cfRule type="containsText" dxfId="3099" priority="764" operator="containsText" text="Azul Petróleo">
      <formula>NOT(ISERROR(SEARCH("Azul Petróleo",W48)))</formula>
    </cfRule>
    <cfRule type="containsText" dxfId="3098" priority="765" operator="containsText" text="Preto">
      <formula>NOT(ISERROR(SEARCH("Preto",W48)))</formula>
    </cfRule>
    <cfRule type="containsText" priority="766" operator="containsText" text="Branco">
      <formula>NOT(ISERROR(SEARCH("Branco",W48)))</formula>
    </cfRule>
    <cfRule type="containsText" dxfId="3097" priority="767" operator="containsText" text="Bege">
      <formula>NOT(ISERROR(SEARCH("Bege",W48)))</formula>
    </cfRule>
  </conditionalFormatting>
  <conditionalFormatting sqref="W48">
    <cfRule type="containsText" dxfId="3096" priority="750" operator="containsText" text="Cinza">
      <formula>NOT(ISERROR(SEARCH("Cinza",W48)))</formula>
    </cfRule>
    <cfRule type="containsText" dxfId="3095" priority="751" operator="containsText" text="Púrpura">
      <formula>NOT(ISERROR(SEARCH("Púrpura",W48)))</formula>
    </cfRule>
    <cfRule type="containsText" dxfId="3094" priority="752" operator="containsText" text="Rosa">
      <formula>NOT(ISERROR(SEARCH("Rosa",W48)))</formula>
    </cfRule>
    <cfRule type="containsText" dxfId="3093" priority="753" operator="containsText" text="Castanho">
      <formula>NOT(ISERROR(SEARCH("Castanho",W48)))</formula>
    </cfRule>
    <cfRule type="containsText" dxfId="3092" priority="754" operator="containsText" text="Verde Água">
      <formula>NOT(ISERROR(SEARCH("Verde Água",W48)))</formula>
    </cfRule>
    <cfRule type="containsText" dxfId="3091" priority="755" operator="containsText" text="Azul Petróleo">
      <formula>NOT(ISERROR(SEARCH("Azul Petróleo",W48)))</formula>
    </cfRule>
    <cfRule type="containsText" dxfId="3090" priority="756" operator="containsText" text="Preto">
      <formula>NOT(ISERROR(SEARCH("Preto",W48)))</formula>
    </cfRule>
    <cfRule type="containsText" priority="757" operator="containsText" text="Branco">
      <formula>NOT(ISERROR(SEARCH("Branco",W48)))</formula>
    </cfRule>
    <cfRule type="containsText" dxfId="3089" priority="758" operator="containsText" text="Bege">
      <formula>NOT(ISERROR(SEARCH("Bege",W48)))</formula>
    </cfRule>
  </conditionalFormatting>
  <conditionalFormatting sqref="W48">
    <cfRule type="containsText" dxfId="3088" priority="741" operator="containsText" text="Cinza">
      <formula>NOT(ISERROR(SEARCH("Cinza",W48)))</formula>
    </cfRule>
    <cfRule type="containsText" dxfId="3087" priority="742" operator="containsText" text="Púrpura">
      <formula>NOT(ISERROR(SEARCH("Púrpura",W48)))</formula>
    </cfRule>
    <cfRule type="containsText" dxfId="3086" priority="743" operator="containsText" text="Rosa">
      <formula>NOT(ISERROR(SEARCH("Rosa",W48)))</formula>
    </cfRule>
    <cfRule type="containsText" dxfId="3085" priority="744" operator="containsText" text="Castanho">
      <formula>NOT(ISERROR(SEARCH("Castanho",W48)))</formula>
    </cfRule>
    <cfRule type="containsText" dxfId="3084" priority="745" operator="containsText" text="Verde Água">
      <formula>NOT(ISERROR(SEARCH("Verde Água",W48)))</formula>
    </cfRule>
    <cfRule type="containsText" dxfId="3083" priority="746" operator="containsText" text="Azul Petróleo">
      <formula>NOT(ISERROR(SEARCH("Azul Petróleo",W48)))</formula>
    </cfRule>
    <cfRule type="containsText" dxfId="3082" priority="747" operator="containsText" text="Preto">
      <formula>NOT(ISERROR(SEARCH("Preto",W48)))</formula>
    </cfRule>
    <cfRule type="containsText" priority="748" operator="containsText" text="Branco">
      <formula>NOT(ISERROR(SEARCH("Branco",W48)))</formula>
    </cfRule>
    <cfRule type="containsText" dxfId="3081" priority="749" operator="containsText" text="Bege">
      <formula>NOT(ISERROR(SEARCH("Bege",W48)))</formula>
    </cfRule>
  </conditionalFormatting>
  <conditionalFormatting sqref="W48">
    <cfRule type="containsText" dxfId="3080" priority="732" operator="containsText" text="Cinza">
      <formula>NOT(ISERROR(SEARCH("Cinza",W48)))</formula>
    </cfRule>
    <cfRule type="containsText" dxfId="3079" priority="733" operator="containsText" text="Púrpura">
      <formula>NOT(ISERROR(SEARCH("Púrpura",W48)))</formula>
    </cfRule>
    <cfRule type="containsText" dxfId="3078" priority="734" operator="containsText" text="Rosa">
      <formula>NOT(ISERROR(SEARCH("Rosa",W48)))</formula>
    </cfRule>
    <cfRule type="containsText" dxfId="3077" priority="735" operator="containsText" text="Castanho">
      <formula>NOT(ISERROR(SEARCH("Castanho",W48)))</formula>
    </cfRule>
    <cfRule type="containsText" dxfId="3076" priority="736" operator="containsText" text="Verde Água">
      <formula>NOT(ISERROR(SEARCH("Verde Água",W48)))</formula>
    </cfRule>
    <cfRule type="containsText" dxfId="3075" priority="737" operator="containsText" text="Azul Petróleo">
      <formula>NOT(ISERROR(SEARCH("Azul Petróleo",W48)))</formula>
    </cfRule>
    <cfRule type="containsText" dxfId="3074" priority="738" operator="containsText" text="Preto">
      <formula>NOT(ISERROR(SEARCH("Preto",W48)))</formula>
    </cfRule>
    <cfRule type="containsText" priority="739" operator="containsText" text="Branco">
      <formula>NOT(ISERROR(SEARCH("Branco",W48)))</formula>
    </cfRule>
    <cfRule type="containsText" dxfId="3073" priority="740" operator="containsText" text="Bege">
      <formula>NOT(ISERROR(SEARCH("Bege",W48)))</formula>
    </cfRule>
  </conditionalFormatting>
  <conditionalFormatting sqref="W48">
    <cfRule type="containsText" dxfId="3072" priority="723" operator="containsText" text="Escuro">
      <formula>NOT(ISERROR(SEARCH("Escuro",W48)))</formula>
    </cfRule>
    <cfRule type="containsText" dxfId="3071" priority="724" operator="containsText" text="Cinza">
      <formula>NOT(ISERROR(SEARCH("Cinza",W48)))</formula>
    </cfRule>
    <cfRule type="containsText" dxfId="3070" priority="725" operator="containsText" text="Púrpura">
      <formula>NOT(ISERROR(SEARCH("Púrpura",W48)))</formula>
    </cfRule>
    <cfRule type="containsText" dxfId="3069" priority="726" operator="containsText" text="Rosa">
      <formula>NOT(ISERROR(SEARCH("Rosa",W48)))</formula>
    </cfRule>
    <cfRule type="containsText" dxfId="3068" priority="727" operator="containsText" text="Castanho">
      <formula>NOT(ISERROR(SEARCH("Castanho",W48)))</formula>
    </cfRule>
    <cfRule type="containsText" dxfId="3067" priority="728" operator="containsText" text="Verde Água">
      <formula>NOT(ISERROR(SEARCH("Verde Água",W48)))</formula>
    </cfRule>
    <cfRule type="containsText" dxfId="3066" priority="729" operator="containsText" text="Azul Petróleo">
      <formula>NOT(ISERROR(SEARCH("Azul Petróleo",W48)))</formula>
    </cfRule>
    <cfRule type="containsText" dxfId="3065" priority="730" operator="containsText" text="Preto">
      <formula>NOT(ISERROR(SEARCH("Preto",W48)))</formula>
    </cfRule>
    <cfRule type="containsText" priority="731" operator="containsText" text="Branco">
      <formula>NOT(ISERROR(SEARCH("Branco",W48)))</formula>
    </cfRule>
  </conditionalFormatting>
  <conditionalFormatting sqref="M92">
    <cfRule type="containsText" dxfId="3064" priority="713" operator="containsText" text="Escuro">
      <formula>NOT(ISERROR(SEARCH("Escuro",M92)))</formula>
    </cfRule>
    <cfRule type="containsText" dxfId="3063" priority="714" operator="containsText" text="Cinza">
      <formula>NOT(ISERROR(SEARCH("Cinza",M92)))</formula>
    </cfRule>
    <cfRule type="containsText" dxfId="3062" priority="715" operator="containsText" text="Púrpura">
      <formula>NOT(ISERROR(SEARCH("Púrpura",M92)))</formula>
    </cfRule>
    <cfRule type="containsText" dxfId="3061" priority="716" operator="containsText" text="Rosa">
      <formula>NOT(ISERROR(SEARCH("Rosa",M92)))</formula>
    </cfRule>
    <cfRule type="containsText" dxfId="3060" priority="717" operator="containsText" text="Castanho">
      <formula>NOT(ISERROR(SEARCH("Castanho",M92)))</formula>
    </cfRule>
    <cfRule type="containsText" dxfId="3059" priority="718" operator="containsText" text="Verde Água">
      <formula>NOT(ISERROR(SEARCH("Verde Água",M92)))</formula>
    </cfRule>
    <cfRule type="containsText" dxfId="3058" priority="719" operator="containsText" text="Azul Petróleo">
      <formula>NOT(ISERROR(SEARCH("Azul Petróleo",M92)))</formula>
    </cfRule>
    <cfRule type="containsText" dxfId="3057" priority="720" operator="containsText" text="Preto">
      <formula>NOT(ISERROR(SEARCH("Preto",M92)))</formula>
    </cfRule>
    <cfRule type="containsText" priority="721" operator="containsText" text="Branco">
      <formula>NOT(ISERROR(SEARCH("Branco",M92)))</formula>
    </cfRule>
    <cfRule type="containsText" dxfId="3056" priority="722" operator="containsText" text="Bege">
      <formula>NOT(ISERROR(SEARCH("Bege",M92)))</formula>
    </cfRule>
  </conditionalFormatting>
  <conditionalFormatting sqref="M92">
    <cfRule type="containsText" dxfId="3055" priority="704" operator="containsText" text="Cinza">
      <formula>NOT(ISERROR(SEARCH("Cinza",M92)))</formula>
    </cfRule>
    <cfRule type="containsText" dxfId="3054" priority="705" operator="containsText" text="Púrpura">
      <formula>NOT(ISERROR(SEARCH("Púrpura",M92)))</formula>
    </cfRule>
    <cfRule type="containsText" dxfId="3053" priority="706" operator="containsText" text="Rosa">
      <formula>NOT(ISERROR(SEARCH("Rosa",M92)))</formula>
    </cfRule>
    <cfRule type="containsText" dxfId="3052" priority="707" operator="containsText" text="Castanho">
      <formula>NOT(ISERROR(SEARCH("Castanho",M92)))</formula>
    </cfRule>
    <cfRule type="containsText" dxfId="3051" priority="708" operator="containsText" text="Verde Água">
      <formula>NOT(ISERROR(SEARCH("Verde Água",M92)))</formula>
    </cfRule>
    <cfRule type="containsText" dxfId="3050" priority="709" operator="containsText" text="Azul Petróleo">
      <formula>NOT(ISERROR(SEARCH("Azul Petróleo",M92)))</formula>
    </cfRule>
    <cfRule type="containsText" dxfId="3049" priority="710" operator="containsText" text="Preto">
      <formula>NOT(ISERROR(SEARCH("Preto",M92)))</formula>
    </cfRule>
    <cfRule type="containsText" priority="711" operator="containsText" text="Branco">
      <formula>NOT(ISERROR(SEARCH("Branco",M92)))</formula>
    </cfRule>
    <cfRule type="containsText" dxfId="3048" priority="712" operator="containsText" text="Bege">
      <formula>NOT(ISERROR(SEARCH("Bege",M92)))</formula>
    </cfRule>
  </conditionalFormatting>
  <conditionalFormatting sqref="M92">
    <cfRule type="containsText" dxfId="3047" priority="695" operator="containsText" text="Cinza">
      <formula>NOT(ISERROR(SEARCH("Cinza",M92)))</formula>
    </cfRule>
    <cfRule type="containsText" dxfId="3046" priority="696" operator="containsText" text="Púrpura">
      <formula>NOT(ISERROR(SEARCH("Púrpura",M92)))</formula>
    </cfRule>
    <cfRule type="containsText" dxfId="3045" priority="697" operator="containsText" text="Rosa">
      <formula>NOT(ISERROR(SEARCH("Rosa",M92)))</formula>
    </cfRule>
    <cfRule type="containsText" dxfId="3044" priority="698" operator="containsText" text="Castanho">
      <formula>NOT(ISERROR(SEARCH("Castanho",M92)))</formula>
    </cfRule>
    <cfRule type="containsText" dxfId="3043" priority="699" operator="containsText" text="Verde Água">
      <formula>NOT(ISERROR(SEARCH("Verde Água",M92)))</formula>
    </cfRule>
    <cfRule type="containsText" dxfId="3042" priority="700" operator="containsText" text="Azul Petróleo">
      <formula>NOT(ISERROR(SEARCH("Azul Petróleo",M92)))</formula>
    </cfRule>
    <cfRule type="containsText" dxfId="3041" priority="701" operator="containsText" text="Preto">
      <formula>NOT(ISERROR(SEARCH("Preto",M92)))</formula>
    </cfRule>
    <cfRule type="containsText" priority="702" operator="containsText" text="Branco">
      <formula>NOT(ISERROR(SEARCH("Branco",M92)))</formula>
    </cfRule>
    <cfRule type="containsText" dxfId="3040" priority="703" operator="containsText" text="Bege">
      <formula>NOT(ISERROR(SEARCH("Bege",M92)))</formula>
    </cfRule>
  </conditionalFormatting>
  <conditionalFormatting sqref="M92">
    <cfRule type="containsText" dxfId="3039" priority="686" operator="containsText" text="Cinza">
      <formula>NOT(ISERROR(SEARCH("Cinza",M92)))</formula>
    </cfRule>
    <cfRule type="containsText" dxfId="3038" priority="687" operator="containsText" text="Púrpura">
      <formula>NOT(ISERROR(SEARCH("Púrpura",M92)))</formula>
    </cfRule>
    <cfRule type="containsText" dxfId="3037" priority="688" operator="containsText" text="Rosa">
      <formula>NOT(ISERROR(SEARCH("Rosa",M92)))</formula>
    </cfRule>
    <cfRule type="containsText" dxfId="3036" priority="689" operator="containsText" text="Castanho">
      <formula>NOT(ISERROR(SEARCH("Castanho",M92)))</formula>
    </cfRule>
    <cfRule type="containsText" dxfId="3035" priority="690" operator="containsText" text="Verde Água">
      <formula>NOT(ISERROR(SEARCH("Verde Água",M92)))</formula>
    </cfRule>
    <cfRule type="containsText" dxfId="3034" priority="691" operator="containsText" text="Azul Petróleo">
      <formula>NOT(ISERROR(SEARCH("Azul Petróleo",M92)))</formula>
    </cfRule>
    <cfRule type="containsText" dxfId="3033" priority="692" operator="containsText" text="Preto">
      <formula>NOT(ISERROR(SEARCH("Preto",M92)))</formula>
    </cfRule>
    <cfRule type="containsText" priority="693" operator="containsText" text="Branco">
      <formula>NOT(ISERROR(SEARCH("Branco",M92)))</formula>
    </cfRule>
    <cfRule type="containsText" dxfId="3032" priority="694" operator="containsText" text="Bege">
      <formula>NOT(ISERROR(SEARCH("Bege",M92)))</formula>
    </cfRule>
  </conditionalFormatting>
  <conditionalFormatting sqref="M92">
    <cfRule type="containsText" dxfId="3031" priority="677" operator="containsText" text="Cinza">
      <formula>NOT(ISERROR(SEARCH("Cinza",M92)))</formula>
    </cfRule>
    <cfRule type="containsText" dxfId="3030" priority="678" operator="containsText" text="Púrpura">
      <formula>NOT(ISERROR(SEARCH("Púrpura",M92)))</formula>
    </cfRule>
    <cfRule type="containsText" dxfId="3029" priority="679" operator="containsText" text="Rosa">
      <formula>NOT(ISERROR(SEARCH("Rosa",M92)))</formula>
    </cfRule>
    <cfRule type="containsText" dxfId="3028" priority="680" operator="containsText" text="Castanho">
      <formula>NOT(ISERROR(SEARCH("Castanho",M92)))</formula>
    </cfRule>
    <cfRule type="containsText" dxfId="3027" priority="681" operator="containsText" text="Verde Água">
      <formula>NOT(ISERROR(SEARCH("Verde Água",M92)))</formula>
    </cfRule>
    <cfRule type="containsText" dxfId="3026" priority="682" operator="containsText" text="Azul Petróleo">
      <formula>NOT(ISERROR(SEARCH("Azul Petróleo",M92)))</formula>
    </cfRule>
    <cfRule type="containsText" dxfId="3025" priority="683" operator="containsText" text="Preto">
      <formula>NOT(ISERROR(SEARCH("Preto",M92)))</formula>
    </cfRule>
    <cfRule type="containsText" priority="684" operator="containsText" text="Branco">
      <formula>NOT(ISERROR(SEARCH("Branco",M92)))</formula>
    </cfRule>
    <cfRule type="containsText" dxfId="3024" priority="685" operator="containsText" text="Bege">
      <formula>NOT(ISERROR(SEARCH("Bege",M92)))</formula>
    </cfRule>
  </conditionalFormatting>
  <conditionalFormatting sqref="M92">
    <cfRule type="containsText" dxfId="3023" priority="668" operator="containsText" text="Cinza">
      <formula>NOT(ISERROR(SEARCH("Cinza",M92)))</formula>
    </cfRule>
    <cfRule type="containsText" dxfId="3022" priority="669" operator="containsText" text="Púrpura">
      <formula>NOT(ISERROR(SEARCH("Púrpura",M92)))</formula>
    </cfRule>
    <cfRule type="containsText" dxfId="3021" priority="670" operator="containsText" text="Rosa">
      <formula>NOT(ISERROR(SEARCH("Rosa",M92)))</formula>
    </cfRule>
    <cfRule type="containsText" dxfId="3020" priority="671" operator="containsText" text="Castanho">
      <formula>NOT(ISERROR(SEARCH("Castanho",M92)))</formula>
    </cfRule>
    <cfRule type="containsText" dxfId="3019" priority="672" operator="containsText" text="Verde Água">
      <formula>NOT(ISERROR(SEARCH("Verde Água",M92)))</formula>
    </cfRule>
    <cfRule type="containsText" dxfId="3018" priority="673" operator="containsText" text="Azul Petróleo">
      <formula>NOT(ISERROR(SEARCH("Azul Petróleo",M92)))</formula>
    </cfRule>
    <cfRule type="containsText" dxfId="3017" priority="674" operator="containsText" text="Preto">
      <formula>NOT(ISERROR(SEARCH("Preto",M92)))</formula>
    </cfRule>
    <cfRule type="containsText" priority="675" operator="containsText" text="Branco">
      <formula>NOT(ISERROR(SEARCH("Branco",M92)))</formula>
    </cfRule>
    <cfRule type="containsText" dxfId="3016" priority="676" operator="containsText" text="Bege">
      <formula>NOT(ISERROR(SEARCH("Bege",M92)))</formula>
    </cfRule>
  </conditionalFormatting>
  <conditionalFormatting sqref="M92">
    <cfRule type="containsText" dxfId="3015" priority="659" operator="containsText" text="Cinza">
      <formula>NOT(ISERROR(SEARCH("Cinza",M92)))</formula>
    </cfRule>
    <cfRule type="containsText" dxfId="3014" priority="660" operator="containsText" text="Púrpura">
      <formula>NOT(ISERROR(SEARCH("Púrpura",M92)))</formula>
    </cfRule>
    <cfRule type="containsText" dxfId="3013" priority="661" operator="containsText" text="Rosa">
      <formula>NOT(ISERROR(SEARCH("Rosa",M92)))</formula>
    </cfRule>
    <cfRule type="containsText" dxfId="3012" priority="662" operator="containsText" text="Castanho">
      <formula>NOT(ISERROR(SEARCH("Castanho",M92)))</formula>
    </cfRule>
    <cfRule type="containsText" dxfId="3011" priority="663" operator="containsText" text="Verde Água">
      <formula>NOT(ISERROR(SEARCH("Verde Água",M92)))</formula>
    </cfRule>
    <cfRule type="containsText" dxfId="3010" priority="664" operator="containsText" text="Azul Petróleo">
      <formula>NOT(ISERROR(SEARCH("Azul Petróleo",M92)))</formula>
    </cfRule>
    <cfRule type="containsText" dxfId="3009" priority="665" operator="containsText" text="Preto">
      <formula>NOT(ISERROR(SEARCH("Preto",M92)))</formula>
    </cfRule>
    <cfRule type="containsText" priority="666" operator="containsText" text="Branco">
      <formula>NOT(ISERROR(SEARCH("Branco",M92)))</formula>
    </cfRule>
    <cfRule type="containsText" dxfId="3008" priority="667" operator="containsText" text="Bege">
      <formula>NOT(ISERROR(SEARCH("Bege",M92)))</formula>
    </cfRule>
  </conditionalFormatting>
  <conditionalFormatting sqref="M92">
    <cfRule type="containsText" dxfId="3007" priority="650" operator="containsText" text="Cinza">
      <formula>NOT(ISERROR(SEARCH("Cinza",M92)))</formula>
    </cfRule>
    <cfRule type="containsText" dxfId="3006" priority="651" operator="containsText" text="Púrpura">
      <formula>NOT(ISERROR(SEARCH("Púrpura",M92)))</formula>
    </cfRule>
    <cfRule type="containsText" dxfId="3005" priority="652" operator="containsText" text="Rosa">
      <formula>NOT(ISERROR(SEARCH("Rosa",M92)))</formula>
    </cfRule>
    <cfRule type="containsText" dxfId="3004" priority="653" operator="containsText" text="Castanho">
      <formula>NOT(ISERROR(SEARCH("Castanho",M92)))</formula>
    </cfRule>
    <cfRule type="containsText" dxfId="3003" priority="654" operator="containsText" text="Verde Água">
      <formula>NOT(ISERROR(SEARCH("Verde Água",M92)))</formula>
    </cfRule>
    <cfRule type="containsText" dxfId="3002" priority="655" operator="containsText" text="Azul Petróleo">
      <formula>NOT(ISERROR(SEARCH("Azul Petróleo",M92)))</formula>
    </cfRule>
    <cfRule type="containsText" dxfId="3001" priority="656" operator="containsText" text="Preto">
      <formula>NOT(ISERROR(SEARCH("Preto",M92)))</formula>
    </cfRule>
    <cfRule type="containsText" priority="657" operator="containsText" text="Branco">
      <formula>NOT(ISERROR(SEARCH("Branco",M92)))</formula>
    </cfRule>
    <cfRule type="containsText" dxfId="3000" priority="658" operator="containsText" text="Bege">
      <formula>NOT(ISERROR(SEARCH("Bege",M92)))</formula>
    </cfRule>
  </conditionalFormatting>
  <conditionalFormatting sqref="M92">
    <cfRule type="containsText" dxfId="2999" priority="641" operator="containsText" text="Cinza">
      <formula>NOT(ISERROR(SEARCH("Cinza",M92)))</formula>
    </cfRule>
    <cfRule type="containsText" dxfId="2998" priority="642" operator="containsText" text="Púrpura">
      <formula>NOT(ISERROR(SEARCH("Púrpura",M92)))</formula>
    </cfRule>
    <cfRule type="containsText" dxfId="2997" priority="643" operator="containsText" text="Rosa">
      <formula>NOT(ISERROR(SEARCH("Rosa",M92)))</formula>
    </cfRule>
    <cfRule type="containsText" dxfId="2996" priority="644" operator="containsText" text="Castanho">
      <formula>NOT(ISERROR(SEARCH("Castanho",M92)))</formula>
    </cfRule>
    <cfRule type="containsText" dxfId="2995" priority="645" operator="containsText" text="Verde Água">
      <formula>NOT(ISERROR(SEARCH("Verde Água",M92)))</formula>
    </cfRule>
    <cfRule type="containsText" dxfId="2994" priority="646" operator="containsText" text="Azul Petróleo">
      <formula>NOT(ISERROR(SEARCH("Azul Petróleo",M92)))</formula>
    </cfRule>
    <cfRule type="containsText" dxfId="2993" priority="647" operator="containsText" text="Preto">
      <formula>NOT(ISERROR(SEARCH("Preto",M92)))</formula>
    </cfRule>
    <cfRule type="containsText" priority="648" operator="containsText" text="Branco">
      <formula>NOT(ISERROR(SEARCH("Branco",M92)))</formula>
    </cfRule>
    <cfRule type="containsText" dxfId="2992" priority="649" operator="containsText" text="Bege">
      <formula>NOT(ISERROR(SEARCH("Bege",M92)))</formula>
    </cfRule>
  </conditionalFormatting>
  <conditionalFormatting sqref="M92">
    <cfRule type="containsText" dxfId="2991" priority="632" operator="containsText" text="Cinza">
      <formula>NOT(ISERROR(SEARCH("Cinza",M92)))</formula>
    </cfRule>
    <cfRule type="containsText" dxfId="2990" priority="633" operator="containsText" text="Púrpura">
      <formula>NOT(ISERROR(SEARCH("Púrpura",M92)))</formula>
    </cfRule>
    <cfRule type="containsText" dxfId="2989" priority="634" operator="containsText" text="Rosa">
      <formula>NOT(ISERROR(SEARCH("Rosa",M92)))</formula>
    </cfRule>
    <cfRule type="containsText" dxfId="2988" priority="635" operator="containsText" text="Castanho">
      <formula>NOT(ISERROR(SEARCH("Castanho",M92)))</formula>
    </cfRule>
    <cfRule type="containsText" dxfId="2987" priority="636" operator="containsText" text="Verde Água">
      <formula>NOT(ISERROR(SEARCH("Verde Água",M92)))</formula>
    </cfRule>
    <cfRule type="containsText" dxfId="2986" priority="637" operator="containsText" text="Azul Petróleo">
      <formula>NOT(ISERROR(SEARCH("Azul Petróleo",M92)))</formula>
    </cfRule>
    <cfRule type="containsText" dxfId="2985" priority="638" operator="containsText" text="Preto">
      <formula>NOT(ISERROR(SEARCH("Preto",M92)))</formula>
    </cfRule>
    <cfRule type="containsText" priority="639" operator="containsText" text="Branco">
      <formula>NOT(ISERROR(SEARCH("Branco",M92)))</formula>
    </cfRule>
    <cfRule type="containsText" dxfId="2984" priority="640" operator="containsText" text="Bege">
      <formula>NOT(ISERROR(SEARCH("Bege",M92)))</formula>
    </cfRule>
  </conditionalFormatting>
  <conditionalFormatting sqref="M92">
    <cfRule type="containsText" dxfId="2983" priority="623" operator="containsText" text="Cinza">
      <formula>NOT(ISERROR(SEARCH("Cinza",M92)))</formula>
    </cfRule>
    <cfRule type="containsText" dxfId="2982" priority="624" operator="containsText" text="Púrpura">
      <formula>NOT(ISERROR(SEARCH("Púrpura",M92)))</formula>
    </cfRule>
    <cfRule type="containsText" dxfId="2981" priority="625" operator="containsText" text="Rosa">
      <formula>NOT(ISERROR(SEARCH("Rosa",M92)))</formula>
    </cfRule>
    <cfRule type="containsText" dxfId="2980" priority="626" operator="containsText" text="Castanho">
      <formula>NOT(ISERROR(SEARCH("Castanho",M92)))</formula>
    </cfRule>
    <cfRule type="containsText" dxfId="2979" priority="627" operator="containsText" text="Verde Água">
      <formula>NOT(ISERROR(SEARCH("Verde Água",M92)))</formula>
    </cfRule>
    <cfRule type="containsText" dxfId="2978" priority="628" operator="containsText" text="Azul Petróleo">
      <formula>NOT(ISERROR(SEARCH("Azul Petróleo",M92)))</formula>
    </cfRule>
    <cfRule type="containsText" dxfId="2977" priority="629" operator="containsText" text="Preto">
      <formula>NOT(ISERROR(SEARCH("Preto",M92)))</formula>
    </cfRule>
    <cfRule type="containsText" priority="630" operator="containsText" text="Branco">
      <formula>NOT(ISERROR(SEARCH("Branco",M92)))</formula>
    </cfRule>
    <cfRule type="containsText" dxfId="2976" priority="631" operator="containsText" text="Bege">
      <formula>NOT(ISERROR(SEARCH("Bege",M92)))</formula>
    </cfRule>
  </conditionalFormatting>
  <conditionalFormatting sqref="M92">
    <cfRule type="containsText" dxfId="2975" priority="614" operator="containsText" text="Cinza">
      <formula>NOT(ISERROR(SEARCH("Cinza",M92)))</formula>
    </cfRule>
    <cfRule type="containsText" dxfId="2974" priority="615" operator="containsText" text="Púrpura">
      <formula>NOT(ISERROR(SEARCH("Púrpura",M92)))</formula>
    </cfRule>
    <cfRule type="containsText" dxfId="2973" priority="616" operator="containsText" text="Rosa">
      <formula>NOT(ISERROR(SEARCH("Rosa",M92)))</formula>
    </cfRule>
    <cfRule type="containsText" dxfId="2972" priority="617" operator="containsText" text="Castanho">
      <formula>NOT(ISERROR(SEARCH("Castanho",M92)))</formula>
    </cfRule>
    <cfRule type="containsText" dxfId="2971" priority="618" operator="containsText" text="Verde Água">
      <formula>NOT(ISERROR(SEARCH("Verde Água",M92)))</formula>
    </cfRule>
    <cfRule type="containsText" dxfId="2970" priority="619" operator="containsText" text="Azul Petróleo">
      <formula>NOT(ISERROR(SEARCH("Azul Petróleo",M92)))</formula>
    </cfRule>
    <cfRule type="containsText" dxfId="2969" priority="620" operator="containsText" text="Preto">
      <formula>NOT(ISERROR(SEARCH("Preto",M92)))</formula>
    </cfRule>
    <cfRule type="containsText" priority="621" operator="containsText" text="Branco">
      <formula>NOT(ISERROR(SEARCH("Branco",M92)))</formula>
    </cfRule>
    <cfRule type="containsText" dxfId="2968" priority="622" operator="containsText" text="Bege">
      <formula>NOT(ISERROR(SEARCH("Bege",M92)))</formula>
    </cfRule>
  </conditionalFormatting>
  <conditionalFormatting sqref="M92">
    <cfRule type="containsText" dxfId="2967" priority="605" operator="containsText" text="Cinza">
      <formula>NOT(ISERROR(SEARCH("Cinza",M92)))</formula>
    </cfRule>
    <cfRule type="containsText" dxfId="2966" priority="606" operator="containsText" text="Púrpura">
      <formula>NOT(ISERROR(SEARCH("Púrpura",M92)))</formula>
    </cfRule>
    <cfRule type="containsText" dxfId="2965" priority="607" operator="containsText" text="Rosa">
      <formula>NOT(ISERROR(SEARCH("Rosa",M92)))</formula>
    </cfRule>
    <cfRule type="containsText" dxfId="2964" priority="608" operator="containsText" text="Castanho">
      <formula>NOT(ISERROR(SEARCH("Castanho",M92)))</formula>
    </cfRule>
    <cfRule type="containsText" dxfId="2963" priority="609" operator="containsText" text="Verde Água">
      <formula>NOT(ISERROR(SEARCH("Verde Água",M92)))</formula>
    </cfRule>
    <cfRule type="containsText" dxfId="2962" priority="610" operator="containsText" text="Azul Petróleo">
      <formula>NOT(ISERROR(SEARCH("Azul Petróleo",M92)))</formula>
    </cfRule>
    <cfRule type="containsText" dxfId="2961" priority="611" operator="containsText" text="Preto">
      <formula>NOT(ISERROR(SEARCH("Preto",M92)))</formula>
    </cfRule>
    <cfRule type="containsText" priority="612" operator="containsText" text="Branco">
      <formula>NOT(ISERROR(SEARCH("Branco",M92)))</formula>
    </cfRule>
    <cfRule type="containsText" dxfId="2960" priority="613" operator="containsText" text="Bege">
      <formula>NOT(ISERROR(SEARCH("Bege",M92)))</formula>
    </cfRule>
  </conditionalFormatting>
  <conditionalFormatting sqref="M92">
    <cfRule type="containsText" dxfId="2959" priority="596" operator="containsText" text="Cinza">
      <formula>NOT(ISERROR(SEARCH("Cinza",M92)))</formula>
    </cfRule>
    <cfRule type="containsText" dxfId="2958" priority="597" operator="containsText" text="Púrpura">
      <formula>NOT(ISERROR(SEARCH("Púrpura",M92)))</formula>
    </cfRule>
    <cfRule type="containsText" dxfId="2957" priority="598" operator="containsText" text="Rosa">
      <formula>NOT(ISERROR(SEARCH("Rosa",M92)))</formula>
    </cfRule>
    <cfRule type="containsText" dxfId="2956" priority="599" operator="containsText" text="Castanho">
      <formula>NOT(ISERROR(SEARCH("Castanho",M92)))</formula>
    </cfRule>
    <cfRule type="containsText" dxfId="2955" priority="600" operator="containsText" text="Verde Água">
      <formula>NOT(ISERROR(SEARCH("Verde Água",M92)))</formula>
    </cfRule>
    <cfRule type="containsText" dxfId="2954" priority="601" operator="containsText" text="Azul Petróleo">
      <formula>NOT(ISERROR(SEARCH("Azul Petróleo",M92)))</formula>
    </cfRule>
    <cfRule type="containsText" dxfId="2953" priority="602" operator="containsText" text="Preto">
      <formula>NOT(ISERROR(SEARCH("Preto",M92)))</formula>
    </cfRule>
    <cfRule type="containsText" priority="603" operator="containsText" text="Branco">
      <formula>NOT(ISERROR(SEARCH("Branco",M92)))</formula>
    </cfRule>
    <cfRule type="containsText" dxfId="2952" priority="604" operator="containsText" text="Bege">
      <formula>NOT(ISERROR(SEARCH("Bege",M92)))</formula>
    </cfRule>
  </conditionalFormatting>
  <conditionalFormatting sqref="M92">
    <cfRule type="containsText" dxfId="2951" priority="587" operator="containsText" text="Cinza">
      <formula>NOT(ISERROR(SEARCH("Cinza",M92)))</formula>
    </cfRule>
    <cfRule type="containsText" dxfId="2950" priority="588" operator="containsText" text="Púrpura">
      <formula>NOT(ISERROR(SEARCH("Púrpura",M92)))</formula>
    </cfRule>
    <cfRule type="containsText" dxfId="2949" priority="589" operator="containsText" text="Rosa">
      <formula>NOT(ISERROR(SEARCH("Rosa",M92)))</formula>
    </cfRule>
    <cfRule type="containsText" dxfId="2948" priority="590" operator="containsText" text="Castanho">
      <formula>NOT(ISERROR(SEARCH("Castanho",M92)))</formula>
    </cfRule>
    <cfRule type="containsText" dxfId="2947" priority="591" operator="containsText" text="Verde Água">
      <formula>NOT(ISERROR(SEARCH("Verde Água",M92)))</formula>
    </cfRule>
    <cfRule type="containsText" dxfId="2946" priority="592" operator="containsText" text="Azul Petróleo">
      <formula>NOT(ISERROR(SEARCH("Azul Petróleo",M92)))</formula>
    </cfRule>
    <cfRule type="containsText" dxfId="2945" priority="593" operator="containsText" text="Preto">
      <formula>NOT(ISERROR(SEARCH("Preto",M92)))</formula>
    </cfRule>
    <cfRule type="containsText" priority="594" operator="containsText" text="Branco">
      <formula>NOT(ISERROR(SEARCH("Branco",M92)))</formula>
    </cfRule>
    <cfRule type="containsText" dxfId="2944" priority="595" operator="containsText" text="Bege">
      <formula>NOT(ISERROR(SEARCH("Bege",M92)))</formula>
    </cfRule>
  </conditionalFormatting>
  <conditionalFormatting sqref="M92">
    <cfRule type="containsText" dxfId="2943" priority="578" operator="containsText" text="Cinza">
      <formula>NOT(ISERROR(SEARCH("Cinza",M92)))</formula>
    </cfRule>
    <cfRule type="containsText" dxfId="2942" priority="579" operator="containsText" text="Púrpura">
      <formula>NOT(ISERROR(SEARCH("Púrpura",M92)))</formula>
    </cfRule>
    <cfRule type="containsText" dxfId="2941" priority="580" operator="containsText" text="Rosa">
      <formula>NOT(ISERROR(SEARCH("Rosa",M92)))</formula>
    </cfRule>
    <cfRule type="containsText" dxfId="2940" priority="581" operator="containsText" text="Castanho">
      <formula>NOT(ISERROR(SEARCH("Castanho",M92)))</formula>
    </cfRule>
    <cfRule type="containsText" dxfId="2939" priority="582" operator="containsText" text="Verde Água">
      <formula>NOT(ISERROR(SEARCH("Verde Água",M92)))</formula>
    </cfRule>
    <cfRule type="containsText" dxfId="2938" priority="583" operator="containsText" text="Azul Petróleo">
      <formula>NOT(ISERROR(SEARCH("Azul Petróleo",M92)))</formula>
    </cfRule>
    <cfRule type="containsText" dxfId="2937" priority="584" operator="containsText" text="Preto">
      <formula>NOT(ISERROR(SEARCH("Preto",M92)))</formula>
    </cfRule>
    <cfRule type="containsText" priority="585" operator="containsText" text="Branco">
      <formula>NOT(ISERROR(SEARCH("Branco",M92)))</formula>
    </cfRule>
    <cfRule type="containsText" dxfId="2936" priority="586" operator="containsText" text="Bege">
      <formula>NOT(ISERROR(SEARCH("Bege",M92)))</formula>
    </cfRule>
  </conditionalFormatting>
  <conditionalFormatting sqref="M92">
    <cfRule type="containsText" dxfId="2935" priority="569" operator="containsText" text="Cinza">
      <formula>NOT(ISERROR(SEARCH("Cinza",M92)))</formula>
    </cfRule>
    <cfRule type="containsText" dxfId="2934" priority="570" operator="containsText" text="Púrpura">
      <formula>NOT(ISERROR(SEARCH("Púrpura",M92)))</formula>
    </cfRule>
    <cfRule type="containsText" dxfId="2933" priority="571" operator="containsText" text="Rosa">
      <formula>NOT(ISERROR(SEARCH("Rosa",M92)))</formula>
    </cfRule>
    <cfRule type="containsText" dxfId="2932" priority="572" operator="containsText" text="Castanho">
      <formula>NOT(ISERROR(SEARCH("Castanho",M92)))</formula>
    </cfRule>
    <cfRule type="containsText" dxfId="2931" priority="573" operator="containsText" text="Verde Água">
      <formula>NOT(ISERROR(SEARCH("Verde Água",M92)))</formula>
    </cfRule>
    <cfRule type="containsText" dxfId="2930" priority="574" operator="containsText" text="Azul Petróleo">
      <formula>NOT(ISERROR(SEARCH("Azul Petróleo",M92)))</formula>
    </cfRule>
    <cfRule type="containsText" dxfId="2929" priority="575" operator="containsText" text="Preto">
      <formula>NOT(ISERROR(SEARCH("Preto",M92)))</formula>
    </cfRule>
    <cfRule type="containsText" priority="576" operator="containsText" text="Branco">
      <formula>NOT(ISERROR(SEARCH("Branco",M92)))</formula>
    </cfRule>
    <cfRule type="containsText" dxfId="2928" priority="577" operator="containsText" text="Bege">
      <formula>NOT(ISERROR(SEARCH("Bege",M92)))</formula>
    </cfRule>
  </conditionalFormatting>
  <conditionalFormatting sqref="M92">
    <cfRule type="containsText" dxfId="2927" priority="560" operator="containsText" text="Cinza">
      <formula>NOT(ISERROR(SEARCH("Cinza",M92)))</formula>
    </cfRule>
    <cfRule type="containsText" dxfId="2926" priority="561" operator="containsText" text="Púrpura">
      <formula>NOT(ISERROR(SEARCH("Púrpura",M92)))</formula>
    </cfRule>
    <cfRule type="containsText" dxfId="2925" priority="562" operator="containsText" text="Rosa">
      <formula>NOT(ISERROR(SEARCH("Rosa",M92)))</formula>
    </cfRule>
    <cfRule type="containsText" dxfId="2924" priority="563" operator="containsText" text="Castanho">
      <formula>NOT(ISERROR(SEARCH("Castanho",M92)))</formula>
    </cfRule>
    <cfRule type="containsText" dxfId="2923" priority="564" operator="containsText" text="Verde Água">
      <formula>NOT(ISERROR(SEARCH("Verde Água",M92)))</formula>
    </cfRule>
    <cfRule type="containsText" dxfId="2922" priority="565" operator="containsText" text="Azul Petróleo">
      <formula>NOT(ISERROR(SEARCH("Azul Petróleo",M92)))</formula>
    </cfRule>
    <cfRule type="containsText" dxfId="2921" priority="566" operator="containsText" text="Preto">
      <formula>NOT(ISERROR(SEARCH("Preto",M92)))</formula>
    </cfRule>
    <cfRule type="containsText" priority="567" operator="containsText" text="Branco">
      <formula>NOT(ISERROR(SEARCH("Branco",M92)))</formula>
    </cfRule>
    <cfRule type="containsText" dxfId="2920" priority="568" operator="containsText" text="Bege">
      <formula>NOT(ISERROR(SEARCH("Bege",M92)))</formula>
    </cfRule>
  </conditionalFormatting>
  <conditionalFormatting sqref="M92">
    <cfRule type="containsText" dxfId="2919" priority="551" operator="containsText" text="Cinza">
      <formula>NOT(ISERROR(SEARCH("Cinza",M92)))</formula>
    </cfRule>
    <cfRule type="containsText" dxfId="2918" priority="552" operator="containsText" text="Púrpura">
      <formula>NOT(ISERROR(SEARCH("Púrpura",M92)))</formula>
    </cfRule>
    <cfRule type="containsText" dxfId="2917" priority="553" operator="containsText" text="Rosa">
      <formula>NOT(ISERROR(SEARCH("Rosa",M92)))</formula>
    </cfRule>
    <cfRule type="containsText" dxfId="2916" priority="554" operator="containsText" text="Castanho">
      <formula>NOT(ISERROR(SEARCH("Castanho",M92)))</formula>
    </cfRule>
    <cfRule type="containsText" dxfId="2915" priority="555" operator="containsText" text="Verde Água">
      <formula>NOT(ISERROR(SEARCH("Verde Água",M92)))</formula>
    </cfRule>
    <cfRule type="containsText" dxfId="2914" priority="556" operator="containsText" text="Azul Petróleo">
      <formula>NOT(ISERROR(SEARCH("Azul Petróleo",M92)))</formula>
    </cfRule>
    <cfRule type="containsText" dxfId="2913" priority="557" operator="containsText" text="Preto">
      <formula>NOT(ISERROR(SEARCH("Preto",M92)))</formula>
    </cfRule>
    <cfRule type="containsText" priority="558" operator="containsText" text="Branco">
      <formula>NOT(ISERROR(SEARCH("Branco",M92)))</formula>
    </cfRule>
    <cfRule type="containsText" dxfId="2912" priority="559" operator="containsText" text="Bege">
      <formula>NOT(ISERROR(SEARCH("Bege",M92)))</formula>
    </cfRule>
  </conditionalFormatting>
  <conditionalFormatting sqref="M92">
    <cfRule type="containsText" dxfId="2911" priority="542" operator="containsText" text="Cinza">
      <formula>NOT(ISERROR(SEARCH("Cinza",M92)))</formula>
    </cfRule>
    <cfRule type="containsText" dxfId="2910" priority="543" operator="containsText" text="Púrpura">
      <formula>NOT(ISERROR(SEARCH("Púrpura",M92)))</formula>
    </cfRule>
    <cfRule type="containsText" dxfId="2909" priority="544" operator="containsText" text="Rosa">
      <formula>NOT(ISERROR(SEARCH("Rosa",M92)))</formula>
    </cfRule>
    <cfRule type="containsText" dxfId="2908" priority="545" operator="containsText" text="Castanho">
      <formula>NOT(ISERROR(SEARCH("Castanho",M92)))</formula>
    </cfRule>
    <cfRule type="containsText" dxfId="2907" priority="546" operator="containsText" text="Verde Água">
      <formula>NOT(ISERROR(SEARCH("Verde Água",M92)))</formula>
    </cfRule>
    <cfRule type="containsText" dxfId="2906" priority="547" operator="containsText" text="Azul Petróleo">
      <formula>NOT(ISERROR(SEARCH("Azul Petróleo",M92)))</formula>
    </cfRule>
    <cfRule type="containsText" dxfId="2905" priority="548" operator="containsText" text="Preto">
      <formula>NOT(ISERROR(SEARCH("Preto",M92)))</formula>
    </cfRule>
    <cfRule type="containsText" priority="549" operator="containsText" text="Branco">
      <formula>NOT(ISERROR(SEARCH("Branco",M92)))</formula>
    </cfRule>
    <cfRule type="containsText" dxfId="2904" priority="550" operator="containsText" text="Bege">
      <formula>NOT(ISERROR(SEARCH("Bege",M92)))</formula>
    </cfRule>
  </conditionalFormatting>
  <conditionalFormatting sqref="M92">
    <cfRule type="containsText" dxfId="2903" priority="533" operator="containsText" text="Cinza">
      <formula>NOT(ISERROR(SEARCH("Cinza",M92)))</formula>
    </cfRule>
    <cfRule type="containsText" dxfId="2902" priority="534" operator="containsText" text="Púrpura">
      <formula>NOT(ISERROR(SEARCH("Púrpura",M92)))</formula>
    </cfRule>
    <cfRule type="containsText" dxfId="2901" priority="535" operator="containsText" text="Rosa">
      <formula>NOT(ISERROR(SEARCH("Rosa",M92)))</formula>
    </cfRule>
    <cfRule type="containsText" dxfId="2900" priority="536" operator="containsText" text="Castanho">
      <formula>NOT(ISERROR(SEARCH("Castanho",M92)))</formula>
    </cfRule>
    <cfRule type="containsText" dxfId="2899" priority="537" operator="containsText" text="Verde Água">
      <formula>NOT(ISERROR(SEARCH("Verde Água",M92)))</formula>
    </cfRule>
    <cfRule type="containsText" dxfId="2898" priority="538" operator="containsText" text="Azul Petróleo">
      <formula>NOT(ISERROR(SEARCH("Azul Petróleo",M92)))</formula>
    </cfRule>
    <cfRule type="containsText" dxfId="2897" priority="539" operator="containsText" text="Preto">
      <formula>NOT(ISERROR(SEARCH("Preto",M92)))</formula>
    </cfRule>
    <cfRule type="containsText" priority="540" operator="containsText" text="Branco">
      <formula>NOT(ISERROR(SEARCH("Branco",M92)))</formula>
    </cfRule>
    <cfRule type="containsText" dxfId="2896" priority="541" operator="containsText" text="Bege">
      <formula>NOT(ISERROR(SEARCH("Bege",M92)))</formula>
    </cfRule>
  </conditionalFormatting>
  <conditionalFormatting sqref="M92">
    <cfRule type="containsText" dxfId="2895" priority="524" operator="containsText" text="Cinza">
      <formula>NOT(ISERROR(SEARCH("Cinza",M92)))</formula>
    </cfRule>
    <cfRule type="containsText" dxfId="2894" priority="525" operator="containsText" text="Púrpura">
      <formula>NOT(ISERROR(SEARCH("Púrpura",M92)))</formula>
    </cfRule>
    <cfRule type="containsText" dxfId="2893" priority="526" operator="containsText" text="Rosa">
      <formula>NOT(ISERROR(SEARCH("Rosa",M92)))</formula>
    </cfRule>
    <cfRule type="containsText" dxfId="2892" priority="527" operator="containsText" text="Castanho">
      <formula>NOT(ISERROR(SEARCH("Castanho",M92)))</formula>
    </cfRule>
    <cfRule type="containsText" dxfId="2891" priority="528" operator="containsText" text="Verde Água">
      <formula>NOT(ISERROR(SEARCH("Verde Água",M92)))</formula>
    </cfRule>
    <cfRule type="containsText" dxfId="2890" priority="529" operator="containsText" text="Azul Petróleo">
      <formula>NOT(ISERROR(SEARCH("Azul Petróleo",M92)))</formula>
    </cfRule>
    <cfRule type="containsText" dxfId="2889" priority="530" operator="containsText" text="Preto">
      <formula>NOT(ISERROR(SEARCH("Preto",M92)))</formula>
    </cfRule>
    <cfRule type="containsText" priority="531" operator="containsText" text="Branco">
      <formula>NOT(ISERROR(SEARCH("Branco",M92)))</formula>
    </cfRule>
    <cfRule type="containsText" dxfId="2888" priority="532" operator="containsText" text="Bege">
      <formula>NOT(ISERROR(SEARCH("Bege",M92)))</formula>
    </cfRule>
  </conditionalFormatting>
  <conditionalFormatting sqref="M92">
    <cfRule type="containsText" dxfId="2887" priority="515" operator="containsText" text="Cinza">
      <formula>NOT(ISERROR(SEARCH("Cinza",M92)))</formula>
    </cfRule>
    <cfRule type="containsText" dxfId="2886" priority="516" operator="containsText" text="Púrpura">
      <formula>NOT(ISERROR(SEARCH("Púrpura",M92)))</formula>
    </cfRule>
    <cfRule type="containsText" dxfId="2885" priority="517" operator="containsText" text="Rosa">
      <formula>NOT(ISERROR(SEARCH("Rosa",M92)))</formula>
    </cfRule>
    <cfRule type="containsText" dxfId="2884" priority="518" operator="containsText" text="Castanho">
      <formula>NOT(ISERROR(SEARCH("Castanho",M92)))</formula>
    </cfRule>
    <cfRule type="containsText" dxfId="2883" priority="519" operator="containsText" text="Verde Água">
      <formula>NOT(ISERROR(SEARCH("Verde Água",M92)))</formula>
    </cfRule>
    <cfRule type="containsText" dxfId="2882" priority="520" operator="containsText" text="Azul Petróleo">
      <formula>NOT(ISERROR(SEARCH("Azul Petróleo",M92)))</formula>
    </cfRule>
    <cfRule type="containsText" dxfId="2881" priority="521" operator="containsText" text="Preto">
      <formula>NOT(ISERROR(SEARCH("Preto",M92)))</formula>
    </cfRule>
    <cfRule type="containsText" priority="522" operator="containsText" text="Branco">
      <formula>NOT(ISERROR(SEARCH("Branco",M92)))</formula>
    </cfRule>
    <cfRule type="containsText" dxfId="2880" priority="523" operator="containsText" text="Bege">
      <formula>NOT(ISERROR(SEARCH("Bege",M92)))</formula>
    </cfRule>
  </conditionalFormatting>
  <conditionalFormatting sqref="M92">
    <cfRule type="containsText" dxfId="2879" priority="506" operator="containsText" text="Cinza">
      <formula>NOT(ISERROR(SEARCH("Cinza",M92)))</formula>
    </cfRule>
    <cfRule type="containsText" dxfId="2878" priority="507" operator="containsText" text="Púrpura">
      <formula>NOT(ISERROR(SEARCH("Púrpura",M92)))</formula>
    </cfRule>
    <cfRule type="containsText" dxfId="2877" priority="508" operator="containsText" text="Rosa">
      <formula>NOT(ISERROR(SEARCH("Rosa",M92)))</formula>
    </cfRule>
    <cfRule type="containsText" dxfId="2876" priority="509" operator="containsText" text="Castanho">
      <formula>NOT(ISERROR(SEARCH("Castanho",M92)))</formula>
    </cfRule>
    <cfRule type="containsText" dxfId="2875" priority="510" operator="containsText" text="Verde Água">
      <formula>NOT(ISERROR(SEARCH("Verde Água",M92)))</formula>
    </cfRule>
    <cfRule type="containsText" dxfId="2874" priority="511" operator="containsText" text="Azul Petróleo">
      <formula>NOT(ISERROR(SEARCH("Azul Petróleo",M92)))</formula>
    </cfRule>
    <cfRule type="containsText" dxfId="2873" priority="512" operator="containsText" text="Preto">
      <formula>NOT(ISERROR(SEARCH("Preto",M92)))</formula>
    </cfRule>
    <cfRule type="containsText" priority="513" operator="containsText" text="Branco">
      <formula>NOT(ISERROR(SEARCH("Branco",M92)))</formula>
    </cfRule>
    <cfRule type="containsText" dxfId="2872" priority="514" operator="containsText" text="Bege">
      <formula>NOT(ISERROR(SEARCH("Bege",M92)))</formula>
    </cfRule>
  </conditionalFormatting>
  <conditionalFormatting sqref="M92">
    <cfRule type="containsText" dxfId="2871" priority="497" operator="containsText" text="Cinza">
      <formula>NOT(ISERROR(SEARCH("Cinza",M92)))</formula>
    </cfRule>
    <cfRule type="containsText" dxfId="2870" priority="498" operator="containsText" text="Púrpura">
      <formula>NOT(ISERROR(SEARCH("Púrpura",M92)))</formula>
    </cfRule>
    <cfRule type="containsText" dxfId="2869" priority="499" operator="containsText" text="Rosa">
      <formula>NOT(ISERROR(SEARCH("Rosa",M92)))</formula>
    </cfRule>
    <cfRule type="containsText" dxfId="2868" priority="500" operator="containsText" text="Castanho">
      <formula>NOT(ISERROR(SEARCH("Castanho",M92)))</formula>
    </cfRule>
    <cfRule type="containsText" dxfId="2867" priority="501" operator="containsText" text="Verde Água">
      <formula>NOT(ISERROR(SEARCH("Verde Água",M92)))</formula>
    </cfRule>
    <cfRule type="containsText" dxfId="2866" priority="502" operator="containsText" text="Azul Petróleo">
      <formula>NOT(ISERROR(SEARCH("Azul Petróleo",M92)))</formula>
    </cfRule>
    <cfRule type="containsText" dxfId="2865" priority="503" operator="containsText" text="Preto">
      <formula>NOT(ISERROR(SEARCH("Preto",M92)))</formula>
    </cfRule>
    <cfRule type="containsText" priority="504" operator="containsText" text="Branco">
      <formula>NOT(ISERROR(SEARCH("Branco",M92)))</formula>
    </cfRule>
    <cfRule type="containsText" dxfId="2864" priority="505" operator="containsText" text="Bege">
      <formula>NOT(ISERROR(SEARCH("Bege",M92)))</formula>
    </cfRule>
  </conditionalFormatting>
  <conditionalFormatting sqref="M92">
    <cfRule type="containsText" dxfId="2863" priority="488" operator="containsText" text="Cinza">
      <formula>NOT(ISERROR(SEARCH("Cinza",M92)))</formula>
    </cfRule>
    <cfRule type="containsText" dxfId="2862" priority="489" operator="containsText" text="Púrpura">
      <formula>NOT(ISERROR(SEARCH("Púrpura",M92)))</formula>
    </cfRule>
    <cfRule type="containsText" dxfId="2861" priority="490" operator="containsText" text="Rosa">
      <formula>NOT(ISERROR(SEARCH("Rosa",M92)))</formula>
    </cfRule>
    <cfRule type="containsText" dxfId="2860" priority="491" operator="containsText" text="Castanho">
      <formula>NOT(ISERROR(SEARCH("Castanho",M92)))</formula>
    </cfRule>
    <cfRule type="containsText" dxfId="2859" priority="492" operator="containsText" text="Verde Água">
      <formula>NOT(ISERROR(SEARCH("Verde Água",M92)))</formula>
    </cfRule>
    <cfRule type="containsText" dxfId="2858" priority="493" operator="containsText" text="Azul Petróleo">
      <formula>NOT(ISERROR(SEARCH("Azul Petróleo",M92)))</formula>
    </cfRule>
    <cfRule type="containsText" dxfId="2857" priority="494" operator="containsText" text="Preto">
      <formula>NOT(ISERROR(SEARCH("Preto",M92)))</formula>
    </cfRule>
    <cfRule type="containsText" priority="495" operator="containsText" text="Branco">
      <formula>NOT(ISERROR(SEARCH("Branco",M92)))</formula>
    </cfRule>
    <cfRule type="containsText" dxfId="2856" priority="496" operator="containsText" text="Bege">
      <formula>NOT(ISERROR(SEARCH("Bege",M92)))</formula>
    </cfRule>
  </conditionalFormatting>
  <conditionalFormatting sqref="M92">
    <cfRule type="containsText" dxfId="2855" priority="479" operator="containsText" text="Cinza">
      <formula>NOT(ISERROR(SEARCH("Cinza",M92)))</formula>
    </cfRule>
    <cfRule type="containsText" dxfId="2854" priority="480" operator="containsText" text="Púrpura">
      <formula>NOT(ISERROR(SEARCH("Púrpura",M92)))</formula>
    </cfRule>
    <cfRule type="containsText" dxfId="2853" priority="481" operator="containsText" text="Rosa">
      <formula>NOT(ISERROR(SEARCH("Rosa",M92)))</formula>
    </cfRule>
    <cfRule type="containsText" dxfId="2852" priority="482" operator="containsText" text="Castanho">
      <formula>NOT(ISERROR(SEARCH("Castanho",M92)))</formula>
    </cfRule>
    <cfRule type="containsText" dxfId="2851" priority="483" operator="containsText" text="Verde Água">
      <formula>NOT(ISERROR(SEARCH("Verde Água",M92)))</formula>
    </cfRule>
    <cfRule type="containsText" dxfId="2850" priority="484" operator="containsText" text="Azul Petróleo">
      <formula>NOT(ISERROR(SEARCH("Azul Petróleo",M92)))</formula>
    </cfRule>
    <cfRule type="containsText" dxfId="2849" priority="485" operator="containsText" text="Preto">
      <formula>NOT(ISERROR(SEARCH("Preto",M92)))</formula>
    </cfRule>
    <cfRule type="containsText" priority="486" operator="containsText" text="Branco">
      <formula>NOT(ISERROR(SEARCH("Branco",M92)))</formula>
    </cfRule>
    <cfRule type="containsText" dxfId="2848" priority="487" operator="containsText" text="Bege">
      <formula>NOT(ISERROR(SEARCH("Bege",M92)))</formula>
    </cfRule>
  </conditionalFormatting>
  <conditionalFormatting sqref="M92">
    <cfRule type="containsText" dxfId="2847" priority="470" operator="containsText" text="Cinza">
      <formula>NOT(ISERROR(SEARCH("Cinza",M92)))</formula>
    </cfRule>
    <cfRule type="containsText" dxfId="2846" priority="471" operator="containsText" text="Púrpura">
      <formula>NOT(ISERROR(SEARCH("Púrpura",M92)))</formula>
    </cfRule>
    <cfRule type="containsText" dxfId="2845" priority="472" operator="containsText" text="Rosa">
      <formula>NOT(ISERROR(SEARCH("Rosa",M92)))</formula>
    </cfRule>
    <cfRule type="containsText" dxfId="2844" priority="473" operator="containsText" text="Castanho">
      <formula>NOT(ISERROR(SEARCH("Castanho",M92)))</formula>
    </cfRule>
    <cfRule type="containsText" dxfId="2843" priority="474" operator="containsText" text="Verde Água">
      <formula>NOT(ISERROR(SEARCH("Verde Água",M92)))</formula>
    </cfRule>
    <cfRule type="containsText" dxfId="2842" priority="475" operator="containsText" text="Azul Petróleo">
      <formula>NOT(ISERROR(SEARCH("Azul Petróleo",M92)))</formula>
    </cfRule>
    <cfRule type="containsText" dxfId="2841" priority="476" operator="containsText" text="Preto">
      <formula>NOT(ISERROR(SEARCH("Preto",M92)))</formula>
    </cfRule>
    <cfRule type="containsText" priority="477" operator="containsText" text="Branco">
      <formula>NOT(ISERROR(SEARCH("Branco",M92)))</formula>
    </cfRule>
    <cfRule type="containsText" dxfId="2840" priority="478" operator="containsText" text="Bege">
      <formula>NOT(ISERROR(SEARCH("Bege",M92)))</formula>
    </cfRule>
  </conditionalFormatting>
  <conditionalFormatting sqref="M92">
    <cfRule type="containsText" dxfId="2839" priority="461" operator="containsText" text="Cinza">
      <formula>NOT(ISERROR(SEARCH("Cinza",M92)))</formula>
    </cfRule>
    <cfRule type="containsText" dxfId="2838" priority="462" operator="containsText" text="Púrpura">
      <formula>NOT(ISERROR(SEARCH("Púrpura",M92)))</formula>
    </cfRule>
    <cfRule type="containsText" dxfId="2837" priority="463" operator="containsText" text="Rosa">
      <formula>NOT(ISERROR(SEARCH("Rosa",M92)))</formula>
    </cfRule>
    <cfRule type="containsText" dxfId="2836" priority="464" operator="containsText" text="Castanho">
      <formula>NOT(ISERROR(SEARCH("Castanho",M92)))</formula>
    </cfRule>
    <cfRule type="containsText" dxfId="2835" priority="465" operator="containsText" text="Verde Água">
      <formula>NOT(ISERROR(SEARCH("Verde Água",M92)))</formula>
    </cfRule>
    <cfRule type="containsText" dxfId="2834" priority="466" operator="containsText" text="Azul Petróleo">
      <formula>NOT(ISERROR(SEARCH("Azul Petróleo",M92)))</formula>
    </cfRule>
    <cfRule type="containsText" dxfId="2833" priority="467" operator="containsText" text="Preto">
      <formula>NOT(ISERROR(SEARCH("Preto",M92)))</formula>
    </cfRule>
    <cfRule type="containsText" priority="468" operator="containsText" text="Branco">
      <formula>NOT(ISERROR(SEARCH("Branco",M92)))</formula>
    </cfRule>
    <cfRule type="containsText" dxfId="2832" priority="469" operator="containsText" text="Bege">
      <formula>NOT(ISERROR(SEARCH("Bege",M92)))</formula>
    </cfRule>
  </conditionalFormatting>
  <conditionalFormatting sqref="M92">
    <cfRule type="containsText" dxfId="2831" priority="452" operator="containsText" text="Cinza">
      <formula>NOT(ISERROR(SEARCH("Cinza",M92)))</formula>
    </cfRule>
    <cfRule type="containsText" dxfId="2830" priority="453" operator="containsText" text="Púrpura">
      <formula>NOT(ISERROR(SEARCH("Púrpura",M92)))</formula>
    </cfRule>
    <cfRule type="containsText" dxfId="2829" priority="454" operator="containsText" text="Rosa">
      <formula>NOT(ISERROR(SEARCH("Rosa",M92)))</formula>
    </cfRule>
    <cfRule type="containsText" dxfId="2828" priority="455" operator="containsText" text="Castanho">
      <formula>NOT(ISERROR(SEARCH("Castanho",M92)))</formula>
    </cfRule>
    <cfRule type="containsText" dxfId="2827" priority="456" operator="containsText" text="Verde Água">
      <formula>NOT(ISERROR(SEARCH("Verde Água",M92)))</formula>
    </cfRule>
    <cfRule type="containsText" dxfId="2826" priority="457" operator="containsText" text="Azul Petróleo">
      <formula>NOT(ISERROR(SEARCH("Azul Petróleo",M92)))</formula>
    </cfRule>
    <cfRule type="containsText" dxfId="2825" priority="458" operator="containsText" text="Preto">
      <formula>NOT(ISERROR(SEARCH("Preto",M92)))</formula>
    </cfRule>
    <cfRule type="containsText" priority="459" operator="containsText" text="Branco">
      <formula>NOT(ISERROR(SEARCH("Branco",M92)))</formula>
    </cfRule>
    <cfRule type="containsText" dxfId="2824" priority="460" operator="containsText" text="Bege">
      <formula>NOT(ISERROR(SEARCH("Bege",M92)))</formula>
    </cfRule>
  </conditionalFormatting>
  <conditionalFormatting sqref="M92">
    <cfRule type="containsText" dxfId="2823" priority="443" operator="containsText" text="Cinza">
      <formula>NOT(ISERROR(SEARCH("Cinza",M92)))</formula>
    </cfRule>
    <cfRule type="containsText" dxfId="2822" priority="444" operator="containsText" text="Púrpura">
      <formula>NOT(ISERROR(SEARCH("Púrpura",M92)))</formula>
    </cfRule>
    <cfRule type="containsText" dxfId="2821" priority="445" operator="containsText" text="Rosa">
      <formula>NOT(ISERROR(SEARCH("Rosa",M92)))</formula>
    </cfRule>
    <cfRule type="containsText" dxfId="2820" priority="446" operator="containsText" text="Castanho">
      <formula>NOT(ISERROR(SEARCH("Castanho",M92)))</formula>
    </cfRule>
    <cfRule type="containsText" dxfId="2819" priority="447" operator="containsText" text="Verde Água">
      <formula>NOT(ISERROR(SEARCH("Verde Água",M92)))</formula>
    </cfRule>
    <cfRule type="containsText" dxfId="2818" priority="448" operator="containsText" text="Azul Petróleo">
      <formula>NOT(ISERROR(SEARCH("Azul Petróleo",M92)))</formula>
    </cfRule>
    <cfRule type="containsText" dxfId="2817" priority="449" operator="containsText" text="Preto">
      <formula>NOT(ISERROR(SEARCH("Preto",M92)))</formula>
    </cfRule>
    <cfRule type="containsText" priority="450" operator="containsText" text="Branco">
      <formula>NOT(ISERROR(SEARCH("Branco",M92)))</formula>
    </cfRule>
    <cfRule type="containsText" dxfId="2816" priority="451" operator="containsText" text="Bege">
      <formula>NOT(ISERROR(SEARCH("Bege",M92)))</formula>
    </cfRule>
  </conditionalFormatting>
  <conditionalFormatting sqref="M92">
    <cfRule type="containsText" dxfId="2815" priority="434" operator="containsText" text="Cinza">
      <formula>NOT(ISERROR(SEARCH("Cinza",M92)))</formula>
    </cfRule>
    <cfRule type="containsText" dxfId="2814" priority="435" operator="containsText" text="Púrpura">
      <formula>NOT(ISERROR(SEARCH("Púrpura",M92)))</formula>
    </cfRule>
    <cfRule type="containsText" dxfId="2813" priority="436" operator="containsText" text="Rosa">
      <formula>NOT(ISERROR(SEARCH("Rosa",M92)))</formula>
    </cfRule>
    <cfRule type="containsText" dxfId="2812" priority="437" operator="containsText" text="Castanho">
      <formula>NOT(ISERROR(SEARCH("Castanho",M92)))</formula>
    </cfRule>
    <cfRule type="containsText" dxfId="2811" priority="438" operator="containsText" text="Verde Água">
      <formula>NOT(ISERROR(SEARCH("Verde Água",M92)))</formula>
    </cfRule>
    <cfRule type="containsText" dxfId="2810" priority="439" operator="containsText" text="Azul Petróleo">
      <formula>NOT(ISERROR(SEARCH("Azul Petróleo",M92)))</formula>
    </cfRule>
    <cfRule type="containsText" dxfId="2809" priority="440" operator="containsText" text="Preto">
      <formula>NOT(ISERROR(SEARCH("Preto",M92)))</formula>
    </cfRule>
    <cfRule type="containsText" priority="441" operator="containsText" text="Branco">
      <formula>NOT(ISERROR(SEARCH("Branco",M92)))</formula>
    </cfRule>
    <cfRule type="containsText" dxfId="2808" priority="442" operator="containsText" text="Bege">
      <formula>NOT(ISERROR(SEARCH("Bege",M92)))</formula>
    </cfRule>
  </conditionalFormatting>
  <conditionalFormatting sqref="M92">
    <cfRule type="containsText" dxfId="2807" priority="425" operator="containsText" text="Escuro">
      <formula>NOT(ISERROR(SEARCH("Escuro",M92)))</formula>
    </cfRule>
    <cfRule type="containsText" dxfId="2806" priority="426" operator="containsText" text="Cinza">
      <formula>NOT(ISERROR(SEARCH("Cinza",M92)))</formula>
    </cfRule>
    <cfRule type="containsText" dxfId="2805" priority="427" operator="containsText" text="Púrpura">
      <formula>NOT(ISERROR(SEARCH("Púrpura",M92)))</formula>
    </cfRule>
    <cfRule type="containsText" dxfId="2804" priority="428" operator="containsText" text="Rosa">
      <formula>NOT(ISERROR(SEARCH("Rosa",M92)))</formula>
    </cfRule>
    <cfRule type="containsText" dxfId="2803" priority="429" operator="containsText" text="Castanho">
      <formula>NOT(ISERROR(SEARCH("Castanho",M92)))</formula>
    </cfRule>
    <cfRule type="containsText" dxfId="2802" priority="430" operator="containsText" text="Verde Água">
      <formula>NOT(ISERROR(SEARCH("Verde Água",M92)))</formula>
    </cfRule>
    <cfRule type="containsText" dxfId="2801" priority="431" operator="containsText" text="Azul Petróleo">
      <formula>NOT(ISERROR(SEARCH("Azul Petróleo",M92)))</formula>
    </cfRule>
    <cfRule type="containsText" dxfId="2800" priority="432" operator="containsText" text="Preto">
      <formula>NOT(ISERROR(SEARCH("Preto",M92)))</formula>
    </cfRule>
    <cfRule type="containsText" priority="433" operator="containsText" text="Branco">
      <formula>NOT(ISERROR(SEARCH("Branco",M92)))</formula>
    </cfRule>
  </conditionalFormatting>
  <conditionalFormatting sqref="M92">
    <cfRule type="containsText" dxfId="2799" priority="415" operator="containsText" text="Escuro">
      <formula>NOT(ISERROR(SEARCH("Escuro",M92)))</formula>
    </cfRule>
    <cfRule type="containsText" dxfId="2798" priority="416" operator="containsText" text="Cinza">
      <formula>NOT(ISERROR(SEARCH("Cinza",M92)))</formula>
    </cfRule>
    <cfRule type="containsText" dxfId="2797" priority="417" operator="containsText" text="Púrpura">
      <formula>NOT(ISERROR(SEARCH("Púrpura",M92)))</formula>
    </cfRule>
    <cfRule type="containsText" dxfId="2796" priority="418" operator="containsText" text="Rosa">
      <formula>NOT(ISERROR(SEARCH("Rosa",M92)))</formula>
    </cfRule>
    <cfRule type="containsText" dxfId="2795" priority="419" operator="containsText" text="Castanho">
      <formula>NOT(ISERROR(SEARCH("Castanho",M92)))</formula>
    </cfRule>
    <cfRule type="containsText" dxfId="2794" priority="420" operator="containsText" text="Verde Água">
      <formula>NOT(ISERROR(SEARCH("Verde Água",M92)))</formula>
    </cfRule>
    <cfRule type="containsText" dxfId="2793" priority="421" operator="containsText" text="Azul Petróleo">
      <formula>NOT(ISERROR(SEARCH("Azul Petróleo",M92)))</formula>
    </cfRule>
    <cfRule type="containsText" dxfId="2792" priority="422" operator="containsText" text="Preto">
      <formula>NOT(ISERROR(SEARCH("Preto",M92)))</formula>
    </cfRule>
    <cfRule type="containsText" priority="423" operator="containsText" text="Branco">
      <formula>NOT(ISERROR(SEARCH("Branco",M92)))</formula>
    </cfRule>
    <cfRule type="containsText" dxfId="2791" priority="424" operator="containsText" text="Bege">
      <formula>NOT(ISERROR(SEARCH("Bege",M92)))</formula>
    </cfRule>
  </conditionalFormatting>
  <conditionalFormatting sqref="M92">
    <cfRule type="containsText" dxfId="2790" priority="406" operator="containsText" text="Cinza">
      <formula>NOT(ISERROR(SEARCH("Cinza",M92)))</formula>
    </cfRule>
    <cfRule type="containsText" dxfId="2789" priority="407" operator="containsText" text="Púrpura">
      <formula>NOT(ISERROR(SEARCH("Púrpura",M92)))</formula>
    </cfRule>
    <cfRule type="containsText" dxfId="2788" priority="408" operator="containsText" text="Rosa">
      <formula>NOT(ISERROR(SEARCH("Rosa",M92)))</formula>
    </cfRule>
    <cfRule type="containsText" dxfId="2787" priority="409" operator="containsText" text="Castanho">
      <formula>NOT(ISERROR(SEARCH("Castanho",M92)))</formula>
    </cfRule>
    <cfRule type="containsText" dxfId="2786" priority="410" operator="containsText" text="Verde Água">
      <formula>NOT(ISERROR(SEARCH("Verde Água",M92)))</formula>
    </cfRule>
    <cfRule type="containsText" dxfId="2785" priority="411" operator="containsText" text="Azul Petróleo">
      <formula>NOT(ISERROR(SEARCH("Azul Petróleo",M92)))</formula>
    </cfRule>
    <cfRule type="containsText" dxfId="2784" priority="412" operator="containsText" text="Preto">
      <formula>NOT(ISERROR(SEARCH("Preto",M92)))</formula>
    </cfRule>
    <cfRule type="containsText" priority="413" operator="containsText" text="Branco">
      <formula>NOT(ISERROR(SEARCH("Branco",M92)))</formula>
    </cfRule>
    <cfRule type="containsText" dxfId="2783" priority="414" operator="containsText" text="Bege">
      <formula>NOT(ISERROR(SEARCH("Bege",M92)))</formula>
    </cfRule>
  </conditionalFormatting>
  <conditionalFormatting sqref="M92">
    <cfRule type="containsText" dxfId="2782" priority="397" operator="containsText" text="Cinza">
      <formula>NOT(ISERROR(SEARCH("Cinza",M92)))</formula>
    </cfRule>
    <cfRule type="containsText" dxfId="2781" priority="398" operator="containsText" text="Púrpura">
      <formula>NOT(ISERROR(SEARCH("Púrpura",M92)))</formula>
    </cfRule>
    <cfRule type="containsText" dxfId="2780" priority="399" operator="containsText" text="Rosa">
      <formula>NOT(ISERROR(SEARCH("Rosa",M92)))</formula>
    </cfRule>
    <cfRule type="containsText" dxfId="2779" priority="400" operator="containsText" text="Castanho">
      <formula>NOT(ISERROR(SEARCH("Castanho",M92)))</formula>
    </cfRule>
    <cfRule type="containsText" dxfId="2778" priority="401" operator="containsText" text="Verde Água">
      <formula>NOT(ISERROR(SEARCH("Verde Água",M92)))</formula>
    </cfRule>
    <cfRule type="containsText" dxfId="2777" priority="402" operator="containsText" text="Azul Petróleo">
      <formula>NOT(ISERROR(SEARCH("Azul Petróleo",M92)))</formula>
    </cfRule>
    <cfRule type="containsText" dxfId="2776" priority="403" operator="containsText" text="Preto">
      <formula>NOT(ISERROR(SEARCH("Preto",M92)))</formula>
    </cfRule>
    <cfRule type="containsText" priority="404" operator="containsText" text="Branco">
      <formula>NOT(ISERROR(SEARCH("Branco",M92)))</formula>
    </cfRule>
    <cfRule type="containsText" dxfId="2775" priority="405" operator="containsText" text="Bege">
      <formula>NOT(ISERROR(SEARCH("Bege",M92)))</formula>
    </cfRule>
  </conditionalFormatting>
  <conditionalFormatting sqref="M92">
    <cfRule type="containsText" dxfId="2774" priority="388" operator="containsText" text="Cinza">
      <formula>NOT(ISERROR(SEARCH("Cinza",M92)))</formula>
    </cfRule>
    <cfRule type="containsText" dxfId="2773" priority="389" operator="containsText" text="Púrpura">
      <formula>NOT(ISERROR(SEARCH("Púrpura",M92)))</formula>
    </cfRule>
    <cfRule type="containsText" dxfId="2772" priority="390" operator="containsText" text="Rosa">
      <formula>NOT(ISERROR(SEARCH("Rosa",M92)))</formula>
    </cfRule>
    <cfRule type="containsText" dxfId="2771" priority="391" operator="containsText" text="Castanho">
      <formula>NOT(ISERROR(SEARCH("Castanho",M92)))</formula>
    </cfRule>
    <cfRule type="containsText" dxfId="2770" priority="392" operator="containsText" text="Verde Água">
      <formula>NOT(ISERROR(SEARCH("Verde Água",M92)))</formula>
    </cfRule>
    <cfRule type="containsText" dxfId="2769" priority="393" operator="containsText" text="Azul Petróleo">
      <formula>NOT(ISERROR(SEARCH("Azul Petróleo",M92)))</formula>
    </cfRule>
    <cfRule type="containsText" dxfId="2768" priority="394" operator="containsText" text="Preto">
      <formula>NOT(ISERROR(SEARCH("Preto",M92)))</formula>
    </cfRule>
    <cfRule type="containsText" priority="395" operator="containsText" text="Branco">
      <formula>NOT(ISERROR(SEARCH("Branco",M92)))</formula>
    </cfRule>
    <cfRule type="containsText" dxfId="2767" priority="396" operator="containsText" text="Bege">
      <formula>NOT(ISERROR(SEARCH("Bege",M92)))</formula>
    </cfRule>
  </conditionalFormatting>
  <conditionalFormatting sqref="M92">
    <cfRule type="containsText" dxfId="2766" priority="379" operator="containsText" text="Cinza">
      <formula>NOT(ISERROR(SEARCH("Cinza",M92)))</formula>
    </cfRule>
    <cfRule type="containsText" dxfId="2765" priority="380" operator="containsText" text="Púrpura">
      <formula>NOT(ISERROR(SEARCH("Púrpura",M92)))</formula>
    </cfRule>
    <cfRule type="containsText" dxfId="2764" priority="381" operator="containsText" text="Rosa">
      <formula>NOT(ISERROR(SEARCH("Rosa",M92)))</formula>
    </cfRule>
    <cfRule type="containsText" dxfId="2763" priority="382" operator="containsText" text="Castanho">
      <formula>NOT(ISERROR(SEARCH("Castanho",M92)))</formula>
    </cfRule>
    <cfRule type="containsText" dxfId="2762" priority="383" operator="containsText" text="Verde Água">
      <formula>NOT(ISERROR(SEARCH("Verde Água",M92)))</formula>
    </cfRule>
    <cfRule type="containsText" dxfId="2761" priority="384" operator="containsText" text="Azul Petróleo">
      <formula>NOT(ISERROR(SEARCH("Azul Petróleo",M92)))</formula>
    </cfRule>
    <cfRule type="containsText" dxfId="2760" priority="385" operator="containsText" text="Preto">
      <formula>NOT(ISERROR(SEARCH("Preto",M92)))</formula>
    </cfRule>
    <cfRule type="containsText" priority="386" operator="containsText" text="Branco">
      <formula>NOT(ISERROR(SEARCH("Branco",M92)))</formula>
    </cfRule>
    <cfRule type="containsText" dxfId="2759" priority="387" operator="containsText" text="Bege">
      <formula>NOT(ISERROR(SEARCH("Bege",M92)))</formula>
    </cfRule>
  </conditionalFormatting>
  <conditionalFormatting sqref="M92">
    <cfRule type="containsText" dxfId="2758" priority="370" operator="containsText" text="Cinza">
      <formula>NOT(ISERROR(SEARCH("Cinza",M92)))</formula>
    </cfRule>
    <cfRule type="containsText" dxfId="2757" priority="371" operator="containsText" text="Púrpura">
      <formula>NOT(ISERROR(SEARCH("Púrpura",M92)))</formula>
    </cfRule>
    <cfRule type="containsText" dxfId="2756" priority="372" operator="containsText" text="Rosa">
      <formula>NOT(ISERROR(SEARCH("Rosa",M92)))</formula>
    </cfRule>
    <cfRule type="containsText" dxfId="2755" priority="373" operator="containsText" text="Castanho">
      <formula>NOT(ISERROR(SEARCH("Castanho",M92)))</formula>
    </cfRule>
    <cfRule type="containsText" dxfId="2754" priority="374" operator="containsText" text="Verde Água">
      <formula>NOT(ISERROR(SEARCH("Verde Água",M92)))</formula>
    </cfRule>
    <cfRule type="containsText" dxfId="2753" priority="375" operator="containsText" text="Azul Petróleo">
      <formula>NOT(ISERROR(SEARCH("Azul Petróleo",M92)))</formula>
    </cfRule>
    <cfRule type="containsText" dxfId="2752" priority="376" operator="containsText" text="Preto">
      <formula>NOT(ISERROR(SEARCH("Preto",M92)))</formula>
    </cfRule>
    <cfRule type="containsText" priority="377" operator="containsText" text="Branco">
      <formula>NOT(ISERROR(SEARCH("Branco",M92)))</formula>
    </cfRule>
    <cfRule type="containsText" dxfId="2751" priority="378" operator="containsText" text="Bege">
      <formula>NOT(ISERROR(SEARCH("Bege",M92)))</formula>
    </cfRule>
  </conditionalFormatting>
  <conditionalFormatting sqref="M92">
    <cfRule type="containsText" dxfId="2750" priority="361" operator="containsText" text="Cinza">
      <formula>NOT(ISERROR(SEARCH("Cinza",M92)))</formula>
    </cfRule>
    <cfRule type="containsText" dxfId="2749" priority="362" operator="containsText" text="Púrpura">
      <formula>NOT(ISERROR(SEARCH("Púrpura",M92)))</formula>
    </cfRule>
    <cfRule type="containsText" dxfId="2748" priority="363" operator="containsText" text="Rosa">
      <formula>NOT(ISERROR(SEARCH("Rosa",M92)))</formula>
    </cfRule>
    <cfRule type="containsText" dxfId="2747" priority="364" operator="containsText" text="Castanho">
      <formula>NOT(ISERROR(SEARCH("Castanho",M92)))</formula>
    </cfRule>
    <cfRule type="containsText" dxfId="2746" priority="365" operator="containsText" text="Verde Água">
      <formula>NOT(ISERROR(SEARCH("Verde Água",M92)))</formula>
    </cfRule>
    <cfRule type="containsText" dxfId="2745" priority="366" operator="containsText" text="Azul Petróleo">
      <formula>NOT(ISERROR(SEARCH("Azul Petróleo",M92)))</formula>
    </cfRule>
    <cfRule type="containsText" dxfId="2744" priority="367" operator="containsText" text="Preto">
      <formula>NOT(ISERROR(SEARCH("Preto",M92)))</formula>
    </cfRule>
    <cfRule type="containsText" priority="368" operator="containsText" text="Branco">
      <formula>NOT(ISERROR(SEARCH("Branco",M92)))</formula>
    </cfRule>
    <cfRule type="containsText" dxfId="2743" priority="369" operator="containsText" text="Bege">
      <formula>NOT(ISERROR(SEARCH("Bege",M92)))</formula>
    </cfRule>
  </conditionalFormatting>
  <conditionalFormatting sqref="M92">
    <cfRule type="containsText" dxfId="2742" priority="352" operator="containsText" text="Cinza">
      <formula>NOT(ISERROR(SEARCH("Cinza",M92)))</formula>
    </cfRule>
    <cfRule type="containsText" dxfId="2741" priority="353" operator="containsText" text="Púrpura">
      <formula>NOT(ISERROR(SEARCH("Púrpura",M92)))</formula>
    </cfRule>
    <cfRule type="containsText" dxfId="2740" priority="354" operator="containsText" text="Rosa">
      <formula>NOT(ISERROR(SEARCH("Rosa",M92)))</formula>
    </cfRule>
    <cfRule type="containsText" dxfId="2739" priority="355" operator="containsText" text="Castanho">
      <formula>NOT(ISERROR(SEARCH("Castanho",M92)))</formula>
    </cfRule>
    <cfRule type="containsText" dxfId="2738" priority="356" operator="containsText" text="Verde Água">
      <formula>NOT(ISERROR(SEARCH("Verde Água",M92)))</formula>
    </cfRule>
    <cfRule type="containsText" dxfId="2737" priority="357" operator="containsText" text="Azul Petróleo">
      <formula>NOT(ISERROR(SEARCH("Azul Petróleo",M92)))</formula>
    </cfRule>
    <cfRule type="containsText" dxfId="2736" priority="358" operator="containsText" text="Preto">
      <formula>NOT(ISERROR(SEARCH("Preto",M92)))</formula>
    </cfRule>
    <cfRule type="containsText" priority="359" operator="containsText" text="Branco">
      <formula>NOT(ISERROR(SEARCH("Branco",M92)))</formula>
    </cfRule>
    <cfRule type="containsText" dxfId="2735" priority="360" operator="containsText" text="Bege">
      <formula>NOT(ISERROR(SEARCH("Bege",M92)))</formula>
    </cfRule>
  </conditionalFormatting>
  <conditionalFormatting sqref="M92">
    <cfRule type="containsText" dxfId="2734" priority="343" operator="containsText" text="Cinza">
      <formula>NOT(ISERROR(SEARCH("Cinza",M92)))</formula>
    </cfRule>
    <cfRule type="containsText" dxfId="2733" priority="344" operator="containsText" text="Púrpura">
      <formula>NOT(ISERROR(SEARCH("Púrpura",M92)))</formula>
    </cfRule>
    <cfRule type="containsText" dxfId="2732" priority="345" operator="containsText" text="Rosa">
      <formula>NOT(ISERROR(SEARCH("Rosa",M92)))</formula>
    </cfRule>
    <cfRule type="containsText" dxfId="2731" priority="346" operator="containsText" text="Castanho">
      <formula>NOT(ISERROR(SEARCH("Castanho",M92)))</formula>
    </cfRule>
    <cfRule type="containsText" dxfId="2730" priority="347" operator="containsText" text="Verde Água">
      <formula>NOT(ISERROR(SEARCH("Verde Água",M92)))</formula>
    </cfRule>
    <cfRule type="containsText" dxfId="2729" priority="348" operator="containsText" text="Azul Petróleo">
      <formula>NOT(ISERROR(SEARCH("Azul Petróleo",M92)))</formula>
    </cfRule>
    <cfRule type="containsText" dxfId="2728" priority="349" operator="containsText" text="Preto">
      <formula>NOT(ISERROR(SEARCH("Preto",M92)))</formula>
    </cfRule>
    <cfRule type="containsText" priority="350" operator="containsText" text="Branco">
      <formula>NOT(ISERROR(SEARCH("Branco",M92)))</formula>
    </cfRule>
    <cfRule type="containsText" dxfId="2727" priority="351" operator="containsText" text="Bege">
      <formula>NOT(ISERROR(SEARCH("Bege",M92)))</formula>
    </cfRule>
  </conditionalFormatting>
  <conditionalFormatting sqref="M92">
    <cfRule type="containsText" dxfId="2726" priority="334" operator="containsText" text="Cinza">
      <formula>NOT(ISERROR(SEARCH("Cinza",M92)))</formula>
    </cfRule>
    <cfRule type="containsText" dxfId="2725" priority="335" operator="containsText" text="Púrpura">
      <formula>NOT(ISERROR(SEARCH("Púrpura",M92)))</formula>
    </cfRule>
    <cfRule type="containsText" dxfId="2724" priority="336" operator="containsText" text="Rosa">
      <formula>NOT(ISERROR(SEARCH("Rosa",M92)))</formula>
    </cfRule>
    <cfRule type="containsText" dxfId="2723" priority="337" operator="containsText" text="Castanho">
      <formula>NOT(ISERROR(SEARCH("Castanho",M92)))</formula>
    </cfRule>
    <cfRule type="containsText" dxfId="2722" priority="338" operator="containsText" text="Verde Água">
      <formula>NOT(ISERROR(SEARCH("Verde Água",M92)))</formula>
    </cfRule>
    <cfRule type="containsText" dxfId="2721" priority="339" operator="containsText" text="Azul Petróleo">
      <formula>NOT(ISERROR(SEARCH("Azul Petróleo",M92)))</formula>
    </cfRule>
    <cfRule type="containsText" dxfId="2720" priority="340" operator="containsText" text="Preto">
      <formula>NOT(ISERROR(SEARCH("Preto",M92)))</formula>
    </cfRule>
    <cfRule type="containsText" priority="341" operator="containsText" text="Branco">
      <formula>NOT(ISERROR(SEARCH("Branco",M92)))</formula>
    </cfRule>
    <cfRule type="containsText" dxfId="2719" priority="342" operator="containsText" text="Bege">
      <formula>NOT(ISERROR(SEARCH("Bege",M92)))</formula>
    </cfRule>
  </conditionalFormatting>
  <conditionalFormatting sqref="M92">
    <cfRule type="containsText" dxfId="2718" priority="325" operator="containsText" text="Cinza">
      <formula>NOT(ISERROR(SEARCH("Cinza",M92)))</formula>
    </cfRule>
    <cfRule type="containsText" dxfId="2717" priority="326" operator="containsText" text="Púrpura">
      <formula>NOT(ISERROR(SEARCH("Púrpura",M92)))</formula>
    </cfRule>
    <cfRule type="containsText" dxfId="2716" priority="327" operator="containsText" text="Rosa">
      <formula>NOT(ISERROR(SEARCH("Rosa",M92)))</formula>
    </cfRule>
    <cfRule type="containsText" dxfId="2715" priority="328" operator="containsText" text="Castanho">
      <formula>NOT(ISERROR(SEARCH("Castanho",M92)))</formula>
    </cfRule>
    <cfRule type="containsText" dxfId="2714" priority="329" operator="containsText" text="Verde Água">
      <formula>NOT(ISERROR(SEARCH("Verde Água",M92)))</formula>
    </cfRule>
    <cfRule type="containsText" dxfId="2713" priority="330" operator="containsText" text="Azul Petróleo">
      <formula>NOT(ISERROR(SEARCH("Azul Petróleo",M92)))</formula>
    </cfRule>
    <cfRule type="containsText" dxfId="2712" priority="331" operator="containsText" text="Preto">
      <formula>NOT(ISERROR(SEARCH("Preto",M92)))</formula>
    </cfRule>
    <cfRule type="containsText" priority="332" operator="containsText" text="Branco">
      <formula>NOT(ISERROR(SEARCH("Branco",M92)))</formula>
    </cfRule>
    <cfRule type="containsText" dxfId="2711" priority="333" operator="containsText" text="Bege">
      <formula>NOT(ISERROR(SEARCH("Bege",M92)))</formula>
    </cfRule>
  </conditionalFormatting>
  <conditionalFormatting sqref="M92">
    <cfRule type="containsText" dxfId="2710" priority="316" operator="containsText" text="Cinza">
      <formula>NOT(ISERROR(SEARCH("Cinza",M92)))</formula>
    </cfRule>
    <cfRule type="containsText" dxfId="2709" priority="317" operator="containsText" text="Púrpura">
      <formula>NOT(ISERROR(SEARCH("Púrpura",M92)))</formula>
    </cfRule>
    <cfRule type="containsText" dxfId="2708" priority="318" operator="containsText" text="Rosa">
      <formula>NOT(ISERROR(SEARCH("Rosa",M92)))</formula>
    </cfRule>
    <cfRule type="containsText" dxfId="2707" priority="319" operator="containsText" text="Castanho">
      <formula>NOT(ISERROR(SEARCH("Castanho",M92)))</formula>
    </cfRule>
    <cfRule type="containsText" dxfId="2706" priority="320" operator="containsText" text="Verde Água">
      <formula>NOT(ISERROR(SEARCH("Verde Água",M92)))</formula>
    </cfRule>
    <cfRule type="containsText" dxfId="2705" priority="321" operator="containsText" text="Azul Petróleo">
      <formula>NOT(ISERROR(SEARCH("Azul Petróleo",M92)))</formula>
    </cfRule>
    <cfRule type="containsText" dxfId="2704" priority="322" operator="containsText" text="Preto">
      <formula>NOT(ISERROR(SEARCH("Preto",M92)))</formula>
    </cfRule>
    <cfRule type="containsText" priority="323" operator="containsText" text="Branco">
      <formula>NOT(ISERROR(SEARCH("Branco",M92)))</formula>
    </cfRule>
    <cfRule type="containsText" dxfId="2703" priority="324" operator="containsText" text="Bege">
      <formula>NOT(ISERROR(SEARCH("Bege",M92)))</formula>
    </cfRule>
  </conditionalFormatting>
  <conditionalFormatting sqref="M92">
    <cfRule type="containsText" dxfId="2702" priority="307" operator="containsText" text="Cinza">
      <formula>NOT(ISERROR(SEARCH("Cinza",M92)))</formula>
    </cfRule>
    <cfRule type="containsText" dxfId="2701" priority="308" operator="containsText" text="Púrpura">
      <formula>NOT(ISERROR(SEARCH("Púrpura",M92)))</formula>
    </cfRule>
    <cfRule type="containsText" dxfId="2700" priority="309" operator="containsText" text="Rosa">
      <formula>NOT(ISERROR(SEARCH("Rosa",M92)))</formula>
    </cfRule>
    <cfRule type="containsText" dxfId="2699" priority="310" operator="containsText" text="Castanho">
      <formula>NOT(ISERROR(SEARCH("Castanho",M92)))</formula>
    </cfRule>
    <cfRule type="containsText" dxfId="2698" priority="311" operator="containsText" text="Verde Água">
      <formula>NOT(ISERROR(SEARCH("Verde Água",M92)))</formula>
    </cfRule>
    <cfRule type="containsText" dxfId="2697" priority="312" operator="containsText" text="Azul Petróleo">
      <formula>NOT(ISERROR(SEARCH("Azul Petróleo",M92)))</formula>
    </cfRule>
    <cfRule type="containsText" dxfId="2696" priority="313" operator="containsText" text="Preto">
      <formula>NOT(ISERROR(SEARCH("Preto",M92)))</formula>
    </cfRule>
    <cfRule type="containsText" priority="314" operator="containsText" text="Branco">
      <formula>NOT(ISERROR(SEARCH("Branco",M92)))</formula>
    </cfRule>
    <cfRule type="containsText" dxfId="2695" priority="315" operator="containsText" text="Bege">
      <formula>NOT(ISERROR(SEARCH("Bege",M92)))</formula>
    </cfRule>
  </conditionalFormatting>
  <conditionalFormatting sqref="M92">
    <cfRule type="containsText" dxfId="2694" priority="298" operator="containsText" text="Cinza">
      <formula>NOT(ISERROR(SEARCH("Cinza",M92)))</formula>
    </cfRule>
    <cfRule type="containsText" dxfId="2693" priority="299" operator="containsText" text="Púrpura">
      <formula>NOT(ISERROR(SEARCH("Púrpura",M92)))</formula>
    </cfRule>
    <cfRule type="containsText" dxfId="2692" priority="300" operator="containsText" text="Rosa">
      <formula>NOT(ISERROR(SEARCH("Rosa",M92)))</formula>
    </cfRule>
    <cfRule type="containsText" dxfId="2691" priority="301" operator="containsText" text="Castanho">
      <formula>NOT(ISERROR(SEARCH("Castanho",M92)))</formula>
    </cfRule>
    <cfRule type="containsText" dxfId="2690" priority="302" operator="containsText" text="Verde Água">
      <formula>NOT(ISERROR(SEARCH("Verde Água",M92)))</formula>
    </cfRule>
    <cfRule type="containsText" dxfId="2689" priority="303" operator="containsText" text="Azul Petróleo">
      <formula>NOT(ISERROR(SEARCH("Azul Petróleo",M92)))</formula>
    </cfRule>
    <cfRule type="containsText" dxfId="2688" priority="304" operator="containsText" text="Preto">
      <formula>NOT(ISERROR(SEARCH("Preto",M92)))</formula>
    </cfRule>
    <cfRule type="containsText" priority="305" operator="containsText" text="Branco">
      <formula>NOT(ISERROR(SEARCH("Branco",M92)))</formula>
    </cfRule>
    <cfRule type="containsText" dxfId="2687" priority="306" operator="containsText" text="Bege">
      <formula>NOT(ISERROR(SEARCH("Bege",M92)))</formula>
    </cfRule>
  </conditionalFormatting>
  <conditionalFormatting sqref="M92">
    <cfRule type="containsText" dxfId="2686" priority="289" operator="containsText" text="Cinza">
      <formula>NOT(ISERROR(SEARCH("Cinza",M92)))</formula>
    </cfRule>
    <cfRule type="containsText" dxfId="2685" priority="290" operator="containsText" text="Púrpura">
      <formula>NOT(ISERROR(SEARCH("Púrpura",M92)))</formula>
    </cfRule>
    <cfRule type="containsText" dxfId="2684" priority="291" operator="containsText" text="Rosa">
      <formula>NOT(ISERROR(SEARCH("Rosa",M92)))</formula>
    </cfRule>
    <cfRule type="containsText" dxfId="2683" priority="292" operator="containsText" text="Castanho">
      <formula>NOT(ISERROR(SEARCH("Castanho",M92)))</formula>
    </cfRule>
    <cfRule type="containsText" dxfId="2682" priority="293" operator="containsText" text="Verde Água">
      <formula>NOT(ISERROR(SEARCH("Verde Água",M92)))</formula>
    </cfRule>
    <cfRule type="containsText" dxfId="2681" priority="294" operator="containsText" text="Azul Petróleo">
      <formula>NOT(ISERROR(SEARCH("Azul Petróleo",M92)))</formula>
    </cfRule>
    <cfRule type="containsText" dxfId="2680" priority="295" operator="containsText" text="Preto">
      <formula>NOT(ISERROR(SEARCH("Preto",M92)))</formula>
    </cfRule>
    <cfRule type="containsText" priority="296" operator="containsText" text="Branco">
      <formula>NOT(ISERROR(SEARCH("Branco",M92)))</formula>
    </cfRule>
    <cfRule type="containsText" dxfId="2679" priority="297" operator="containsText" text="Bege">
      <formula>NOT(ISERROR(SEARCH("Bege",M92)))</formula>
    </cfRule>
  </conditionalFormatting>
  <conditionalFormatting sqref="M92">
    <cfRule type="containsText" dxfId="2678" priority="280" operator="containsText" text="Cinza">
      <formula>NOT(ISERROR(SEARCH("Cinza",M92)))</formula>
    </cfRule>
    <cfRule type="containsText" dxfId="2677" priority="281" operator="containsText" text="Púrpura">
      <formula>NOT(ISERROR(SEARCH("Púrpura",M92)))</formula>
    </cfRule>
    <cfRule type="containsText" dxfId="2676" priority="282" operator="containsText" text="Rosa">
      <formula>NOT(ISERROR(SEARCH("Rosa",M92)))</formula>
    </cfRule>
    <cfRule type="containsText" dxfId="2675" priority="283" operator="containsText" text="Castanho">
      <formula>NOT(ISERROR(SEARCH("Castanho",M92)))</formula>
    </cfRule>
    <cfRule type="containsText" dxfId="2674" priority="284" operator="containsText" text="Verde Água">
      <formula>NOT(ISERROR(SEARCH("Verde Água",M92)))</formula>
    </cfRule>
    <cfRule type="containsText" dxfId="2673" priority="285" operator="containsText" text="Azul Petróleo">
      <formula>NOT(ISERROR(SEARCH("Azul Petróleo",M92)))</formula>
    </cfRule>
    <cfRule type="containsText" dxfId="2672" priority="286" operator="containsText" text="Preto">
      <formula>NOT(ISERROR(SEARCH("Preto",M92)))</formula>
    </cfRule>
    <cfRule type="containsText" priority="287" operator="containsText" text="Branco">
      <formula>NOT(ISERROR(SEARCH("Branco",M92)))</formula>
    </cfRule>
    <cfRule type="containsText" dxfId="2671" priority="288" operator="containsText" text="Bege">
      <formula>NOT(ISERROR(SEARCH("Bege",M92)))</formula>
    </cfRule>
  </conditionalFormatting>
  <conditionalFormatting sqref="M92">
    <cfRule type="containsText" dxfId="2670" priority="271" operator="containsText" text="Cinza">
      <formula>NOT(ISERROR(SEARCH("Cinza",M92)))</formula>
    </cfRule>
    <cfRule type="containsText" dxfId="2669" priority="272" operator="containsText" text="Púrpura">
      <formula>NOT(ISERROR(SEARCH("Púrpura",M92)))</formula>
    </cfRule>
    <cfRule type="containsText" dxfId="2668" priority="273" operator="containsText" text="Rosa">
      <formula>NOT(ISERROR(SEARCH("Rosa",M92)))</formula>
    </cfRule>
    <cfRule type="containsText" dxfId="2667" priority="274" operator="containsText" text="Castanho">
      <formula>NOT(ISERROR(SEARCH("Castanho",M92)))</formula>
    </cfRule>
    <cfRule type="containsText" dxfId="2666" priority="275" operator="containsText" text="Verde Água">
      <formula>NOT(ISERROR(SEARCH("Verde Água",M92)))</formula>
    </cfRule>
    <cfRule type="containsText" dxfId="2665" priority="276" operator="containsText" text="Azul Petróleo">
      <formula>NOT(ISERROR(SEARCH("Azul Petróleo",M92)))</formula>
    </cfRule>
    <cfRule type="containsText" dxfId="2664" priority="277" operator="containsText" text="Preto">
      <formula>NOT(ISERROR(SEARCH("Preto",M92)))</formula>
    </cfRule>
    <cfRule type="containsText" priority="278" operator="containsText" text="Branco">
      <formula>NOT(ISERROR(SEARCH("Branco",M92)))</formula>
    </cfRule>
    <cfRule type="containsText" dxfId="2663" priority="279" operator="containsText" text="Bege">
      <formula>NOT(ISERROR(SEARCH("Bege",M92)))</formula>
    </cfRule>
  </conditionalFormatting>
  <conditionalFormatting sqref="M92">
    <cfRule type="containsText" dxfId="2662" priority="262" operator="containsText" text="Cinza">
      <formula>NOT(ISERROR(SEARCH("Cinza",M92)))</formula>
    </cfRule>
    <cfRule type="containsText" dxfId="2661" priority="263" operator="containsText" text="Púrpura">
      <formula>NOT(ISERROR(SEARCH("Púrpura",M92)))</formula>
    </cfRule>
    <cfRule type="containsText" dxfId="2660" priority="264" operator="containsText" text="Rosa">
      <formula>NOT(ISERROR(SEARCH("Rosa",M92)))</formula>
    </cfRule>
    <cfRule type="containsText" dxfId="2659" priority="265" operator="containsText" text="Castanho">
      <formula>NOT(ISERROR(SEARCH("Castanho",M92)))</formula>
    </cfRule>
    <cfRule type="containsText" dxfId="2658" priority="266" operator="containsText" text="Verde Água">
      <formula>NOT(ISERROR(SEARCH("Verde Água",M92)))</formula>
    </cfRule>
    <cfRule type="containsText" dxfId="2657" priority="267" operator="containsText" text="Azul Petróleo">
      <formula>NOT(ISERROR(SEARCH("Azul Petróleo",M92)))</formula>
    </cfRule>
    <cfRule type="containsText" dxfId="2656" priority="268" operator="containsText" text="Preto">
      <formula>NOT(ISERROR(SEARCH("Preto",M92)))</formula>
    </cfRule>
    <cfRule type="containsText" priority="269" operator="containsText" text="Branco">
      <formula>NOT(ISERROR(SEARCH("Branco",M92)))</formula>
    </cfRule>
    <cfRule type="containsText" dxfId="2655" priority="270" operator="containsText" text="Bege">
      <formula>NOT(ISERROR(SEARCH("Bege",M92)))</formula>
    </cfRule>
  </conditionalFormatting>
  <conditionalFormatting sqref="M92">
    <cfRule type="containsText" dxfId="2654" priority="253" operator="containsText" text="Cinza">
      <formula>NOT(ISERROR(SEARCH("Cinza",M92)))</formula>
    </cfRule>
    <cfRule type="containsText" dxfId="2653" priority="254" operator="containsText" text="Púrpura">
      <formula>NOT(ISERROR(SEARCH("Púrpura",M92)))</formula>
    </cfRule>
    <cfRule type="containsText" dxfId="2652" priority="255" operator="containsText" text="Rosa">
      <formula>NOT(ISERROR(SEARCH("Rosa",M92)))</formula>
    </cfRule>
    <cfRule type="containsText" dxfId="2651" priority="256" operator="containsText" text="Castanho">
      <formula>NOT(ISERROR(SEARCH("Castanho",M92)))</formula>
    </cfRule>
    <cfRule type="containsText" dxfId="2650" priority="257" operator="containsText" text="Verde Água">
      <formula>NOT(ISERROR(SEARCH("Verde Água",M92)))</formula>
    </cfRule>
    <cfRule type="containsText" dxfId="2649" priority="258" operator="containsText" text="Azul Petróleo">
      <formula>NOT(ISERROR(SEARCH("Azul Petróleo",M92)))</formula>
    </cfRule>
    <cfRule type="containsText" dxfId="2648" priority="259" operator="containsText" text="Preto">
      <formula>NOT(ISERROR(SEARCH("Preto",M92)))</formula>
    </cfRule>
    <cfRule type="containsText" priority="260" operator="containsText" text="Branco">
      <formula>NOT(ISERROR(SEARCH("Branco",M92)))</formula>
    </cfRule>
    <cfRule type="containsText" dxfId="2647" priority="261" operator="containsText" text="Bege">
      <formula>NOT(ISERROR(SEARCH("Bege",M92)))</formula>
    </cfRule>
  </conditionalFormatting>
  <conditionalFormatting sqref="M92">
    <cfRule type="containsText" dxfId="2646" priority="244" operator="containsText" text="Cinza">
      <formula>NOT(ISERROR(SEARCH("Cinza",M92)))</formula>
    </cfRule>
    <cfRule type="containsText" dxfId="2645" priority="245" operator="containsText" text="Púrpura">
      <formula>NOT(ISERROR(SEARCH("Púrpura",M92)))</formula>
    </cfRule>
    <cfRule type="containsText" dxfId="2644" priority="246" operator="containsText" text="Rosa">
      <formula>NOT(ISERROR(SEARCH("Rosa",M92)))</formula>
    </cfRule>
    <cfRule type="containsText" dxfId="2643" priority="247" operator="containsText" text="Castanho">
      <formula>NOT(ISERROR(SEARCH("Castanho",M92)))</formula>
    </cfRule>
    <cfRule type="containsText" dxfId="2642" priority="248" operator="containsText" text="Verde Água">
      <formula>NOT(ISERROR(SEARCH("Verde Água",M92)))</formula>
    </cfRule>
    <cfRule type="containsText" dxfId="2641" priority="249" operator="containsText" text="Azul Petróleo">
      <formula>NOT(ISERROR(SEARCH("Azul Petróleo",M92)))</formula>
    </cfRule>
    <cfRule type="containsText" dxfId="2640" priority="250" operator="containsText" text="Preto">
      <formula>NOT(ISERROR(SEARCH("Preto",M92)))</formula>
    </cfRule>
    <cfRule type="containsText" priority="251" operator="containsText" text="Branco">
      <formula>NOT(ISERROR(SEARCH("Branco",M92)))</formula>
    </cfRule>
    <cfRule type="containsText" dxfId="2639" priority="252" operator="containsText" text="Bege">
      <formula>NOT(ISERROR(SEARCH("Bege",M92)))</formula>
    </cfRule>
  </conditionalFormatting>
  <conditionalFormatting sqref="M92">
    <cfRule type="containsText" dxfId="2638" priority="235" operator="containsText" text="Cinza">
      <formula>NOT(ISERROR(SEARCH("Cinza",M92)))</formula>
    </cfRule>
    <cfRule type="containsText" dxfId="2637" priority="236" operator="containsText" text="Púrpura">
      <formula>NOT(ISERROR(SEARCH("Púrpura",M92)))</formula>
    </cfRule>
    <cfRule type="containsText" dxfId="2636" priority="237" operator="containsText" text="Rosa">
      <formula>NOT(ISERROR(SEARCH("Rosa",M92)))</formula>
    </cfRule>
    <cfRule type="containsText" dxfId="2635" priority="238" operator="containsText" text="Castanho">
      <formula>NOT(ISERROR(SEARCH("Castanho",M92)))</formula>
    </cfRule>
    <cfRule type="containsText" dxfId="2634" priority="239" operator="containsText" text="Verde Água">
      <formula>NOT(ISERROR(SEARCH("Verde Água",M92)))</formula>
    </cfRule>
    <cfRule type="containsText" dxfId="2633" priority="240" operator="containsText" text="Azul Petróleo">
      <formula>NOT(ISERROR(SEARCH("Azul Petróleo",M92)))</formula>
    </cfRule>
    <cfRule type="containsText" dxfId="2632" priority="241" operator="containsText" text="Preto">
      <formula>NOT(ISERROR(SEARCH("Preto",M92)))</formula>
    </cfRule>
    <cfRule type="containsText" priority="242" operator="containsText" text="Branco">
      <formula>NOT(ISERROR(SEARCH("Branco",M92)))</formula>
    </cfRule>
    <cfRule type="containsText" dxfId="2631" priority="243" operator="containsText" text="Bege">
      <formula>NOT(ISERROR(SEARCH("Bege",M92)))</formula>
    </cfRule>
  </conditionalFormatting>
  <conditionalFormatting sqref="M92">
    <cfRule type="containsText" dxfId="2630" priority="226" operator="containsText" text="Cinza">
      <formula>NOT(ISERROR(SEARCH("Cinza",M92)))</formula>
    </cfRule>
    <cfRule type="containsText" dxfId="2629" priority="227" operator="containsText" text="Púrpura">
      <formula>NOT(ISERROR(SEARCH("Púrpura",M92)))</formula>
    </cfRule>
    <cfRule type="containsText" dxfId="2628" priority="228" operator="containsText" text="Rosa">
      <formula>NOT(ISERROR(SEARCH("Rosa",M92)))</formula>
    </cfRule>
    <cfRule type="containsText" dxfId="2627" priority="229" operator="containsText" text="Castanho">
      <formula>NOT(ISERROR(SEARCH("Castanho",M92)))</formula>
    </cfRule>
    <cfRule type="containsText" dxfId="2626" priority="230" operator="containsText" text="Verde Água">
      <formula>NOT(ISERROR(SEARCH("Verde Água",M92)))</formula>
    </cfRule>
    <cfRule type="containsText" dxfId="2625" priority="231" operator="containsText" text="Azul Petróleo">
      <formula>NOT(ISERROR(SEARCH("Azul Petróleo",M92)))</formula>
    </cfRule>
    <cfRule type="containsText" dxfId="2624" priority="232" operator="containsText" text="Preto">
      <formula>NOT(ISERROR(SEARCH("Preto",M92)))</formula>
    </cfRule>
    <cfRule type="containsText" priority="233" operator="containsText" text="Branco">
      <formula>NOT(ISERROR(SEARCH("Branco",M92)))</formula>
    </cfRule>
    <cfRule type="containsText" dxfId="2623" priority="234" operator="containsText" text="Bege">
      <formula>NOT(ISERROR(SEARCH("Bege",M92)))</formula>
    </cfRule>
  </conditionalFormatting>
  <conditionalFormatting sqref="M92">
    <cfRule type="containsText" dxfId="2622" priority="217" operator="containsText" text="Cinza">
      <formula>NOT(ISERROR(SEARCH("Cinza",M92)))</formula>
    </cfRule>
    <cfRule type="containsText" dxfId="2621" priority="218" operator="containsText" text="Púrpura">
      <formula>NOT(ISERROR(SEARCH("Púrpura",M92)))</formula>
    </cfRule>
    <cfRule type="containsText" dxfId="2620" priority="219" operator="containsText" text="Rosa">
      <formula>NOT(ISERROR(SEARCH("Rosa",M92)))</formula>
    </cfRule>
    <cfRule type="containsText" dxfId="2619" priority="220" operator="containsText" text="Castanho">
      <formula>NOT(ISERROR(SEARCH("Castanho",M92)))</formula>
    </cfRule>
    <cfRule type="containsText" dxfId="2618" priority="221" operator="containsText" text="Verde Água">
      <formula>NOT(ISERROR(SEARCH("Verde Água",M92)))</formula>
    </cfRule>
    <cfRule type="containsText" dxfId="2617" priority="222" operator="containsText" text="Azul Petróleo">
      <formula>NOT(ISERROR(SEARCH("Azul Petróleo",M92)))</formula>
    </cfRule>
    <cfRule type="containsText" dxfId="2616" priority="223" operator="containsText" text="Preto">
      <formula>NOT(ISERROR(SEARCH("Preto",M92)))</formula>
    </cfRule>
    <cfRule type="containsText" priority="224" operator="containsText" text="Branco">
      <formula>NOT(ISERROR(SEARCH("Branco",M92)))</formula>
    </cfRule>
    <cfRule type="containsText" dxfId="2615" priority="225" operator="containsText" text="Bege">
      <formula>NOT(ISERROR(SEARCH("Bege",M92)))</formula>
    </cfRule>
  </conditionalFormatting>
  <conditionalFormatting sqref="M92">
    <cfRule type="containsText" dxfId="2614" priority="208" operator="containsText" text="Cinza">
      <formula>NOT(ISERROR(SEARCH("Cinza",M92)))</formula>
    </cfRule>
    <cfRule type="containsText" dxfId="2613" priority="209" operator="containsText" text="Púrpura">
      <formula>NOT(ISERROR(SEARCH("Púrpura",M92)))</formula>
    </cfRule>
    <cfRule type="containsText" dxfId="2612" priority="210" operator="containsText" text="Rosa">
      <formula>NOT(ISERROR(SEARCH("Rosa",M92)))</formula>
    </cfRule>
    <cfRule type="containsText" dxfId="2611" priority="211" operator="containsText" text="Castanho">
      <formula>NOT(ISERROR(SEARCH("Castanho",M92)))</formula>
    </cfRule>
    <cfRule type="containsText" dxfId="2610" priority="212" operator="containsText" text="Verde Água">
      <formula>NOT(ISERROR(SEARCH("Verde Água",M92)))</formula>
    </cfRule>
    <cfRule type="containsText" dxfId="2609" priority="213" operator="containsText" text="Azul Petróleo">
      <formula>NOT(ISERROR(SEARCH("Azul Petróleo",M92)))</formula>
    </cfRule>
    <cfRule type="containsText" dxfId="2608" priority="214" operator="containsText" text="Preto">
      <formula>NOT(ISERROR(SEARCH("Preto",M92)))</formula>
    </cfRule>
    <cfRule type="containsText" priority="215" operator="containsText" text="Branco">
      <formula>NOT(ISERROR(SEARCH("Branco",M92)))</formula>
    </cfRule>
    <cfRule type="containsText" dxfId="2607" priority="216" operator="containsText" text="Bege">
      <formula>NOT(ISERROR(SEARCH("Bege",M92)))</formula>
    </cfRule>
  </conditionalFormatting>
  <conditionalFormatting sqref="M92">
    <cfRule type="containsText" dxfId="2606" priority="199" operator="containsText" text="Cinza">
      <formula>NOT(ISERROR(SEARCH("Cinza",M92)))</formula>
    </cfRule>
    <cfRule type="containsText" dxfId="2605" priority="200" operator="containsText" text="Púrpura">
      <formula>NOT(ISERROR(SEARCH("Púrpura",M92)))</formula>
    </cfRule>
    <cfRule type="containsText" dxfId="2604" priority="201" operator="containsText" text="Rosa">
      <formula>NOT(ISERROR(SEARCH("Rosa",M92)))</formula>
    </cfRule>
    <cfRule type="containsText" dxfId="2603" priority="202" operator="containsText" text="Castanho">
      <formula>NOT(ISERROR(SEARCH("Castanho",M92)))</formula>
    </cfRule>
    <cfRule type="containsText" dxfId="2602" priority="203" operator="containsText" text="Verde Água">
      <formula>NOT(ISERROR(SEARCH("Verde Água",M92)))</formula>
    </cfRule>
    <cfRule type="containsText" dxfId="2601" priority="204" operator="containsText" text="Azul Petróleo">
      <formula>NOT(ISERROR(SEARCH("Azul Petróleo",M92)))</formula>
    </cfRule>
    <cfRule type="containsText" dxfId="2600" priority="205" operator="containsText" text="Preto">
      <formula>NOT(ISERROR(SEARCH("Preto",M92)))</formula>
    </cfRule>
    <cfRule type="containsText" priority="206" operator="containsText" text="Branco">
      <formula>NOT(ISERROR(SEARCH("Branco",M92)))</formula>
    </cfRule>
    <cfRule type="containsText" dxfId="2599" priority="207" operator="containsText" text="Bege">
      <formula>NOT(ISERROR(SEARCH("Bege",M92)))</formula>
    </cfRule>
  </conditionalFormatting>
  <conditionalFormatting sqref="M92">
    <cfRule type="containsText" dxfId="2598" priority="190" operator="containsText" text="Cinza">
      <formula>NOT(ISERROR(SEARCH("Cinza",M92)))</formula>
    </cfRule>
    <cfRule type="containsText" dxfId="2597" priority="191" operator="containsText" text="Púrpura">
      <formula>NOT(ISERROR(SEARCH("Púrpura",M92)))</formula>
    </cfRule>
    <cfRule type="containsText" dxfId="2596" priority="192" operator="containsText" text="Rosa">
      <formula>NOT(ISERROR(SEARCH("Rosa",M92)))</formula>
    </cfRule>
    <cfRule type="containsText" dxfId="2595" priority="193" operator="containsText" text="Castanho">
      <formula>NOT(ISERROR(SEARCH("Castanho",M92)))</formula>
    </cfRule>
    <cfRule type="containsText" dxfId="2594" priority="194" operator="containsText" text="Verde Água">
      <formula>NOT(ISERROR(SEARCH("Verde Água",M92)))</formula>
    </cfRule>
    <cfRule type="containsText" dxfId="2593" priority="195" operator="containsText" text="Azul Petróleo">
      <formula>NOT(ISERROR(SEARCH("Azul Petróleo",M92)))</formula>
    </cfRule>
    <cfRule type="containsText" dxfId="2592" priority="196" operator="containsText" text="Preto">
      <formula>NOT(ISERROR(SEARCH("Preto",M92)))</formula>
    </cfRule>
    <cfRule type="containsText" priority="197" operator="containsText" text="Branco">
      <formula>NOT(ISERROR(SEARCH("Branco",M92)))</formula>
    </cfRule>
    <cfRule type="containsText" dxfId="2591" priority="198" operator="containsText" text="Bege">
      <formula>NOT(ISERROR(SEARCH("Bege",M92)))</formula>
    </cfRule>
  </conditionalFormatting>
  <conditionalFormatting sqref="M92">
    <cfRule type="containsText" dxfId="2590" priority="181" operator="containsText" text="Cinza">
      <formula>NOT(ISERROR(SEARCH("Cinza",M92)))</formula>
    </cfRule>
    <cfRule type="containsText" dxfId="2589" priority="182" operator="containsText" text="Púrpura">
      <formula>NOT(ISERROR(SEARCH("Púrpura",M92)))</formula>
    </cfRule>
    <cfRule type="containsText" dxfId="2588" priority="183" operator="containsText" text="Rosa">
      <formula>NOT(ISERROR(SEARCH("Rosa",M92)))</formula>
    </cfRule>
    <cfRule type="containsText" dxfId="2587" priority="184" operator="containsText" text="Castanho">
      <formula>NOT(ISERROR(SEARCH("Castanho",M92)))</formula>
    </cfRule>
    <cfRule type="containsText" dxfId="2586" priority="185" operator="containsText" text="Verde Água">
      <formula>NOT(ISERROR(SEARCH("Verde Água",M92)))</formula>
    </cfRule>
    <cfRule type="containsText" dxfId="2585" priority="186" operator="containsText" text="Azul Petróleo">
      <formula>NOT(ISERROR(SEARCH("Azul Petróleo",M92)))</formula>
    </cfRule>
    <cfRule type="containsText" dxfId="2584" priority="187" operator="containsText" text="Preto">
      <formula>NOT(ISERROR(SEARCH("Preto",M92)))</formula>
    </cfRule>
    <cfRule type="containsText" priority="188" operator="containsText" text="Branco">
      <formula>NOT(ISERROR(SEARCH("Branco",M92)))</formula>
    </cfRule>
    <cfRule type="containsText" dxfId="2583" priority="189" operator="containsText" text="Bege">
      <formula>NOT(ISERROR(SEARCH("Bege",M92)))</formula>
    </cfRule>
  </conditionalFormatting>
  <conditionalFormatting sqref="M92">
    <cfRule type="containsText" dxfId="2582" priority="172" operator="containsText" text="Cinza">
      <formula>NOT(ISERROR(SEARCH("Cinza",M92)))</formula>
    </cfRule>
    <cfRule type="containsText" dxfId="2581" priority="173" operator="containsText" text="Púrpura">
      <formula>NOT(ISERROR(SEARCH("Púrpura",M92)))</formula>
    </cfRule>
    <cfRule type="containsText" dxfId="2580" priority="174" operator="containsText" text="Rosa">
      <formula>NOT(ISERROR(SEARCH("Rosa",M92)))</formula>
    </cfRule>
    <cfRule type="containsText" dxfId="2579" priority="175" operator="containsText" text="Castanho">
      <formula>NOT(ISERROR(SEARCH("Castanho",M92)))</formula>
    </cfRule>
    <cfRule type="containsText" dxfId="2578" priority="176" operator="containsText" text="Verde Água">
      <formula>NOT(ISERROR(SEARCH("Verde Água",M92)))</formula>
    </cfRule>
    <cfRule type="containsText" dxfId="2577" priority="177" operator="containsText" text="Azul Petróleo">
      <formula>NOT(ISERROR(SEARCH("Azul Petróleo",M92)))</formula>
    </cfRule>
    <cfRule type="containsText" dxfId="2576" priority="178" operator="containsText" text="Preto">
      <formula>NOT(ISERROR(SEARCH("Preto",M92)))</formula>
    </cfRule>
    <cfRule type="containsText" priority="179" operator="containsText" text="Branco">
      <formula>NOT(ISERROR(SEARCH("Branco",M92)))</formula>
    </cfRule>
    <cfRule type="containsText" dxfId="2575" priority="180" operator="containsText" text="Bege">
      <formula>NOT(ISERROR(SEARCH("Bege",M92)))</formula>
    </cfRule>
  </conditionalFormatting>
  <conditionalFormatting sqref="M92">
    <cfRule type="containsText" dxfId="2574" priority="163" operator="containsText" text="Cinza">
      <formula>NOT(ISERROR(SEARCH("Cinza",M92)))</formula>
    </cfRule>
    <cfRule type="containsText" dxfId="2573" priority="164" operator="containsText" text="Púrpura">
      <formula>NOT(ISERROR(SEARCH("Púrpura",M92)))</formula>
    </cfRule>
    <cfRule type="containsText" dxfId="2572" priority="165" operator="containsText" text="Rosa">
      <formula>NOT(ISERROR(SEARCH("Rosa",M92)))</formula>
    </cfRule>
    <cfRule type="containsText" dxfId="2571" priority="166" operator="containsText" text="Castanho">
      <formula>NOT(ISERROR(SEARCH("Castanho",M92)))</formula>
    </cfRule>
    <cfRule type="containsText" dxfId="2570" priority="167" operator="containsText" text="Verde Água">
      <formula>NOT(ISERROR(SEARCH("Verde Água",M92)))</formula>
    </cfRule>
    <cfRule type="containsText" dxfId="2569" priority="168" operator="containsText" text="Azul Petróleo">
      <formula>NOT(ISERROR(SEARCH("Azul Petróleo",M92)))</formula>
    </cfRule>
    <cfRule type="containsText" dxfId="2568" priority="169" operator="containsText" text="Preto">
      <formula>NOT(ISERROR(SEARCH("Preto",M92)))</formula>
    </cfRule>
    <cfRule type="containsText" priority="170" operator="containsText" text="Branco">
      <formula>NOT(ISERROR(SEARCH("Branco",M92)))</formula>
    </cfRule>
    <cfRule type="containsText" dxfId="2567" priority="171" operator="containsText" text="Bege">
      <formula>NOT(ISERROR(SEARCH("Bege",M92)))</formula>
    </cfRule>
  </conditionalFormatting>
  <conditionalFormatting sqref="M92">
    <cfRule type="containsText" dxfId="2566" priority="154" operator="containsText" text="Cinza">
      <formula>NOT(ISERROR(SEARCH("Cinza",M92)))</formula>
    </cfRule>
    <cfRule type="containsText" dxfId="2565" priority="155" operator="containsText" text="Púrpura">
      <formula>NOT(ISERROR(SEARCH("Púrpura",M92)))</formula>
    </cfRule>
    <cfRule type="containsText" dxfId="2564" priority="156" operator="containsText" text="Rosa">
      <formula>NOT(ISERROR(SEARCH("Rosa",M92)))</formula>
    </cfRule>
    <cfRule type="containsText" dxfId="2563" priority="157" operator="containsText" text="Castanho">
      <formula>NOT(ISERROR(SEARCH("Castanho",M92)))</formula>
    </cfRule>
    <cfRule type="containsText" dxfId="2562" priority="158" operator="containsText" text="Verde Água">
      <formula>NOT(ISERROR(SEARCH("Verde Água",M92)))</formula>
    </cfRule>
    <cfRule type="containsText" dxfId="2561" priority="159" operator="containsText" text="Azul Petróleo">
      <formula>NOT(ISERROR(SEARCH("Azul Petróleo",M92)))</formula>
    </cfRule>
    <cfRule type="containsText" dxfId="2560" priority="160" operator="containsText" text="Preto">
      <formula>NOT(ISERROR(SEARCH("Preto",M92)))</formula>
    </cfRule>
    <cfRule type="containsText" priority="161" operator="containsText" text="Branco">
      <formula>NOT(ISERROR(SEARCH("Branco",M92)))</formula>
    </cfRule>
    <cfRule type="containsText" dxfId="2559" priority="162" operator="containsText" text="Bege">
      <formula>NOT(ISERROR(SEARCH("Bege",M92)))</formula>
    </cfRule>
  </conditionalFormatting>
  <conditionalFormatting sqref="M92">
    <cfRule type="containsText" dxfId="2558" priority="145" operator="containsText" text="Cinza">
      <formula>NOT(ISERROR(SEARCH("Cinza",M92)))</formula>
    </cfRule>
    <cfRule type="containsText" dxfId="2557" priority="146" operator="containsText" text="Púrpura">
      <formula>NOT(ISERROR(SEARCH("Púrpura",M92)))</formula>
    </cfRule>
    <cfRule type="containsText" dxfId="2556" priority="147" operator="containsText" text="Rosa">
      <formula>NOT(ISERROR(SEARCH("Rosa",M92)))</formula>
    </cfRule>
    <cfRule type="containsText" dxfId="2555" priority="148" operator="containsText" text="Castanho">
      <formula>NOT(ISERROR(SEARCH("Castanho",M92)))</formula>
    </cfRule>
    <cfRule type="containsText" dxfId="2554" priority="149" operator="containsText" text="Verde Água">
      <formula>NOT(ISERROR(SEARCH("Verde Água",M92)))</formula>
    </cfRule>
    <cfRule type="containsText" dxfId="2553" priority="150" operator="containsText" text="Azul Petróleo">
      <formula>NOT(ISERROR(SEARCH("Azul Petróleo",M92)))</formula>
    </cfRule>
    <cfRule type="containsText" dxfId="2552" priority="151" operator="containsText" text="Preto">
      <formula>NOT(ISERROR(SEARCH("Preto",M92)))</formula>
    </cfRule>
    <cfRule type="containsText" priority="152" operator="containsText" text="Branco">
      <formula>NOT(ISERROR(SEARCH("Branco",M92)))</formula>
    </cfRule>
    <cfRule type="containsText" dxfId="2551" priority="153" operator="containsText" text="Bege">
      <formula>NOT(ISERROR(SEARCH("Bege",M92)))</formula>
    </cfRule>
  </conditionalFormatting>
  <conditionalFormatting sqref="M92">
    <cfRule type="containsText" dxfId="2550" priority="136" operator="containsText" text="Cinza">
      <formula>NOT(ISERROR(SEARCH("Cinza",M92)))</formula>
    </cfRule>
    <cfRule type="containsText" dxfId="2549" priority="137" operator="containsText" text="Púrpura">
      <formula>NOT(ISERROR(SEARCH("Púrpura",M92)))</formula>
    </cfRule>
    <cfRule type="containsText" dxfId="2548" priority="138" operator="containsText" text="Rosa">
      <formula>NOT(ISERROR(SEARCH("Rosa",M92)))</formula>
    </cfRule>
    <cfRule type="containsText" dxfId="2547" priority="139" operator="containsText" text="Castanho">
      <formula>NOT(ISERROR(SEARCH("Castanho",M92)))</formula>
    </cfRule>
    <cfRule type="containsText" dxfId="2546" priority="140" operator="containsText" text="Verde Água">
      <formula>NOT(ISERROR(SEARCH("Verde Água",M92)))</formula>
    </cfRule>
    <cfRule type="containsText" dxfId="2545" priority="141" operator="containsText" text="Azul Petróleo">
      <formula>NOT(ISERROR(SEARCH("Azul Petróleo",M92)))</formula>
    </cfRule>
    <cfRule type="containsText" dxfId="2544" priority="142" operator="containsText" text="Preto">
      <formula>NOT(ISERROR(SEARCH("Preto",M92)))</formula>
    </cfRule>
    <cfRule type="containsText" priority="143" operator="containsText" text="Branco">
      <formula>NOT(ISERROR(SEARCH("Branco",M92)))</formula>
    </cfRule>
    <cfRule type="containsText" dxfId="2543" priority="144" operator="containsText" text="Bege">
      <formula>NOT(ISERROR(SEARCH("Bege",M92)))</formula>
    </cfRule>
  </conditionalFormatting>
  <conditionalFormatting sqref="M92">
    <cfRule type="containsText" dxfId="2542" priority="127" operator="containsText" text="Escuro">
      <formula>NOT(ISERROR(SEARCH("Escuro",M92)))</formula>
    </cfRule>
    <cfRule type="containsText" dxfId="2541" priority="128" operator="containsText" text="Cinza">
      <formula>NOT(ISERROR(SEARCH("Cinza",M92)))</formula>
    </cfRule>
    <cfRule type="containsText" dxfId="2540" priority="129" operator="containsText" text="Púrpura">
      <formula>NOT(ISERROR(SEARCH("Púrpura",M92)))</formula>
    </cfRule>
    <cfRule type="containsText" dxfId="2539" priority="130" operator="containsText" text="Rosa">
      <formula>NOT(ISERROR(SEARCH("Rosa",M92)))</formula>
    </cfRule>
    <cfRule type="containsText" dxfId="2538" priority="131" operator="containsText" text="Castanho">
      <formula>NOT(ISERROR(SEARCH("Castanho",M92)))</formula>
    </cfRule>
    <cfRule type="containsText" dxfId="2537" priority="132" operator="containsText" text="Verde Água">
      <formula>NOT(ISERROR(SEARCH("Verde Água",M92)))</formula>
    </cfRule>
    <cfRule type="containsText" dxfId="2536" priority="133" operator="containsText" text="Azul Petróleo">
      <formula>NOT(ISERROR(SEARCH("Azul Petróleo",M92)))</formula>
    </cfRule>
    <cfRule type="containsText" dxfId="2535" priority="134" operator="containsText" text="Preto">
      <formula>NOT(ISERROR(SEARCH("Preto",M92)))</formula>
    </cfRule>
    <cfRule type="containsText" priority="135" operator="containsText" text="Branco">
      <formula>NOT(ISERROR(SEARCH("Branco",M92)))</formula>
    </cfRule>
  </conditionalFormatting>
  <conditionalFormatting sqref="W34">
    <cfRule type="containsText" dxfId="2534" priority="118" operator="containsText" text="Cinza">
      <formula>NOT(ISERROR(SEARCH("Cinza",W34)))</formula>
    </cfRule>
    <cfRule type="containsText" dxfId="2533" priority="119" operator="containsText" text="Púrpura">
      <formula>NOT(ISERROR(SEARCH("Púrpura",W34)))</formula>
    </cfRule>
    <cfRule type="containsText" dxfId="2532" priority="120" operator="containsText" text="Rosa">
      <formula>NOT(ISERROR(SEARCH("Rosa",W34)))</formula>
    </cfRule>
    <cfRule type="containsText" dxfId="2531" priority="121" operator="containsText" text="Castanho">
      <formula>NOT(ISERROR(SEARCH("Castanho",W34)))</formula>
    </cfRule>
    <cfRule type="containsText" dxfId="2530" priority="122" operator="containsText" text="Verde Água">
      <formula>NOT(ISERROR(SEARCH("Verde Água",W34)))</formula>
    </cfRule>
    <cfRule type="containsText" dxfId="2529" priority="123" operator="containsText" text="Azul Petróleo">
      <formula>NOT(ISERROR(SEARCH("Azul Petróleo",W34)))</formula>
    </cfRule>
    <cfRule type="containsText" dxfId="2528" priority="124" operator="containsText" text="Preto">
      <formula>NOT(ISERROR(SEARCH("Preto",W34)))</formula>
    </cfRule>
    <cfRule type="containsText" priority="125" operator="containsText" text="Branco">
      <formula>NOT(ISERROR(SEARCH("Branco",W34)))</formula>
    </cfRule>
    <cfRule type="containsText" dxfId="2527" priority="126" operator="containsText" text="Bege">
      <formula>NOT(ISERROR(SEARCH("Bege",W34)))</formula>
    </cfRule>
  </conditionalFormatting>
  <conditionalFormatting sqref="W34">
    <cfRule type="containsText" dxfId="2526" priority="109" operator="containsText" text="Escuro">
      <formula>NOT(ISERROR(SEARCH("Escuro",W34)))</formula>
    </cfRule>
    <cfRule type="containsText" dxfId="2525" priority="110" operator="containsText" text="Cinza">
      <formula>NOT(ISERROR(SEARCH("Cinza",W34)))</formula>
    </cfRule>
    <cfRule type="containsText" dxfId="2524" priority="111" operator="containsText" text="Púrpura">
      <formula>NOT(ISERROR(SEARCH("Púrpura",W34)))</formula>
    </cfRule>
    <cfRule type="containsText" dxfId="2523" priority="112" operator="containsText" text="Rosa">
      <formula>NOT(ISERROR(SEARCH("Rosa",W34)))</formula>
    </cfRule>
    <cfRule type="containsText" dxfId="2522" priority="113" operator="containsText" text="Castanho">
      <formula>NOT(ISERROR(SEARCH("Castanho",W34)))</formula>
    </cfRule>
    <cfRule type="containsText" dxfId="2521" priority="114" operator="containsText" text="Verde Água">
      <formula>NOT(ISERROR(SEARCH("Verde Água",W34)))</formula>
    </cfRule>
    <cfRule type="containsText" dxfId="2520" priority="115" operator="containsText" text="Azul Petróleo">
      <formula>NOT(ISERROR(SEARCH("Azul Petróleo",W34)))</formula>
    </cfRule>
    <cfRule type="containsText" dxfId="2519" priority="116" operator="containsText" text="Preto">
      <formula>NOT(ISERROR(SEARCH("Preto",W34)))</formula>
    </cfRule>
    <cfRule type="containsText" priority="117" operator="containsText" text="Branco">
      <formula>NOT(ISERROR(SEARCH("Branco",W34)))</formula>
    </cfRule>
  </conditionalFormatting>
  <conditionalFormatting sqref="W13">
    <cfRule type="containsText" dxfId="2518" priority="98" operator="containsText" text="Cinza">
      <formula>NOT(ISERROR(SEARCH("Cinza",W13)))</formula>
    </cfRule>
    <cfRule type="containsText" dxfId="2517" priority="99" operator="containsText" text="Púrpura">
      <formula>NOT(ISERROR(SEARCH("Púrpura",W13)))</formula>
    </cfRule>
    <cfRule type="containsText" dxfId="2516" priority="100" operator="containsText" text="Rosa">
      <formula>NOT(ISERROR(SEARCH("Rosa",W13)))</formula>
    </cfRule>
    <cfRule type="containsText" dxfId="2515" priority="101" operator="containsText" text="Castanho">
      <formula>NOT(ISERROR(SEARCH("Castanho",W13)))</formula>
    </cfRule>
    <cfRule type="containsText" dxfId="2514" priority="102" operator="containsText" text="Verde Água">
      <formula>NOT(ISERROR(SEARCH("Verde Água",W13)))</formula>
    </cfRule>
    <cfRule type="containsText" dxfId="2513" priority="103" operator="containsText" text="Azul Petróleo">
      <formula>NOT(ISERROR(SEARCH("Azul Petróleo",W13)))</formula>
    </cfRule>
    <cfRule type="containsText" dxfId="2512" priority="104" operator="containsText" text="Preto">
      <formula>NOT(ISERROR(SEARCH("Preto",W13)))</formula>
    </cfRule>
    <cfRule type="containsText" priority="105" operator="containsText" text="Branco">
      <formula>NOT(ISERROR(SEARCH("Branco",W13)))</formula>
    </cfRule>
    <cfRule type="containsText" dxfId="2511" priority="106" operator="containsText" text="Bege">
      <formula>NOT(ISERROR(SEARCH("Bege",W13)))</formula>
    </cfRule>
  </conditionalFormatting>
  <conditionalFormatting sqref="W13">
    <cfRule type="containsText" dxfId="2510" priority="89" operator="containsText" text="Escuro">
      <formula>NOT(ISERROR(SEARCH("Escuro",W13)))</formula>
    </cfRule>
    <cfRule type="containsText" dxfId="2509" priority="90" operator="containsText" text="Cinza">
      <formula>NOT(ISERROR(SEARCH("Cinza",W13)))</formula>
    </cfRule>
    <cfRule type="containsText" dxfId="2508" priority="91" operator="containsText" text="Púrpura">
      <formula>NOT(ISERROR(SEARCH("Púrpura",W13)))</formula>
    </cfRule>
    <cfRule type="containsText" dxfId="2507" priority="92" operator="containsText" text="Rosa">
      <formula>NOT(ISERROR(SEARCH("Rosa",W13)))</formula>
    </cfRule>
    <cfRule type="containsText" dxfId="2506" priority="93" operator="containsText" text="Castanho">
      <formula>NOT(ISERROR(SEARCH("Castanho",W13)))</formula>
    </cfRule>
    <cfRule type="containsText" dxfId="2505" priority="94" operator="containsText" text="Verde Água">
      <formula>NOT(ISERROR(SEARCH("Verde Água",W13)))</formula>
    </cfRule>
    <cfRule type="containsText" dxfId="2504" priority="95" operator="containsText" text="Azul Petróleo">
      <formula>NOT(ISERROR(SEARCH("Azul Petróleo",W13)))</formula>
    </cfRule>
    <cfRule type="containsText" dxfId="2503" priority="96" operator="containsText" text="Preto">
      <formula>NOT(ISERROR(SEARCH("Preto",W13)))</formula>
    </cfRule>
    <cfRule type="containsText" priority="97" operator="containsText" text="Branco">
      <formula>NOT(ISERROR(SEARCH("Branco",W13)))</formula>
    </cfRule>
  </conditionalFormatting>
  <conditionalFormatting sqref="G55">
    <cfRule type="containsText" dxfId="2502" priority="87" operator="containsText" text="petróleo">
      <formula>NOT(ISERROR(SEARCH("petróleo",G55)))</formula>
    </cfRule>
    <cfRule type="containsText" dxfId="2501" priority="88" operator="containsText" text="Turquesa">
      <formula>NOT(ISERROR(SEARCH("Turquesa",G55)))</formula>
    </cfRule>
  </conditionalFormatting>
  <conditionalFormatting sqref="W23">
    <cfRule type="containsText" dxfId="2500" priority="78" operator="containsText" text="Cinza">
      <formula>NOT(ISERROR(SEARCH("Cinza",W23)))</formula>
    </cfRule>
    <cfRule type="containsText" dxfId="2499" priority="79" operator="containsText" text="Púrpura">
      <formula>NOT(ISERROR(SEARCH("Púrpura",W23)))</formula>
    </cfRule>
    <cfRule type="containsText" dxfId="2498" priority="80" operator="containsText" text="Rosa">
      <formula>NOT(ISERROR(SEARCH("Rosa",W23)))</formula>
    </cfRule>
    <cfRule type="containsText" dxfId="2497" priority="81" operator="containsText" text="Castanho">
      <formula>NOT(ISERROR(SEARCH("Castanho",W23)))</formula>
    </cfRule>
    <cfRule type="containsText" dxfId="2496" priority="82" operator="containsText" text="Verde Água">
      <formula>NOT(ISERROR(SEARCH("Verde Água",W23)))</formula>
    </cfRule>
    <cfRule type="containsText" dxfId="2495" priority="83" operator="containsText" text="Azul Petróleo">
      <formula>NOT(ISERROR(SEARCH("Azul Petróleo",W23)))</formula>
    </cfRule>
    <cfRule type="containsText" dxfId="2494" priority="84" operator="containsText" text="Preto">
      <formula>NOT(ISERROR(SEARCH("Preto",W23)))</formula>
    </cfRule>
    <cfRule type="containsText" priority="85" operator="containsText" text="Branco">
      <formula>NOT(ISERROR(SEARCH("Branco",W23)))</formula>
    </cfRule>
    <cfRule type="containsText" dxfId="2493" priority="86" operator="containsText" text="Bege">
      <formula>NOT(ISERROR(SEARCH("Bege",W23)))</formula>
    </cfRule>
  </conditionalFormatting>
  <conditionalFormatting sqref="W23">
    <cfRule type="containsText" dxfId="2492" priority="69" operator="containsText" text="Escuro">
      <formula>NOT(ISERROR(SEARCH("Escuro",W23)))</formula>
    </cfRule>
    <cfRule type="containsText" dxfId="2491" priority="70" operator="containsText" text="Cinza">
      <formula>NOT(ISERROR(SEARCH("Cinza",W23)))</formula>
    </cfRule>
    <cfRule type="containsText" dxfId="2490" priority="71" operator="containsText" text="Púrpura">
      <formula>NOT(ISERROR(SEARCH("Púrpura",W23)))</formula>
    </cfRule>
    <cfRule type="containsText" dxfId="2489" priority="72" operator="containsText" text="Rosa">
      <formula>NOT(ISERROR(SEARCH("Rosa",W23)))</formula>
    </cfRule>
    <cfRule type="containsText" dxfId="2488" priority="73" operator="containsText" text="Castanho">
      <formula>NOT(ISERROR(SEARCH("Castanho",W23)))</formula>
    </cfRule>
    <cfRule type="containsText" dxfId="2487" priority="74" operator="containsText" text="Verde Água">
      <formula>NOT(ISERROR(SEARCH("Verde Água",W23)))</formula>
    </cfRule>
    <cfRule type="containsText" dxfId="2486" priority="75" operator="containsText" text="Azul Petróleo">
      <formula>NOT(ISERROR(SEARCH("Azul Petróleo",W23)))</formula>
    </cfRule>
    <cfRule type="containsText" dxfId="2485" priority="76" operator="containsText" text="Preto">
      <formula>NOT(ISERROR(SEARCH("Preto",W23)))</formula>
    </cfRule>
    <cfRule type="containsText" priority="77" operator="containsText" text="Branco">
      <formula>NOT(ISERROR(SEARCH("Branco",W23)))</formula>
    </cfRule>
  </conditionalFormatting>
  <conditionalFormatting sqref="W23">
    <cfRule type="containsText" dxfId="2484" priority="60" operator="containsText" text="Cinza">
      <formula>NOT(ISERROR(SEARCH("Cinza",W23)))</formula>
    </cfRule>
    <cfRule type="containsText" dxfId="2483" priority="61" operator="containsText" text="Púrpura">
      <formula>NOT(ISERROR(SEARCH("Púrpura",W23)))</formula>
    </cfRule>
    <cfRule type="containsText" dxfId="2482" priority="62" operator="containsText" text="Rosa">
      <formula>NOT(ISERROR(SEARCH("Rosa",W23)))</formula>
    </cfRule>
    <cfRule type="containsText" dxfId="2481" priority="63" operator="containsText" text="Castanho">
      <formula>NOT(ISERROR(SEARCH("Castanho",W23)))</formula>
    </cfRule>
    <cfRule type="containsText" dxfId="2480" priority="64" operator="containsText" text="Verde Água">
      <formula>NOT(ISERROR(SEARCH("Verde Água",W23)))</formula>
    </cfRule>
    <cfRule type="containsText" dxfId="2479" priority="65" operator="containsText" text="Azul Petróleo">
      <formula>NOT(ISERROR(SEARCH("Azul Petróleo",W23)))</formula>
    </cfRule>
    <cfRule type="containsText" dxfId="2478" priority="66" operator="containsText" text="Preto">
      <formula>NOT(ISERROR(SEARCH("Preto",W23)))</formula>
    </cfRule>
    <cfRule type="containsText" priority="67" operator="containsText" text="Branco">
      <formula>NOT(ISERROR(SEARCH("Branco",W23)))</formula>
    </cfRule>
    <cfRule type="containsText" dxfId="2477" priority="68" operator="containsText" text="Bege">
      <formula>NOT(ISERROR(SEARCH("Bege",W23)))</formula>
    </cfRule>
  </conditionalFormatting>
  <conditionalFormatting sqref="W23">
    <cfRule type="containsText" dxfId="2476" priority="51" operator="containsText" text="Escuro">
      <formula>NOT(ISERROR(SEARCH("Escuro",W23)))</formula>
    </cfRule>
    <cfRule type="containsText" dxfId="2475" priority="52" operator="containsText" text="Cinza">
      <formula>NOT(ISERROR(SEARCH("Cinza",W23)))</formula>
    </cfRule>
    <cfRule type="containsText" dxfId="2474" priority="53" operator="containsText" text="Púrpura">
      <formula>NOT(ISERROR(SEARCH("Púrpura",W23)))</formula>
    </cfRule>
    <cfRule type="containsText" dxfId="2473" priority="54" operator="containsText" text="Rosa">
      <formula>NOT(ISERROR(SEARCH("Rosa",W23)))</formula>
    </cfRule>
    <cfRule type="containsText" dxfId="2472" priority="55" operator="containsText" text="Castanho">
      <formula>NOT(ISERROR(SEARCH("Castanho",W23)))</formula>
    </cfRule>
    <cfRule type="containsText" dxfId="2471" priority="56" operator="containsText" text="Verde Água">
      <formula>NOT(ISERROR(SEARCH("Verde Água",W23)))</formula>
    </cfRule>
    <cfRule type="containsText" dxfId="2470" priority="57" operator="containsText" text="Azul Petróleo">
      <formula>NOT(ISERROR(SEARCH("Azul Petróleo",W23)))</formula>
    </cfRule>
    <cfRule type="containsText" dxfId="2469" priority="58" operator="containsText" text="Preto">
      <formula>NOT(ISERROR(SEARCH("Preto",W23)))</formula>
    </cfRule>
    <cfRule type="containsText" priority="59" operator="containsText" text="Branco">
      <formula>NOT(ISERROR(SEARCH("Branco",W23)))</formula>
    </cfRule>
  </conditionalFormatting>
  <conditionalFormatting sqref="W23">
    <cfRule type="containsText" dxfId="2468" priority="49" operator="containsText" text="petróleo">
      <formula>NOT(ISERROR(SEARCH("petróleo",W23)))</formula>
    </cfRule>
    <cfRule type="containsText" dxfId="2467" priority="50" operator="containsText" text="Turquesa">
      <formula>NOT(ISERROR(SEARCH("Turquesa",W23)))</formula>
    </cfRule>
  </conditionalFormatting>
  <conditionalFormatting sqref="AF76">
    <cfRule type="containsText" dxfId="2466" priority="40" operator="containsText" text="Cinza">
      <formula>NOT(ISERROR(SEARCH("Cinza",AF76)))</formula>
    </cfRule>
    <cfRule type="containsText" dxfId="2465" priority="41" operator="containsText" text="Púrpura">
      <formula>NOT(ISERROR(SEARCH("Púrpura",AF76)))</formula>
    </cfRule>
    <cfRule type="containsText" dxfId="2464" priority="42" operator="containsText" text="Rosa">
      <formula>NOT(ISERROR(SEARCH("Rosa",AF76)))</formula>
    </cfRule>
    <cfRule type="containsText" dxfId="2463" priority="43" operator="containsText" text="Castanho">
      <formula>NOT(ISERROR(SEARCH("Castanho",AF76)))</formula>
    </cfRule>
    <cfRule type="containsText" dxfId="2462" priority="44" operator="containsText" text="Verde Água">
      <formula>NOT(ISERROR(SEARCH("Verde Água",AF76)))</formula>
    </cfRule>
    <cfRule type="containsText" dxfId="2461" priority="45" operator="containsText" text="Azul Petróleo">
      <formula>NOT(ISERROR(SEARCH("Azul Petróleo",AF76)))</formula>
    </cfRule>
    <cfRule type="containsText" dxfId="2460" priority="46" operator="containsText" text="Preto">
      <formula>NOT(ISERROR(SEARCH("Preto",AF76)))</formula>
    </cfRule>
    <cfRule type="containsText" priority="47" operator="containsText" text="Branco">
      <formula>NOT(ISERROR(SEARCH("Branco",AF76)))</formula>
    </cfRule>
    <cfRule type="containsText" dxfId="2459" priority="48" operator="containsText" text="Bege">
      <formula>NOT(ISERROR(SEARCH("Bege",AF76)))</formula>
    </cfRule>
  </conditionalFormatting>
  <conditionalFormatting sqref="AF76">
    <cfRule type="containsText" dxfId="2458" priority="31" operator="containsText" text="Escuro">
      <formula>NOT(ISERROR(SEARCH("Escuro",AF76)))</formula>
    </cfRule>
    <cfRule type="containsText" dxfId="2457" priority="32" operator="containsText" text="Cinza">
      <formula>NOT(ISERROR(SEARCH("Cinza",AF76)))</formula>
    </cfRule>
    <cfRule type="containsText" dxfId="2456" priority="33" operator="containsText" text="Púrpura">
      <formula>NOT(ISERROR(SEARCH("Púrpura",AF76)))</formula>
    </cfRule>
    <cfRule type="containsText" dxfId="2455" priority="34" operator="containsText" text="Rosa">
      <formula>NOT(ISERROR(SEARCH("Rosa",AF76)))</formula>
    </cfRule>
    <cfRule type="containsText" dxfId="2454" priority="35" operator="containsText" text="Castanho">
      <formula>NOT(ISERROR(SEARCH("Castanho",AF76)))</formula>
    </cfRule>
    <cfRule type="containsText" dxfId="2453" priority="36" operator="containsText" text="Verde Água">
      <formula>NOT(ISERROR(SEARCH("Verde Água",AF76)))</formula>
    </cfRule>
    <cfRule type="containsText" dxfId="2452" priority="37" operator="containsText" text="Azul Petróleo">
      <formula>NOT(ISERROR(SEARCH("Azul Petróleo",AF76)))</formula>
    </cfRule>
    <cfRule type="containsText" dxfId="2451" priority="38" operator="containsText" text="Preto">
      <formula>NOT(ISERROR(SEARCH("Preto",AF76)))</formula>
    </cfRule>
    <cfRule type="containsText" priority="39" operator="containsText" text="Branco">
      <formula>NOT(ISERROR(SEARCH("Branco",AF76)))</formula>
    </cfRule>
  </conditionalFormatting>
  <conditionalFormatting sqref="AF76">
    <cfRule type="containsText" dxfId="2450" priority="29" operator="containsText" text="petróleo">
      <formula>NOT(ISERROR(SEARCH("petróleo",AF76)))</formula>
    </cfRule>
    <cfRule type="containsText" dxfId="2449" priority="30" operator="containsText" text="Turquesa">
      <formula>NOT(ISERROR(SEARCH("Turquesa",AF76)))</formula>
    </cfRule>
  </conditionalFormatting>
  <conditionalFormatting sqref="AG76">
    <cfRule type="containsText" dxfId="2448" priority="20" operator="containsText" text="Cinza">
      <formula>NOT(ISERROR(SEARCH("Cinza",AG76)))</formula>
    </cfRule>
    <cfRule type="containsText" dxfId="2447" priority="21" operator="containsText" text="Púrpura">
      <formula>NOT(ISERROR(SEARCH("Púrpura",AG76)))</formula>
    </cfRule>
    <cfRule type="containsText" dxfId="2446" priority="22" operator="containsText" text="Rosa">
      <formula>NOT(ISERROR(SEARCH("Rosa",AG76)))</formula>
    </cfRule>
    <cfRule type="containsText" dxfId="2445" priority="23" operator="containsText" text="Castanho">
      <formula>NOT(ISERROR(SEARCH("Castanho",AG76)))</formula>
    </cfRule>
    <cfRule type="containsText" dxfId="2444" priority="24" operator="containsText" text="Verde Água">
      <formula>NOT(ISERROR(SEARCH("Verde Água",AG76)))</formula>
    </cfRule>
    <cfRule type="containsText" dxfId="2443" priority="25" operator="containsText" text="Azul Petróleo">
      <formula>NOT(ISERROR(SEARCH("Azul Petróleo",AG76)))</formula>
    </cfRule>
    <cfRule type="containsText" dxfId="2442" priority="26" operator="containsText" text="Preto">
      <formula>NOT(ISERROR(SEARCH("Preto",AG76)))</formula>
    </cfRule>
    <cfRule type="containsText" priority="27" operator="containsText" text="Branco">
      <formula>NOT(ISERROR(SEARCH("Branco",AG76)))</formula>
    </cfRule>
    <cfRule type="containsText" dxfId="2441" priority="28" operator="containsText" text="Bege">
      <formula>NOT(ISERROR(SEARCH("Bege",AG76)))</formula>
    </cfRule>
  </conditionalFormatting>
  <conditionalFormatting sqref="AG76">
    <cfRule type="containsText" dxfId="2440" priority="11" operator="containsText" text="Escuro">
      <formula>NOT(ISERROR(SEARCH("Escuro",AG76)))</formula>
    </cfRule>
    <cfRule type="containsText" dxfId="2439" priority="12" operator="containsText" text="Cinza">
      <formula>NOT(ISERROR(SEARCH("Cinza",AG76)))</formula>
    </cfRule>
    <cfRule type="containsText" dxfId="2438" priority="13" operator="containsText" text="Púrpura">
      <formula>NOT(ISERROR(SEARCH("Púrpura",AG76)))</formula>
    </cfRule>
    <cfRule type="containsText" dxfId="2437" priority="14" operator="containsText" text="Rosa">
      <formula>NOT(ISERROR(SEARCH("Rosa",AG76)))</formula>
    </cfRule>
    <cfRule type="containsText" dxfId="2436" priority="15" operator="containsText" text="Castanho">
      <formula>NOT(ISERROR(SEARCH("Castanho",AG76)))</formula>
    </cfRule>
    <cfRule type="containsText" dxfId="2435" priority="16" operator="containsText" text="Verde Água">
      <formula>NOT(ISERROR(SEARCH("Verde Água",AG76)))</formula>
    </cfRule>
    <cfRule type="containsText" dxfId="2434" priority="17" operator="containsText" text="Azul Petróleo">
      <formula>NOT(ISERROR(SEARCH("Azul Petróleo",AG76)))</formula>
    </cfRule>
    <cfRule type="containsText" dxfId="2433" priority="18" operator="containsText" text="Preto">
      <formula>NOT(ISERROR(SEARCH("Preto",AG76)))</formula>
    </cfRule>
    <cfRule type="containsText" priority="19" operator="containsText" text="Branco">
      <formula>NOT(ISERROR(SEARCH("Branco",AG76)))</formula>
    </cfRule>
  </conditionalFormatting>
  <conditionalFormatting sqref="AG76">
    <cfRule type="containsText" dxfId="2432" priority="9" operator="containsText" text="petróleo">
      <formula>NOT(ISERROR(SEARCH("petróleo",AG76)))</formula>
    </cfRule>
    <cfRule type="containsText" dxfId="2431" priority="10" operator="containsText" text="Turquesa">
      <formula>NOT(ISERROR(SEARCH("Turquesa",AG76)))</formula>
    </cfRule>
  </conditionalFormatting>
  <conditionalFormatting sqref="V13:V28 V34:V49 V55:V70 V76:V83 AE76:AE83 F78:F85 F91:F98 F104:F111 F65:F72 F13:F20 F26:F33 F39:F46 F52:F59">
    <cfRule type="containsText" dxfId="2430" priority="8" stopIfTrue="1" operator="containsText" text="Petróleo">
      <formula>NOT(ISERROR(SEARCH("Petróleo",F13)))</formula>
    </cfRule>
  </conditionalFormatting>
  <conditionalFormatting sqref="V13:V28 V34:V49 V55:V70 V76:V83 AE76:AE83 F78:F85 F91:F98 F104:F111 F65:F72 F13:F20 F26:F33 F39:F46 F52:F59">
    <cfRule type="containsText" dxfId="2429" priority="1" operator="containsText" text="Turquesa">
      <formula>NOT(ISERROR(SEARCH("Turquesa",F13)))</formula>
    </cfRule>
    <cfRule type="containsText" dxfId="2428" priority="2" operator="containsText" text="Escuro">
      <formula>NOT(ISERROR(SEARCH("Escuro",F13)))</formula>
    </cfRule>
    <cfRule type="containsText" dxfId="2427" priority="3" operator="containsText" text="Bege">
      <formula>NOT(ISERROR(SEARCH("Bege",F13)))</formula>
    </cfRule>
    <cfRule type="containsText" dxfId="2426" priority="4" operator="containsText" text="Rosa">
      <formula>NOT(ISERROR(SEARCH("Rosa",F13)))</formula>
    </cfRule>
    <cfRule type="containsText" dxfId="2425" priority="5" operator="containsText" text="Cinza">
      <formula>NOT(ISERROR(SEARCH("Cinza",F13)))</formula>
    </cfRule>
    <cfRule type="containsText" priority="6" operator="containsText" text="Branco">
      <formula>NOT(ISERROR(SEARCH("Branco",F13)))</formula>
    </cfRule>
    <cfRule type="containsText" dxfId="2424" priority="7" operator="containsText" text="Verde">
      <formula>NOT(ISERROR(SEARCH("Verde",F13)))</formula>
    </cfRule>
  </conditionalFormatting>
  <dataValidations count="1">
    <dataValidation type="whole" allowBlank="1" showInputMessage="1" showErrorMessage="1" errorTitle="Erro de Conteúdo." error="Introduza um número de 1 a 100." sqref="X55:Y70">
      <formula1>1</formula1>
      <formula2>100</formula2>
    </dataValidation>
  </dataValidations>
  <pageMargins left="0.7" right="0.7" top="0.75" bottom="0.75" header="0.3" footer="0.3"/>
  <pageSetup paperSize="9" scale="10" orientation="portrait" horizontalDpi="4294967295" verticalDpi="4294967295" r:id="rId1"/>
  <colBreaks count="1" manualBreakCount="1">
    <brk id="39" max="84" man="1"/>
  </colBreaks>
  <drawing r:id="rId2"/>
  <legacyDrawing r:id="rId3"/>
  <controls>
    <mc:AlternateContent xmlns:mc="http://schemas.openxmlformats.org/markup-compatibility/2006">
      <mc:Choice Requires="x14">
        <control shapeId="3032065" r:id="rId4" name="CommandButton1">
          <controlPr defaultSize="0" autoLine="0" r:id="rId5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476250</xdr:colOff>
                <xdr:row>8</xdr:row>
                <xdr:rowOff>19050</xdr:rowOff>
              </to>
            </anchor>
          </controlPr>
        </control>
      </mc:Choice>
      <mc:Fallback>
        <control shapeId="3032065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8" operator="containsText" id="{6C758A7A-0DA9-4D46-BA58-942824FA0369}">
            <xm:f>NOT(ISERROR(SEARCH("-",D8)))</xm:f>
            <xm:f>"-"</xm:f>
            <x14:dxf/>
          </x14:cfRule>
          <xm:sqref>K8 D10 K13:K21 D23 D36 K39:K47 D49 D62 K65:K73 D114 H117:H125 K26:K34 K52:K60</xm:sqref>
        </x14:conditionalFormatting>
        <x14:conditionalFormatting xmlns:xm="http://schemas.microsoft.com/office/excel/2006/main">
          <x14:cfRule type="containsText" priority="107" operator="containsText" id="{A647EF77-55EB-44B1-B8B2-51D3EA5E4947}">
            <xm:f>NOT(ISERROR(SEARCH("-",D75)))</xm:f>
            <xm:f>"-"</xm:f>
            <x14:dxf/>
          </x14:cfRule>
          <xm:sqref>D75 D88 K91:K99 D101 K104:K112 K78:K86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Listas!$H$3:$H$16</xm:f>
          </x14:formula1>
          <xm:sqref>U55:U70</xm:sqref>
        </x14:dataValidation>
        <x14:dataValidation type="list" allowBlank="1" showInputMessage="1" showErrorMessage="1">
          <x14:formula1>
            <xm:f>Listas!$H$3:$H$22</xm:f>
          </x14:formula1>
          <xm:sqref>U76:U83</xm:sqref>
        </x14:dataValidation>
        <x14:dataValidation type="list" allowBlank="1" showInputMessage="1" showErrorMessage="1">
          <x14:formula1>
            <xm:f>Listas!$H$3:$H$20</xm:f>
          </x14:formula1>
          <xm:sqref>AD76:AD83</xm:sqref>
        </x14:dataValidation>
        <x14:dataValidation type="list" allowBlank="1" showInputMessage="1" showErrorMessage="1">
          <x14:formula1>
            <xm:f>Listas!$C$3:$C$26</xm:f>
          </x14:formula1>
          <xm:sqref>V159:W171</xm:sqref>
        </x14:dataValidation>
        <x14:dataValidation type="list" allowBlank="1" showInputMessage="1" showErrorMessage="1">
          <x14:formula1>
            <xm:f>Listas!$C$3:$C$18</xm:f>
          </x14:formula1>
          <xm:sqref>X148:X151</xm:sqref>
        </x14:dataValidation>
        <x14:dataValidation type="list" allowBlank="1" showInputMessage="1" showErrorMessage="1">
          <x14:formula1>
            <xm:f>Listas!$C$3:$C$20</xm:f>
          </x14:formula1>
          <xm:sqref>V133:W140 V146:W153</xm:sqref>
        </x14:dataValidation>
        <x14:dataValidation type="list" allowBlank="1" showInputMessage="1" showErrorMessage="1">
          <x14:formula1>
            <xm:f>Listas!$C$3:$C$16</xm:f>
          </x14:formula1>
          <xm:sqref>E91:E98 E13:E19 V177:W179 E104:E111 E26:E33 E65:E72 E52:E59 E78:E85 E41:E46 E39</xm:sqref>
        </x14:dataValidation>
        <x14:dataValidation type="list" allowBlank="1" showInputMessage="1" showErrorMessage="1">
          <x14:formula1>
            <xm:f>Listas!$F$15:$F$17</xm:f>
          </x14:formula1>
          <xm:sqref>W55:W70</xm:sqref>
        </x14:dataValidation>
        <x14:dataValidation type="list" allowBlank="1" showInputMessage="1" showErrorMessage="1">
          <x14:formula1>
            <xm:f>Listas!$H$17:$H$22</xm:f>
          </x14:formula1>
          <xm:sqref>U13:U28 U34:U49</xm:sqref>
        </x14:dataValidation>
        <x14:dataValidation type="list" allowBlank="1" showInputMessage="1" showErrorMessage="1">
          <x14:formula1>
            <xm:f>Listas!$B$3:$B$6</xm:f>
          </x14:formula1>
          <xm:sqref>N2</xm:sqref>
        </x14:dataValidation>
        <x14:dataValidation type="list" allowBlank="1" showInputMessage="1" showErrorMessage="1">
          <x14:formula1>
            <xm:f>Listas!$E$3:$E$9</xm:f>
          </x14:formula1>
          <xm:sqref>U177:U179 U133:U138 U140 U159:U171 U146:U153</xm:sqref>
        </x14:dataValidation>
        <x14:dataValidation type="list" allowBlank="1" showInputMessage="1" showErrorMessage="1">
          <x14:formula1>
            <xm:f>Listas!$A$3:$A$5</xm:f>
          </x14:formula1>
          <xm:sqref>P2</xm:sqref>
        </x14:dataValidation>
        <x14:dataValidation type="list" allowBlank="1" showInputMessage="1" showErrorMessage="1">
          <x14:formula1>
            <xm:f>Listas!$E$26:$E$33</xm:f>
          </x14:formula1>
          <xm:sqref>AJ76:AK83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654"/>
  <dimension ref="A1:AX338"/>
  <sheetViews>
    <sheetView showGridLines="0" tabSelected="1" zoomScale="80" zoomScaleNormal="80" zoomScaleSheetLayoutView="100" zoomScalePageLayoutView="70" workbookViewId="0">
      <selection activeCell="L111" sqref="L111"/>
    </sheetView>
  </sheetViews>
  <sheetFormatPr defaultRowHeight="15"/>
  <cols>
    <col min="1" max="1" width="2.28515625" style="39" customWidth="1"/>
    <col min="2" max="2" width="3.7109375" style="39" customWidth="1"/>
    <col min="3" max="3" width="13.140625" style="39" customWidth="1"/>
    <col min="4" max="4" width="16.28515625" style="39" bestFit="1" customWidth="1"/>
    <col min="5" max="5" width="12.7109375" style="39" customWidth="1"/>
    <col min="6" max="6" width="12.140625" style="39" customWidth="1"/>
    <col min="7" max="9" width="10.7109375" style="39" customWidth="1"/>
    <col min="10" max="10" width="8.42578125" style="39" bestFit="1" customWidth="1"/>
    <col min="11" max="11" width="12.7109375" style="39" customWidth="1"/>
    <col min="12" max="12" width="24" style="39" customWidth="1"/>
    <col min="13" max="13" width="12.42578125" style="39" customWidth="1"/>
    <col min="14" max="14" width="11.140625" style="39" customWidth="1"/>
    <col min="15" max="15" width="11" style="39" bestFit="1" customWidth="1"/>
    <col min="16" max="16" width="9.140625" style="39"/>
    <col min="17" max="17" width="15.140625" style="39" customWidth="1"/>
    <col min="18" max="18" width="2.140625" style="203" customWidth="1"/>
    <col min="19" max="19" width="2.140625" style="39" customWidth="1"/>
    <col min="20" max="20" width="5.7109375" style="39" customWidth="1"/>
    <col min="21" max="22" width="15.7109375" style="39" customWidth="1"/>
    <col min="23" max="38" width="10.7109375" style="39" customWidth="1"/>
    <col min="39" max="39" width="3.140625" style="30" customWidth="1"/>
    <col min="40" max="40" width="9.140625" style="30"/>
    <col min="41" max="50" width="9.140625" style="134"/>
    <col min="51" max="16384" width="9.140625" style="2"/>
  </cols>
  <sheetData>
    <row r="1" spans="1:50" ht="15" customHeight="1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133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</row>
    <row r="2" spans="1:50" ht="21">
      <c r="A2" s="30"/>
      <c r="B2" s="30"/>
      <c r="C2" s="30"/>
      <c r="D2" s="30"/>
      <c r="E2" s="222" t="s">
        <v>67</v>
      </c>
      <c r="F2" s="135"/>
      <c r="G2" s="135"/>
      <c r="H2" s="135"/>
      <c r="I2" s="135"/>
      <c r="J2" s="136"/>
      <c r="K2" s="137" t="s">
        <v>70</v>
      </c>
      <c r="L2" s="31">
        <v>43710</v>
      </c>
      <c r="M2" s="137" t="s">
        <v>71</v>
      </c>
      <c r="N2" s="138" t="s">
        <v>11</v>
      </c>
      <c r="O2" s="137" t="s">
        <v>72</v>
      </c>
      <c r="P2" s="139">
        <v>3</v>
      </c>
      <c r="Q2" s="30"/>
      <c r="R2" s="133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133"/>
      <c r="AE2" s="133"/>
      <c r="AF2" s="133"/>
      <c r="AG2" s="133"/>
      <c r="AH2" s="133"/>
      <c r="AI2" s="133"/>
      <c r="AJ2" s="133"/>
      <c r="AK2" s="133"/>
      <c r="AL2" s="30"/>
    </row>
    <row r="3" spans="1:50" ht="15" customHeight="1" thickBot="1">
      <c r="A3" s="30"/>
      <c r="B3" s="30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30"/>
      <c r="AM3" s="133"/>
    </row>
    <row r="4" spans="1:50" s="146" customFormat="1" ht="9.9499999999999993" customHeight="1">
      <c r="A4" s="30"/>
      <c r="B4" s="140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141"/>
      <c r="R4" s="142"/>
      <c r="S4" s="143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5"/>
      <c r="AM4" s="133"/>
      <c r="AN4" s="30"/>
      <c r="AO4" s="134"/>
      <c r="AP4" s="134"/>
      <c r="AQ4" s="134"/>
      <c r="AR4" s="134"/>
      <c r="AS4" s="134"/>
      <c r="AT4" s="134"/>
      <c r="AU4" s="134"/>
      <c r="AV4" s="134"/>
      <c r="AW4" s="134"/>
      <c r="AX4" s="134"/>
    </row>
    <row r="5" spans="1:50" s="146" customFormat="1" ht="15.75">
      <c r="A5" s="30"/>
      <c r="B5" s="147"/>
      <c r="C5" s="40" t="s">
        <v>66</v>
      </c>
      <c r="D5" s="34"/>
      <c r="E5" s="34"/>
      <c r="F5" s="34"/>
      <c r="G5" s="34"/>
      <c r="H5" s="34"/>
      <c r="I5" s="34"/>
      <c r="J5" s="34"/>
      <c r="K5" s="34"/>
      <c r="L5" s="34"/>
      <c r="M5" s="148"/>
      <c r="N5" s="148"/>
      <c r="O5" s="148"/>
      <c r="P5" s="148"/>
      <c r="Q5" s="149"/>
      <c r="R5" s="142"/>
      <c r="S5" s="150"/>
      <c r="T5" s="204" t="s">
        <v>65</v>
      </c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2"/>
      <c r="AJ5" s="152"/>
      <c r="AK5" s="152"/>
      <c r="AL5" s="153"/>
      <c r="AM5" s="133"/>
      <c r="AN5" s="30"/>
      <c r="AO5" s="134"/>
      <c r="AP5" s="134"/>
      <c r="AQ5" s="134"/>
      <c r="AR5" s="134"/>
      <c r="AS5" s="134"/>
      <c r="AT5" s="134"/>
      <c r="AU5" s="134"/>
      <c r="AV5" s="134"/>
      <c r="AW5" s="134"/>
      <c r="AX5" s="134"/>
    </row>
    <row r="6" spans="1:50" ht="15" customHeight="1" thickBot="1">
      <c r="A6" s="30"/>
      <c r="B6" s="147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154"/>
      <c r="R6" s="155"/>
      <c r="S6" s="156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8"/>
      <c r="AM6" s="133"/>
    </row>
    <row r="7" spans="1:50" ht="18.75" customHeight="1">
      <c r="A7" s="30"/>
      <c r="B7" s="147"/>
      <c r="C7" s="35"/>
      <c r="D7" s="35"/>
      <c r="E7" s="305" t="s">
        <v>101</v>
      </c>
      <c r="F7" s="306"/>
      <c r="G7" s="159" t="s">
        <v>0</v>
      </c>
      <c r="H7" s="160" t="s">
        <v>1</v>
      </c>
      <c r="I7" s="160" t="s">
        <v>18</v>
      </c>
      <c r="J7" s="160" t="s">
        <v>68</v>
      </c>
      <c r="K7" s="160" t="s">
        <v>74</v>
      </c>
      <c r="L7" s="113" t="s">
        <v>75</v>
      </c>
      <c r="M7" s="35"/>
      <c r="N7" s="35"/>
      <c r="O7" s="35"/>
      <c r="P7" s="35"/>
      <c r="Q7" s="154"/>
      <c r="R7" s="133"/>
      <c r="S7" s="156"/>
      <c r="T7" s="157"/>
      <c r="U7" s="157"/>
      <c r="V7" s="161"/>
      <c r="W7" s="305" t="s">
        <v>100</v>
      </c>
      <c r="X7" s="306"/>
      <c r="Y7" s="309"/>
      <c r="Z7" s="52" t="s">
        <v>19</v>
      </c>
      <c r="AA7" s="68" t="s">
        <v>52</v>
      </c>
      <c r="AB7" s="51" t="s">
        <v>50</v>
      </c>
      <c r="AC7" s="68" t="s">
        <v>51</v>
      </c>
      <c r="AD7" s="68" t="s">
        <v>96</v>
      </c>
      <c r="AE7" s="53" t="s">
        <v>97</v>
      </c>
      <c r="AF7" s="311" t="s">
        <v>73</v>
      </c>
      <c r="AG7" s="312"/>
      <c r="AH7" s="157"/>
      <c r="AI7" s="157"/>
      <c r="AJ7" s="157"/>
      <c r="AK7" s="157"/>
      <c r="AL7" s="158"/>
      <c r="AM7" s="133"/>
    </row>
    <row r="8" spans="1:50" ht="21.75" thickBot="1">
      <c r="A8" s="30"/>
      <c r="B8" s="147"/>
      <c r="C8" s="35"/>
      <c r="D8" s="35"/>
      <c r="E8" s="307"/>
      <c r="F8" s="308"/>
      <c r="G8" s="162">
        <f>G21+G34+G47+G60+G73+G86+G99+G112</f>
        <v>47618</v>
      </c>
      <c r="H8" s="163">
        <f>H21+H34+H47+H60+H73+H86+H99+H112</f>
        <v>2410</v>
      </c>
      <c r="I8" s="217">
        <f>I21+I34+I47+I60+I73+I86+I99+I112</f>
        <v>584</v>
      </c>
      <c r="J8" s="163">
        <f>+I8+H8+G8</f>
        <v>50612</v>
      </c>
      <c r="K8" s="114">
        <f>IF(J8&lt;&gt;0,G8/J8,0)</f>
        <v>0.94084406860033198</v>
      </c>
      <c r="L8" s="115">
        <v>0.96</v>
      </c>
      <c r="M8" s="35"/>
      <c r="N8" s="35"/>
      <c r="O8" s="35"/>
      <c r="P8" s="35"/>
      <c r="Q8" s="154"/>
      <c r="R8" s="133"/>
      <c r="S8" s="156"/>
      <c r="T8" s="157"/>
      <c r="U8" s="157"/>
      <c r="V8" s="161"/>
      <c r="W8" s="307"/>
      <c r="X8" s="308"/>
      <c r="Y8" s="310"/>
      <c r="Z8" s="93">
        <f>Y29+Y50</f>
        <v>2052</v>
      </c>
      <c r="AA8" s="164">
        <f>Z8*18</f>
        <v>36936</v>
      </c>
      <c r="AB8" s="94">
        <f>+AB71</f>
        <v>11385</v>
      </c>
      <c r="AC8" s="95">
        <f>+AC71</f>
        <v>0</v>
      </c>
      <c r="AD8" s="95">
        <f>+X84</f>
        <v>0</v>
      </c>
      <c r="AE8" s="96">
        <f>+AG84</f>
        <v>0</v>
      </c>
      <c r="AF8" s="313">
        <f>+SUM(AA8:AD8)</f>
        <v>48321</v>
      </c>
      <c r="AG8" s="314"/>
      <c r="AH8" s="157"/>
      <c r="AI8" s="157"/>
      <c r="AJ8" s="157"/>
      <c r="AK8" s="157"/>
      <c r="AL8" s="158"/>
      <c r="AM8" s="133"/>
    </row>
    <row r="9" spans="1:50" ht="21.75" thickBot="1">
      <c r="A9" s="30"/>
      <c r="B9" s="147"/>
      <c r="C9" s="35"/>
      <c r="D9" s="35"/>
      <c r="E9" s="19"/>
      <c r="F9" s="19"/>
      <c r="G9" s="165"/>
      <c r="H9" s="165"/>
      <c r="I9" s="165"/>
      <c r="J9" s="165"/>
      <c r="K9" s="43"/>
      <c r="L9" s="44"/>
      <c r="M9" s="35"/>
      <c r="N9" s="35"/>
      <c r="O9" s="35"/>
      <c r="P9" s="35"/>
      <c r="Q9" s="154"/>
      <c r="R9" s="133"/>
      <c r="S9" s="156"/>
      <c r="T9" s="157"/>
      <c r="U9" s="157"/>
      <c r="V9" s="21"/>
      <c r="W9" s="21"/>
      <c r="X9" s="21"/>
      <c r="Y9" s="166"/>
      <c r="Z9" s="167"/>
      <c r="AA9" s="167"/>
      <c r="AB9" s="166"/>
      <c r="AC9" s="166"/>
      <c r="AD9" s="166"/>
      <c r="AE9" s="22"/>
      <c r="AF9" s="22"/>
      <c r="AG9" s="22"/>
      <c r="AH9" s="157"/>
      <c r="AI9" s="157"/>
      <c r="AJ9" s="157"/>
      <c r="AK9" s="157"/>
      <c r="AL9" s="158"/>
      <c r="AM9" s="133"/>
    </row>
    <row r="10" spans="1:50" ht="19.5" customHeight="1">
      <c r="A10" s="30"/>
      <c r="B10" s="147"/>
      <c r="C10" s="253">
        <v>1</v>
      </c>
      <c r="D10" s="255">
        <f>K21</f>
        <v>0.93733905579399146</v>
      </c>
      <c r="E10" s="19"/>
      <c r="F10" s="19"/>
      <c r="G10" s="168"/>
      <c r="H10" s="168"/>
      <c r="I10" s="168"/>
      <c r="J10" s="168"/>
      <c r="K10" s="169"/>
      <c r="L10" s="20"/>
      <c r="M10" s="35"/>
      <c r="N10" s="35"/>
      <c r="O10" s="35"/>
      <c r="P10" s="35"/>
      <c r="Q10" s="154"/>
      <c r="R10" s="133"/>
      <c r="S10" s="156"/>
      <c r="T10" s="282" t="s">
        <v>114</v>
      </c>
      <c r="U10" s="283"/>
      <c r="V10" s="284"/>
      <c r="W10" s="21"/>
      <c r="X10" s="21"/>
      <c r="Y10" s="167"/>
      <c r="Z10" s="167"/>
      <c r="AA10" s="167"/>
      <c r="AB10" s="167"/>
      <c r="AC10" s="166"/>
      <c r="AD10" s="166"/>
      <c r="AE10" s="22"/>
      <c r="AF10" s="22"/>
      <c r="AG10" s="22"/>
      <c r="AH10" s="157"/>
      <c r="AI10" s="157"/>
      <c r="AJ10" s="157"/>
      <c r="AK10" s="157"/>
      <c r="AL10" s="158"/>
      <c r="AM10" s="133"/>
    </row>
    <row r="11" spans="1:50" ht="15" customHeight="1" thickBot="1">
      <c r="A11" s="30"/>
      <c r="B11" s="147"/>
      <c r="C11" s="254"/>
      <c r="D11" s="256"/>
      <c r="E11" s="131"/>
      <c r="F11" s="131"/>
      <c r="G11" s="131"/>
      <c r="H11" s="131"/>
      <c r="I11" s="131"/>
      <c r="J11" s="131"/>
      <c r="K11" s="131"/>
      <c r="L11" s="35"/>
      <c r="M11" s="35"/>
      <c r="N11" s="35"/>
      <c r="O11" s="35"/>
      <c r="P11" s="35"/>
      <c r="Q11" s="154"/>
      <c r="R11" s="133"/>
      <c r="S11" s="156"/>
      <c r="T11" s="285"/>
      <c r="U11" s="286"/>
      <c r="V11" s="287"/>
      <c r="W11" s="170"/>
      <c r="X11" s="170"/>
      <c r="Y11" s="170"/>
      <c r="Z11" s="170"/>
      <c r="AA11" s="170"/>
      <c r="AB11" s="170"/>
      <c r="AC11" s="170"/>
      <c r="AD11" s="170"/>
      <c r="AE11" s="157"/>
      <c r="AF11" s="157"/>
      <c r="AG11" s="157"/>
      <c r="AH11" s="157"/>
      <c r="AI11" s="157"/>
      <c r="AJ11" s="157"/>
      <c r="AK11" s="157"/>
      <c r="AL11" s="158"/>
      <c r="AM11" s="133"/>
    </row>
    <row r="12" spans="1:50" ht="15" customHeight="1">
      <c r="A12" s="30"/>
      <c r="B12" s="147"/>
      <c r="C12" s="29" t="s">
        <v>2</v>
      </c>
      <c r="D12" s="23" t="s">
        <v>6</v>
      </c>
      <c r="E12" s="23" t="s">
        <v>3</v>
      </c>
      <c r="F12" s="23" t="s">
        <v>58</v>
      </c>
      <c r="G12" s="231" t="s">
        <v>0</v>
      </c>
      <c r="H12" s="231" t="s">
        <v>1</v>
      </c>
      <c r="I12" s="231" t="s">
        <v>18</v>
      </c>
      <c r="J12" s="231" t="s">
        <v>5</v>
      </c>
      <c r="K12" s="23" t="s">
        <v>13</v>
      </c>
      <c r="L12" s="23" t="s">
        <v>17</v>
      </c>
      <c r="M12" s="23" t="s">
        <v>9</v>
      </c>
      <c r="N12" s="240" t="s">
        <v>77</v>
      </c>
      <c r="O12" s="24" t="s">
        <v>12</v>
      </c>
      <c r="P12" s="35"/>
      <c r="Q12" s="154"/>
      <c r="R12" s="133"/>
      <c r="S12" s="156"/>
      <c r="T12" s="45" t="s">
        <v>2</v>
      </c>
      <c r="U12" s="46" t="s">
        <v>24</v>
      </c>
      <c r="V12" s="46" t="s">
        <v>4</v>
      </c>
      <c r="W12" s="23" t="s">
        <v>82</v>
      </c>
      <c r="X12" s="46" t="s">
        <v>45</v>
      </c>
      <c r="Y12" s="46" t="s">
        <v>25</v>
      </c>
      <c r="Z12" s="46" t="s">
        <v>26</v>
      </c>
      <c r="AA12" s="46" t="s">
        <v>84</v>
      </c>
      <c r="AB12" s="46" t="s">
        <v>102</v>
      </c>
      <c r="AC12" s="46" t="s">
        <v>76</v>
      </c>
      <c r="AD12" s="299" t="s">
        <v>78</v>
      </c>
      <c r="AE12" s="299"/>
      <c r="AF12" s="300"/>
      <c r="AG12" s="157"/>
      <c r="AH12" s="157"/>
      <c r="AI12" s="157"/>
      <c r="AJ12" s="157"/>
      <c r="AK12" s="157"/>
      <c r="AL12" s="158"/>
      <c r="AM12" s="133"/>
    </row>
    <row r="13" spans="1:50" ht="15" customHeight="1">
      <c r="A13" s="30"/>
      <c r="B13" s="147"/>
      <c r="C13" s="232">
        <v>1</v>
      </c>
      <c r="D13" s="210" t="s">
        <v>138</v>
      </c>
      <c r="E13" s="210" t="s">
        <v>37</v>
      </c>
      <c r="F13" s="100" t="s">
        <v>118</v>
      </c>
      <c r="G13" s="124">
        <v>840</v>
      </c>
      <c r="H13" s="125">
        <v>60</v>
      </c>
      <c r="I13" s="126">
        <v>20</v>
      </c>
      <c r="J13" s="234">
        <f t="shared" ref="J13:J20" si="0">SUM(G13:I13)</f>
        <v>920</v>
      </c>
      <c r="K13" s="171">
        <f t="shared" ref="K13:K21" si="1">IF(J13&lt;&gt;0,G13/J13,0)</f>
        <v>0.91304347826086951</v>
      </c>
      <c r="L13" s="213" t="s">
        <v>181</v>
      </c>
      <c r="M13" s="213"/>
      <c r="N13" s="223"/>
      <c r="O13" s="210" t="s">
        <v>150</v>
      </c>
      <c r="P13" s="35"/>
      <c r="Q13" s="154"/>
      <c r="R13" s="133"/>
      <c r="S13" s="156" t="s">
        <v>56</v>
      </c>
      <c r="T13" s="293">
        <v>1</v>
      </c>
      <c r="U13" s="211" t="s">
        <v>22</v>
      </c>
      <c r="V13" s="211" t="s">
        <v>118</v>
      </c>
      <c r="W13" s="211"/>
      <c r="X13" s="211">
        <v>5</v>
      </c>
      <c r="Y13" s="234">
        <f>IF(U13&lt;&gt;"",X13*VLOOKUP(U13,Listas!$H$3:$L$23,3,0),0)</f>
        <v>90</v>
      </c>
      <c r="Z13" s="234">
        <f>Y13*18</f>
        <v>1620</v>
      </c>
      <c r="AA13" s="272">
        <f>+SUM(Z13:Z14)</f>
        <v>1620</v>
      </c>
      <c r="AB13" s="234">
        <f>IF(U13&lt;&gt;"",VLOOKUP(U13,Listas!$N$3:$O$10,2,FALSE),"")</f>
        <v>12</v>
      </c>
      <c r="AC13" s="301"/>
      <c r="AD13" s="274"/>
      <c r="AE13" s="275"/>
      <c r="AF13" s="276"/>
      <c r="AG13" s="157"/>
      <c r="AH13" s="157"/>
      <c r="AI13" s="157"/>
      <c r="AJ13" s="157"/>
      <c r="AK13" s="157"/>
      <c r="AL13" s="158"/>
      <c r="AM13" s="133"/>
    </row>
    <row r="14" spans="1:50" ht="15" customHeight="1">
      <c r="A14" s="30"/>
      <c r="B14" s="147"/>
      <c r="C14" s="28">
        <v>2</v>
      </c>
      <c r="D14" s="210" t="s">
        <v>138</v>
      </c>
      <c r="E14" s="210" t="s">
        <v>37</v>
      </c>
      <c r="F14" s="100" t="s">
        <v>118</v>
      </c>
      <c r="G14" s="124">
        <v>840</v>
      </c>
      <c r="H14" s="125">
        <v>60</v>
      </c>
      <c r="I14" s="126">
        <v>13</v>
      </c>
      <c r="J14" s="26">
        <f t="shared" si="0"/>
        <v>913</v>
      </c>
      <c r="K14" s="172">
        <f t="shared" si="1"/>
        <v>0.92004381161007665</v>
      </c>
      <c r="L14" s="213" t="s">
        <v>181</v>
      </c>
      <c r="M14" s="213"/>
      <c r="N14" s="223"/>
      <c r="O14" s="210" t="s">
        <v>150</v>
      </c>
      <c r="P14" s="35"/>
      <c r="Q14" s="154"/>
      <c r="R14" s="133"/>
      <c r="S14" s="156"/>
      <c r="T14" s="288"/>
      <c r="U14" s="104"/>
      <c r="V14" s="116"/>
      <c r="W14" s="104"/>
      <c r="X14" s="104"/>
      <c r="Y14" s="235">
        <f>IF(U14&lt;&gt;"",X14*VLOOKUP(U14,Listas!$H$3:$L$23,3,0),0)</f>
        <v>0</v>
      </c>
      <c r="Z14" s="235">
        <f>Y14*18</f>
        <v>0</v>
      </c>
      <c r="AA14" s="289"/>
      <c r="AB14" s="235" t="str">
        <f>IF(U14&lt;&gt;"",VLOOKUP(U14,Listas!$N$3:$O$10,2,FALSE),"")</f>
        <v/>
      </c>
      <c r="AC14" s="302"/>
      <c r="AD14" s="290"/>
      <c r="AE14" s="291"/>
      <c r="AF14" s="292"/>
      <c r="AG14" s="157"/>
      <c r="AH14" s="157"/>
      <c r="AI14" s="157"/>
      <c r="AJ14" s="157"/>
      <c r="AK14" s="157"/>
      <c r="AL14" s="158"/>
      <c r="AM14" s="133"/>
    </row>
    <row r="15" spans="1:50" ht="15" customHeight="1">
      <c r="A15" s="30"/>
      <c r="B15" s="147"/>
      <c r="C15" s="28">
        <v>3</v>
      </c>
      <c r="D15" s="210" t="s">
        <v>135</v>
      </c>
      <c r="E15" s="210" t="s">
        <v>37</v>
      </c>
      <c r="F15" s="100" t="s">
        <v>118</v>
      </c>
      <c r="G15" s="124">
        <v>840</v>
      </c>
      <c r="H15" s="125">
        <v>10</v>
      </c>
      <c r="I15" s="126">
        <v>9</v>
      </c>
      <c r="J15" s="26">
        <f t="shared" si="0"/>
        <v>859</v>
      </c>
      <c r="K15" s="172">
        <f t="shared" si="1"/>
        <v>0.97788125727590225</v>
      </c>
      <c r="L15" s="213"/>
      <c r="M15" s="213"/>
      <c r="N15" s="223"/>
      <c r="O15" s="210" t="s">
        <v>187</v>
      </c>
      <c r="P15" s="35"/>
      <c r="Q15" s="154"/>
      <c r="R15" s="133"/>
      <c r="S15" s="156"/>
      <c r="T15" s="270">
        <v>2</v>
      </c>
      <c r="U15" s="211" t="s">
        <v>22</v>
      </c>
      <c r="V15" s="211" t="s">
        <v>118</v>
      </c>
      <c r="W15" s="210"/>
      <c r="X15" s="211">
        <v>6</v>
      </c>
      <c r="Y15" s="237">
        <f>IF(U15&lt;&gt;"",X15*VLOOKUP(U15,Listas!$H$3:$L$23,3,0),0)</f>
        <v>108</v>
      </c>
      <c r="Z15" s="237">
        <f t="shared" ref="Z15:Z28" si="2">Y15*18</f>
        <v>1944</v>
      </c>
      <c r="AA15" s="303">
        <f>+SUM(Z15:Z16)</f>
        <v>1944</v>
      </c>
      <c r="AB15" s="237">
        <f>IF(U15&lt;&gt;"",VLOOKUP(U15,Listas!$N$3:$O$10,2,FALSE),"")</f>
        <v>12</v>
      </c>
      <c r="AC15" s="301"/>
      <c r="AD15" s="274"/>
      <c r="AE15" s="275"/>
      <c r="AF15" s="276"/>
      <c r="AG15" s="157"/>
      <c r="AH15" s="157"/>
      <c r="AI15" s="157"/>
      <c r="AJ15" s="157"/>
      <c r="AK15" s="157"/>
      <c r="AL15" s="158"/>
      <c r="AM15" s="133"/>
    </row>
    <row r="16" spans="1:50" ht="15" customHeight="1">
      <c r="A16" s="30"/>
      <c r="B16" s="147"/>
      <c r="C16" s="28">
        <v>4</v>
      </c>
      <c r="D16" s="210" t="s">
        <v>135</v>
      </c>
      <c r="E16" s="210" t="s">
        <v>37</v>
      </c>
      <c r="F16" s="100" t="s">
        <v>118</v>
      </c>
      <c r="G16" s="124">
        <v>840</v>
      </c>
      <c r="H16" s="125">
        <v>40</v>
      </c>
      <c r="I16" s="126">
        <v>36</v>
      </c>
      <c r="J16" s="26">
        <f t="shared" si="0"/>
        <v>916</v>
      </c>
      <c r="K16" s="172">
        <f t="shared" si="1"/>
        <v>0.91703056768558955</v>
      </c>
      <c r="L16" s="213" t="s">
        <v>181</v>
      </c>
      <c r="M16" s="213"/>
      <c r="N16" s="223"/>
      <c r="O16" s="210" t="s">
        <v>187</v>
      </c>
      <c r="P16" s="35"/>
      <c r="Q16" s="154"/>
      <c r="R16" s="133"/>
      <c r="S16" s="156"/>
      <c r="T16" s="271"/>
      <c r="U16" s="104"/>
      <c r="V16" s="116"/>
      <c r="W16" s="104"/>
      <c r="X16" s="104"/>
      <c r="Y16" s="238">
        <f>IF(U16&lt;&gt;"",X16*VLOOKUP(U16,Listas!$H$3:$L$23,3,0),0)</f>
        <v>0</v>
      </c>
      <c r="Z16" s="238">
        <f t="shared" si="2"/>
        <v>0</v>
      </c>
      <c r="AA16" s="273"/>
      <c r="AB16" s="238" t="str">
        <f>IF(U16&lt;&gt;"",VLOOKUP(U16,Listas!$N$3:$O$10,2,FALSE),"")</f>
        <v/>
      </c>
      <c r="AC16" s="302"/>
      <c r="AD16" s="290"/>
      <c r="AE16" s="291"/>
      <c r="AF16" s="292"/>
      <c r="AG16" s="157"/>
      <c r="AH16" s="157"/>
      <c r="AI16" s="157"/>
      <c r="AJ16" s="157"/>
      <c r="AK16" s="157"/>
      <c r="AL16" s="158"/>
      <c r="AM16" s="133"/>
    </row>
    <row r="17" spans="1:39" ht="15" customHeight="1">
      <c r="A17" s="30"/>
      <c r="B17" s="147"/>
      <c r="C17" s="28">
        <v>5</v>
      </c>
      <c r="D17" s="210" t="s">
        <v>135</v>
      </c>
      <c r="E17" s="210" t="s">
        <v>37</v>
      </c>
      <c r="F17" s="100" t="s">
        <v>118</v>
      </c>
      <c r="G17" s="124">
        <v>840</v>
      </c>
      <c r="H17" s="125">
        <v>30</v>
      </c>
      <c r="I17" s="126">
        <v>22</v>
      </c>
      <c r="J17" s="26">
        <f t="shared" si="0"/>
        <v>892</v>
      </c>
      <c r="K17" s="172">
        <f t="shared" si="1"/>
        <v>0.94170403587443952</v>
      </c>
      <c r="L17" s="213" t="s">
        <v>181</v>
      </c>
      <c r="M17" s="213"/>
      <c r="N17" s="223"/>
      <c r="O17" s="210" t="s">
        <v>187</v>
      </c>
      <c r="P17" s="35"/>
      <c r="Q17" s="154"/>
      <c r="R17" s="133"/>
      <c r="S17" s="156"/>
      <c r="T17" s="293">
        <v>3</v>
      </c>
      <c r="U17" s="211" t="s">
        <v>22</v>
      </c>
      <c r="V17" s="211" t="s">
        <v>118</v>
      </c>
      <c r="W17" s="210"/>
      <c r="X17" s="211">
        <v>2</v>
      </c>
      <c r="Y17" s="234">
        <f>IF(U17&lt;&gt;"",X17*VLOOKUP(U17,Listas!$H$3:$L$23,3,0),0)</f>
        <v>36</v>
      </c>
      <c r="Z17" s="234">
        <f t="shared" si="2"/>
        <v>648</v>
      </c>
      <c r="AA17" s="272">
        <f>+SUM(Z17:Z18)</f>
        <v>648</v>
      </c>
      <c r="AB17" s="234">
        <f>IF(U17&lt;&gt;"",VLOOKUP(U17,Listas!$N$3:$O$10,2,FALSE),"")</f>
        <v>12</v>
      </c>
      <c r="AC17" s="301"/>
      <c r="AD17" s="274"/>
      <c r="AE17" s="275"/>
      <c r="AF17" s="276"/>
      <c r="AG17" s="157"/>
      <c r="AH17" s="157"/>
      <c r="AI17" s="157"/>
      <c r="AJ17" s="157"/>
      <c r="AK17" s="157"/>
      <c r="AL17" s="158"/>
      <c r="AM17" s="133"/>
    </row>
    <row r="18" spans="1:39" ht="15" customHeight="1">
      <c r="A18" s="30"/>
      <c r="B18" s="147"/>
      <c r="C18" s="28">
        <v>6</v>
      </c>
      <c r="D18" s="210" t="s">
        <v>138</v>
      </c>
      <c r="E18" s="210" t="s">
        <v>37</v>
      </c>
      <c r="F18" s="100" t="s">
        <v>118</v>
      </c>
      <c r="G18" s="124">
        <v>1008</v>
      </c>
      <c r="H18" s="125">
        <v>30</v>
      </c>
      <c r="I18" s="126">
        <v>20</v>
      </c>
      <c r="J18" s="26">
        <f t="shared" si="0"/>
        <v>1058</v>
      </c>
      <c r="K18" s="172">
        <f t="shared" si="1"/>
        <v>0.95274102079395084</v>
      </c>
      <c r="L18" s="213" t="s">
        <v>181</v>
      </c>
      <c r="M18" s="213"/>
      <c r="N18" s="223"/>
      <c r="O18" s="210" t="s">
        <v>187</v>
      </c>
      <c r="P18" s="35"/>
      <c r="Q18" s="154"/>
      <c r="R18" s="133"/>
      <c r="S18" s="156"/>
      <c r="T18" s="288"/>
      <c r="U18" s="211"/>
      <c r="V18" s="211"/>
      <c r="W18" s="104"/>
      <c r="X18" s="104"/>
      <c r="Y18" s="235">
        <f>IF(U18&lt;&gt;"",X18*VLOOKUP(U18,Listas!$H$3:$L$23,3,0),0)</f>
        <v>0</v>
      </c>
      <c r="Z18" s="235">
        <f t="shared" si="2"/>
        <v>0</v>
      </c>
      <c r="AA18" s="289"/>
      <c r="AB18" s="235" t="str">
        <f>IF(U18&lt;&gt;"",VLOOKUP(U18,Listas!$N$3:$O$10,2,FALSE),"")</f>
        <v/>
      </c>
      <c r="AC18" s="302"/>
      <c r="AD18" s="290"/>
      <c r="AE18" s="291"/>
      <c r="AF18" s="292"/>
      <c r="AG18" s="157"/>
      <c r="AH18" s="157"/>
      <c r="AI18" s="157"/>
      <c r="AJ18" s="157"/>
      <c r="AK18" s="157"/>
      <c r="AL18" s="158"/>
      <c r="AM18" s="133"/>
    </row>
    <row r="19" spans="1:39" ht="15" customHeight="1">
      <c r="A19" s="30"/>
      <c r="B19" s="147"/>
      <c r="C19" s="28">
        <v>7</v>
      </c>
      <c r="D19" s="210" t="s">
        <v>138</v>
      </c>
      <c r="E19" s="210" t="s">
        <v>37</v>
      </c>
      <c r="F19" s="100" t="s">
        <v>118</v>
      </c>
      <c r="G19" s="124">
        <v>672</v>
      </c>
      <c r="H19" s="125">
        <v>30</v>
      </c>
      <c r="I19" s="126">
        <v>3</v>
      </c>
      <c r="J19" s="26">
        <f t="shared" si="0"/>
        <v>705</v>
      </c>
      <c r="K19" s="172">
        <f t="shared" si="1"/>
        <v>0.95319148936170217</v>
      </c>
      <c r="L19" s="213" t="s">
        <v>181</v>
      </c>
      <c r="M19" s="213">
        <v>10</v>
      </c>
      <c r="N19" s="223">
        <v>51</v>
      </c>
      <c r="O19" s="210" t="s">
        <v>187</v>
      </c>
      <c r="P19" s="35"/>
      <c r="Q19" s="154"/>
      <c r="R19" s="133"/>
      <c r="S19" s="156"/>
      <c r="T19" s="270">
        <v>4</v>
      </c>
      <c r="U19" s="211" t="s">
        <v>22</v>
      </c>
      <c r="V19" s="211" t="s">
        <v>118</v>
      </c>
      <c r="W19" s="210"/>
      <c r="X19" s="211">
        <v>8</v>
      </c>
      <c r="Y19" s="237">
        <f>IF(U19&lt;&gt;"",X19*VLOOKUP(U19,Listas!$H$3:$L$23,3,0),0)</f>
        <v>144</v>
      </c>
      <c r="Z19" s="237">
        <f t="shared" si="2"/>
        <v>2592</v>
      </c>
      <c r="AA19" s="303">
        <f>+SUM(Z19:Z20)</f>
        <v>2592</v>
      </c>
      <c r="AB19" s="237">
        <f>IF(U19&lt;&gt;"",VLOOKUP(U19,Listas!$N$3:$O$10,2,FALSE),"")</f>
        <v>12</v>
      </c>
      <c r="AC19" s="301"/>
      <c r="AD19" s="274"/>
      <c r="AE19" s="275"/>
      <c r="AF19" s="276"/>
      <c r="AG19" s="157"/>
      <c r="AH19" s="157"/>
      <c r="AI19" s="157"/>
      <c r="AJ19" s="157"/>
      <c r="AK19" s="157"/>
      <c r="AL19" s="158"/>
      <c r="AM19" s="133"/>
    </row>
    <row r="20" spans="1:39" ht="15" customHeight="1" thickBot="1">
      <c r="A20" s="30"/>
      <c r="B20" s="147"/>
      <c r="C20" s="236">
        <v>8</v>
      </c>
      <c r="D20" s="210" t="s">
        <v>138</v>
      </c>
      <c r="E20" s="210" t="s">
        <v>37</v>
      </c>
      <c r="F20" s="100" t="s">
        <v>118</v>
      </c>
      <c r="G20" s="226">
        <v>672</v>
      </c>
      <c r="H20" s="225">
        <v>30</v>
      </c>
      <c r="I20" s="208">
        <v>25</v>
      </c>
      <c r="J20" s="238">
        <f t="shared" si="0"/>
        <v>727</v>
      </c>
      <c r="K20" s="173">
        <f t="shared" si="1"/>
        <v>0.92434662998624484</v>
      </c>
      <c r="L20" s="213" t="s">
        <v>181</v>
      </c>
      <c r="M20" s="213">
        <v>20</v>
      </c>
      <c r="N20" s="223">
        <v>51</v>
      </c>
      <c r="O20" s="210" t="s">
        <v>187</v>
      </c>
      <c r="P20" s="35"/>
      <c r="Q20" s="154"/>
      <c r="R20" s="133"/>
      <c r="S20" s="156"/>
      <c r="T20" s="271"/>
      <c r="U20" s="104"/>
      <c r="V20" s="116"/>
      <c r="W20" s="104"/>
      <c r="X20" s="104"/>
      <c r="Y20" s="238">
        <f>IF(U20&lt;&gt;"",X20*VLOOKUP(U20,Listas!$H$3:$L$23,3,0),0)</f>
        <v>0</v>
      </c>
      <c r="Z20" s="238">
        <f t="shared" si="2"/>
        <v>0</v>
      </c>
      <c r="AA20" s="273"/>
      <c r="AB20" s="238" t="str">
        <f>IF(U20&lt;&gt;"",VLOOKUP(U20,Listas!$N$3:$O$10,2,FALSE),"")</f>
        <v/>
      </c>
      <c r="AC20" s="302"/>
      <c r="AD20" s="290"/>
      <c r="AE20" s="291"/>
      <c r="AF20" s="292"/>
      <c r="AG20" s="157"/>
      <c r="AH20" s="157"/>
      <c r="AI20" s="157"/>
      <c r="AJ20" s="157"/>
      <c r="AK20" s="157"/>
      <c r="AL20" s="158"/>
      <c r="AM20" s="133"/>
    </row>
    <row r="21" spans="1:39" ht="15" customHeight="1" thickBot="1">
      <c r="A21" s="30"/>
      <c r="B21" s="147"/>
      <c r="C21" s="174" t="s">
        <v>7</v>
      </c>
      <c r="D21" s="110"/>
      <c r="E21" s="110"/>
      <c r="F21" s="110"/>
      <c r="G21" s="111">
        <f>SUM(G13:G20)</f>
        <v>6552</v>
      </c>
      <c r="H21" s="111">
        <f>SUM(H13:H20)</f>
        <v>290</v>
      </c>
      <c r="I21" s="121">
        <f>SUM(I13:I20)</f>
        <v>148</v>
      </c>
      <c r="J21" s="111">
        <f>SUM(J13:J20)</f>
        <v>6990</v>
      </c>
      <c r="K21" s="175">
        <f t="shared" si="1"/>
        <v>0.93733905579399146</v>
      </c>
      <c r="L21" s="239"/>
      <c r="M21" s="112">
        <f>SUM(M13:M20)</f>
        <v>30</v>
      </c>
      <c r="N21" s="224"/>
      <c r="O21" s="176"/>
      <c r="P21" s="35"/>
      <c r="Q21" s="154"/>
      <c r="R21" s="133"/>
      <c r="S21" s="156"/>
      <c r="T21" s="293">
        <v>5</v>
      </c>
      <c r="U21" s="211" t="s">
        <v>22</v>
      </c>
      <c r="V21" s="211" t="s">
        <v>118</v>
      </c>
      <c r="W21" s="210"/>
      <c r="X21" s="211">
        <v>5</v>
      </c>
      <c r="Y21" s="234">
        <f>IF(U21&lt;&gt;"",X21*VLOOKUP(U21,Listas!$H$3:$L$23,3,0),0)</f>
        <v>90</v>
      </c>
      <c r="Z21" s="234">
        <f t="shared" si="2"/>
        <v>1620</v>
      </c>
      <c r="AA21" s="272">
        <f>+SUM(Z21:Z22)</f>
        <v>1620</v>
      </c>
      <c r="AB21" s="234">
        <f>IF(U21&lt;&gt;"",VLOOKUP(U21,Listas!$N$3:$O$10,2,FALSE),"")</f>
        <v>12</v>
      </c>
      <c r="AC21" s="301"/>
      <c r="AD21" s="274"/>
      <c r="AE21" s="275"/>
      <c r="AF21" s="276"/>
      <c r="AG21" s="157"/>
      <c r="AH21" s="157"/>
      <c r="AI21" s="157"/>
      <c r="AJ21" s="157"/>
      <c r="AK21" s="157"/>
      <c r="AL21" s="158"/>
      <c r="AM21" s="133"/>
    </row>
    <row r="22" spans="1:39" ht="15" customHeight="1" thickBot="1">
      <c r="A22" s="30"/>
      <c r="B22" s="147"/>
      <c r="C22" s="41"/>
      <c r="D22" s="41"/>
      <c r="E22" s="41"/>
      <c r="F22" s="41"/>
      <c r="G22" s="42"/>
      <c r="H22" s="42"/>
      <c r="I22" s="42"/>
      <c r="J22" s="42"/>
      <c r="K22" s="177"/>
      <c r="L22" s="42"/>
      <c r="M22" s="41"/>
      <c r="N22" s="41"/>
      <c r="O22" s="35"/>
      <c r="P22" s="35"/>
      <c r="Q22" s="154"/>
      <c r="R22" s="133"/>
      <c r="S22" s="156"/>
      <c r="T22" s="288"/>
      <c r="U22" s="104"/>
      <c r="V22" s="116"/>
      <c r="W22" s="104"/>
      <c r="X22" s="104"/>
      <c r="Y22" s="235">
        <f>IF(U22&lt;&gt;"",X22*VLOOKUP(U22,Listas!$H$3:$L$23,3,0),0)</f>
        <v>0</v>
      </c>
      <c r="Z22" s="235">
        <f t="shared" si="2"/>
        <v>0</v>
      </c>
      <c r="AA22" s="289"/>
      <c r="AB22" s="235" t="str">
        <f>IF(U22&lt;&gt;"",VLOOKUP(U22,Listas!$N$3:$O$10,2,FALSE),"")</f>
        <v/>
      </c>
      <c r="AC22" s="302"/>
      <c r="AD22" s="290"/>
      <c r="AE22" s="291"/>
      <c r="AF22" s="292"/>
      <c r="AG22" s="157"/>
      <c r="AH22" s="157"/>
      <c r="AI22" s="157"/>
      <c r="AJ22" s="157"/>
      <c r="AK22" s="157"/>
      <c r="AL22" s="158"/>
      <c r="AM22" s="133"/>
    </row>
    <row r="23" spans="1:39" ht="15" customHeight="1">
      <c r="A23" s="30"/>
      <c r="B23" s="147"/>
      <c r="C23" s="253">
        <v>2</v>
      </c>
      <c r="D23" s="255">
        <f>K34</f>
        <v>0.94839609483960952</v>
      </c>
      <c r="E23" s="35"/>
      <c r="F23" s="35"/>
      <c r="G23" s="35"/>
      <c r="H23" s="35"/>
      <c r="I23" s="35"/>
      <c r="J23" s="35"/>
      <c r="K23" s="35"/>
      <c r="L23" s="36"/>
      <c r="M23" s="35"/>
      <c r="N23" s="35"/>
      <c r="O23" s="35"/>
      <c r="P23" s="35"/>
      <c r="Q23" s="154"/>
      <c r="R23" s="133"/>
      <c r="S23" s="156"/>
      <c r="T23" s="270">
        <v>6</v>
      </c>
      <c r="U23" s="211" t="s">
        <v>22</v>
      </c>
      <c r="V23" s="211" t="s">
        <v>118</v>
      </c>
      <c r="W23" s="211"/>
      <c r="X23" s="211">
        <v>3</v>
      </c>
      <c r="Y23" s="237">
        <f>IF(U23&lt;&gt;"",X23*VLOOKUP(U23,Listas!$H$3:$L$23,3,0),0)</f>
        <v>54</v>
      </c>
      <c r="Z23" s="237">
        <f t="shared" si="2"/>
        <v>972</v>
      </c>
      <c r="AA23" s="303">
        <f>+SUM(Z23:Z24)</f>
        <v>972</v>
      </c>
      <c r="AB23" s="237">
        <f>IF(U23&lt;&gt;"",VLOOKUP(U23,Listas!$N$3:$O$10,2,FALSE),"")</f>
        <v>12</v>
      </c>
      <c r="AC23" s="301"/>
      <c r="AD23" s="274"/>
      <c r="AE23" s="275"/>
      <c r="AF23" s="276"/>
      <c r="AG23" s="157"/>
      <c r="AH23" s="157"/>
      <c r="AI23" s="157"/>
      <c r="AJ23" s="157"/>
      <c r="AK23" s="157"/>
      <c r="AL23" s="158"/>
      <c r="AM23" s="133"/>
    </row>
    <row r="24" spans="1:39" ht="15" customHeight="1" thickBot="1">
      <c r="A24" s="30"/>
      <c r="B24" s="147"/>
      <c r="C24" s="254"/>
      <c r="D24" s="256"/>
      <c r="E24" s="131"/>
      <c r="F24" s="131"/>
      <c r="G24" s="131"/>
      <c r="H24" s="131"/>
      <c r="I24" s="131"/>
      <c r="J24" s="131"/>
      <c r="K24" s="131"/>
      <c r="L24" s="37"/>
      <c r="M24" s="35"/>
      <c r="N24" s="35"/>
      <c r="O24" s="35"/>
      <c r="P24" s="35"/>
      <c r="Q24" s="154"/>
      <c r="R24" s="133"/>
      <c r="S24" s="156"/>
      <c r="T24" s="271"/>
      <c r="U24" s="104"/>
      <c r="V24" s="211"/>
      <c r="W24" s="104"/>
      <c r="X24" s="104"/>
      <c r="Y24" s="238">
        <f>IF(U24&lt;&gt;"",X24*VLOOKUP(U24,Listas!$H$3:$L$23,3,0),0)</f>
        <v>0</v>
      </c>
      <c r="Z24" s="238">
        <f t="shared" si="2"/>
        <v>0</v>
      </c>
      <c r="AA24" s="273"/>
      <c r="AB24" s="238" t="str">
        <f>IF(U24&lt;&gt;"",VLOOKUP(U24,Listas!$N$3:$O$10,2,FALSE),"")</f>
        <v/>
      </c>
      <c r="AC24" s="302"/>
      <c r="AD24" s="290"/>
      <c r="AE24" s="291"/>
      <c r="AF24" s="292"/>
      <c r="AG24" s="157"/>
      <c r="AH24" s="157"/>
      <c r="AI24" s="157"/>
      <c r="AJ24" s="157"/>
      <c r="AK24" s="157"/>
      <c r="AL24" s="158"/>
      <c r="AM24" s="133"/>
    </row>
    <row r="25" spans="1:39" ht="15" customHeight="1">
      <c r="A25" s="30"/>
      <c r="B25" s="147"/>
      <c r="C25" s="29" t="s">
        <v>2</v>
      </c>
      <c r="D25" s="23" t="s">
        <v>6</v>
      </c>
      <c r="E25" s="23" t="s">
        <v>3</v>
      </c>
      <c r="F25" s="23" t="s">
        <v>58</v>
      </c>
      <c r="G25" s="231" t="s">
        <v>0</v>
      </c>
      <c r="H25" s="231" t="s">
        <v>1</v>
      </c>
      <c r="I25" s="231" t="s">
        <v>18</v>
      </c>
      <c r="J25" s="231" t="s">
        <v>5</v>
      </c>
      <c r="K25" s="23" t="s">
        <v>13</v>
      </c>
      <c r="L25" s="231" t="s">
        <v>17</v>
      </c>
      <c r="M25" s="23" t="s">
        <v>9</v>
      </c>
      <c r="N25" s="240" t="s">
        <v>77</v>
      </c>
      <c r="O25" s="24" t="s">
        <v>12</v>
      </c>
      <c r="P25" s="35"/>
      <c r="Q25" s="154"/>
      <c r="R25" s="133"/>
      <c r="S25" s="156"/>
      <c r="T25" s="293">
        <v>7</v>
      </c>
      <c r="U25" s="211" t="s">
        <v>22</v>
      </c>
      <c r="V25" s="211" t="s">
        <v>118</v>
      </c>
      <c r="W25" s="210"/>
      <c r="X25" s="211">
        <v>8</v>
      </c>
      <c r="Y25" s="234">
        <f>IF(U25&lt;&gt;"",X25*VLOOKUP(U25,Listas!$H$3:$L$23,3,0),0)</f>
        <v>144</v>
      </c>
      <c r="Z25" s="234">
        <f t="shared" si="2"/>
        <v>2592</v>
      </c>
      <c r="AA25" s="272">
        <f>+SUM(Z25:Z26)</f>
        <v>2592</v>
      </c>
      <c r="AB25" s="234">
        <f>IF(U25&lt;&gt;"",VLOOKUP(U25,Listas!$N$3:$O$10,2,FALSE),"")</f>
        <v>12</v>
      </c>
      <c r="AC25" s="301"/>
      <c r="AD25" s="274"/>
      <c r="AE25" s="275"/>
      <c r="AF25" s="276"/>
      <c r="AG25" s="161"/>
      <c r="AH25" s="161"/>
      <c r="AI25" s="161"/>
      <c r="AJ25" s="161"/>
      <c r="AK25" s="161"/>
      <c r="AL25" s="158"/>
      <c r="AM25" s="133"/>
    </row>
    <row r="26" spans="1:39" ht="15" customHeight="1">
      <c r="A26" s="30"/>
      <c r="B26" s="147"/>
      <c r="C26" s="232">
        <v>1</v>
      </c>
      <c r="D26" s="210" t="s">
        <v>137</v>
      </c>
      <c r="E26" s="210" t="s">
        <v>33</v>
      </c>
      <c r="F26" s="100" t="s">
        <v>151</v>
      </c>
      <c r="G26" s="124">
        <v>696</v>
      </c>
      <c r="H26" s="125">
        <v>40</v>
      </c>
      <c r="I26" s="126">
        <v>2</v>
      </c>
      <c r="J26" s="234">
        <f t="shared" ref="J26:J33" si="3">SUM(G26:I26)</f>
        <v>738</v>
      </c>
      <c r="K26" s="171">
        <f t="shared" ref="K26:K34" si="4">IF(J26&lt;&gt;0,G26/J26,0)</f>
        <v>0.94308943089430897</v>
      </c>
      <c r="L26" s="213" t="s">
        <v>147</v>
      </c>
      <c r="M26" s="210">
        <v>10</v>
      </c>
      <c r="N26" s="223">
        <v>51</v>
      </c>
      <c r="O26" s="210" t="s">
        <v>150</v>
      </c>
      <c r="P26" s="35"/>
      <c r="Q26" s="154"/>
      <c r="R26" s="133"/>
      <c r="S26" s="156"/>
      <c r="T26" s="288"/>
      <c r="U26" s="104"/>
      <c r="V26" s="116"/>
      <c r="W26" s="104"/>
      <c r="X26" s="104"/>
      <c r="Y26" s="235">
        <f>IF(U26&lt;&gt;"",X26*VLOOKUP(U26,Listas!$H$3:$L$23,3,0),0)</f>
        <v>0</v>
      </c>
      <c r="Z26" s="235">
        <f t="shared" si="2"/>
        <v>0</v>
      </c>
      <c r="AA26" s="289"/>
      <c r="AB26" s="235" t="str">
        <f>IF(U26&lt;&gt;"",VLOOKUP(U26,Listas!$N$3:$O$10,2,FALSE),"")</f>
        <v/>
      </c>
      <c r="AC26" s="302"/>
      <c r="AD26" s="290"/>
      <c r="AE26" s="291"/>
      <c r="AF26" s="292"/>
      <c r="AG26" s="161"/>
      <c r="AH26" s="161"/>
      <c r="AI26" s="161"/>
      <c r="AJ26" s="161"/>
      <c r="AK26" s="161"/>
      <c r="AL26" s="158"/>
      <c r="AM26" s="133"/>
    </row>
    <row r="27" spans="1:39" ht="15" customHeight="1">
      <c r="A27" s="30"/>
      <c r="B27" s="147"/>
      <c r="C27" s="28">
        <v>2</v>
      </c>
      <c r="D27" s="210" t="s">
        <v>137</v>
      </c>
      <c r="E27" s="210" t="s">
        <v>33</v>
      </c>
      <c r="F27" s="100" t="s">
        <v>151</v>
      </c>
      <c r="G27" s="124">
        <v>528</v>
      </c>
      <c r="H27" s="125">
        <v>140</v>
      </c>
      <c r="I27" s="126">
        <v>11</v>
      </c>
      <c r="J27" s="26">
        <f t="shared" si="3"/>
        <v>679</v>
      </c>
      <c r="K27" s="172">
        <f t="shared" si="4"/>
        <v>0.77761413843888072</v>
      </c>
      <c r="L27" s="213" t="s">
        <v>147</v>
      </c>
      <c r="M27" s="213">
        <v>10</v>
      </c>
      <c r="N27" s="223">
        <v>51</v>
      </c>
      <c r="O27" s="210" t="s">
        <v>150</v>
      </c>
      <c r="P27" s="35"/>
      <c r="Q27" s="154"/>
      <c r="R27" s="133"/>
      <c r="S27" s="156"/>
      <c r="T27" s="270">
        <v>8</v>
      </c>
      <c r="U27" s="211" t="s">
        <v>22</v>
      </c>
      <c r="V27" s="211" t="s">
        <v>118</v>
      </c>
      <c r="W27" s="210"/>
      <c r="X27" s="211">
        <v>5</v>
      </c>
      <c r="Y27" s="234">
        <f>IF(U27&lt;&gt;"",X27*VLOOKUP(U27,Listas!$H$3:$L$23,3,0),0)</f>
        <v>90</v>
      </c>
      <c r="Z27" s="234">
        <f t="shared" si="2"/>
        <v>1620</v>
      </c>
      <c r="AA27" s="272">
        <f>+SUM(Z27:Z28)</f>
        <v>1620</v>
      </c>
      <c r="AB27" s="234">
        <f>IF(U27&lt;&gt;"",VLOOKUP(U27,Listas!$N$3:$O$10,2,FALSE),"")</f>
        <v>12</v>
      </c>
      <c r="AC27" s="301"/>
      <c r="AD27" s="274"/>
      <c r="AE27" s="275"/>
      <c r="AF27" s="276"/>
      <c r="AG27" s="161"/>
      <c r="AH27" s="161"/>
      <c r="AI27" s="161"/>
      <c r="AJ27" s="161"/>
      <c r="AK27" s="161"/>
      <c r="AL27" s="158"/>
      <c r="AM27" s="133"/>
    </row>
    <row r="28" spans="1:39" ht="15" customHeight="1" thickBot="1">
      <c r="A28" s="30"/>
      <c r="B28" s="147"/>
      <c r="C28" s="28">
        <v>3</v>
      </c>
      <c r="D28" s="210" t="s">
        <v>119</v>
      </c>
      <c r="E28" s="210" t="s">
        <v>33</v>
      </c>
      <c r="F28" s="100" t="s">
        <v>151</v>
      </c>
      <c r="G28" s="124">
        <v>912</v>
      </c>
      <c r="H28" s="125">
        <v>0</v>
      </c>
      <c r="I28" s="126">
        <v>0</v>
      </c>
      <c r="J28" s="26">
        <f t="shared" si="3"/>
        <v>912</v>
      </c>
      <c r="K28" s="172">
        <f t="shared" si="4"/>
        <v>1</v>
      </c>
      <c r="L28" s="213"/>
      <c r="M28" s="213"/>
      <c r="N28" s="223"/>
      <c r="O28" s="210" t="s">
        <v>187</v>
      </c>
      <c r="P28" s="35"/>
      <c r="Q28" s="154"/>
      <c r="R28" s="133"/>
      <c r="S28" s="156"/>
      <c r="T28" s="271"/>
      <c r="U28" s="104"/>
      <c r="V28" s="116"/>
      <c r="W28" s="104"/>
      <c r="X28" s="104"/>
      <c r="Y28" s="238">
        <f>IF(U28&lt;&gt;"",X28*VLOOKUP(U28,Listas!$H$3:$L$23,3,0),0)</f>
        <v>0</v>
      </c>
      <c r="Z28" s="238">
        <f t="shared" si="2"/>
        <v>0</v>
      </c>
      <c r="AA28" s="273"/>
      <c r="AB28" s="238" t="str">
        <f>IF(U28&lt;&gt;"",VLOOKUP(U28,Listas!$N$3:$O$10,2,FALSE),"")</f>
        <v/>
      </c>
      <c r="AC28" s="302"/>
      <c r="AD28" s="290"/>
      <c r="AE28" s="291"/>
      <c r="AF28" s="292"/>
      <c r="AG28" s="161"/>
      <c r="AH28" s="161"/>
      <c r="AI28" s="161"/>
      <c r="AJ28" s="161"/>
      <c r="AK28" s="161"/>
      <c r="AL28" s="158"/>
      <c r="AM28" s="133"/>
    </row>
    <row r="29" spans="1:39" ht="15" customHeight="1" thickBot="1">
      <c r="A29" s="30"/>
      <c r="B29" s="147"/>
      <c r="C29" s="28">
        <v>4</v>
      </c>
      <c r="D29" s="210" t="s">
        <v>119</v>
      </c>
      <c r="E29" s="210" t="s">
        <v>33</v>
      </c>
      <c r="F29" s="100" t="s">
        <v>151</v>
      </c>
      <c r="G29" s="124">
        <v>888</v>
      </c>
      <c r="H29" s="125">
        <v>20</v>
      </c>
      <c r="I29" s="126">
        <v>4</v>
      </c>
      <c r="J29" s="26">
        <f t="shared" si="3"/>
        <v>912</v>
      </c>
      <c r="K29" s="172">
        <f t="shared" si="4"/>
        <v>0.97368421052631582</v>
      </c>
      <c r="L29" s="213"/>
      <c r="M29" s="213"/>
      <c r="N29" s="223"/>
      <c r="O29" s="210" t="s">
        <v>187</v>
      </c>
      <c r="P29" s="35"/>
      <c r="Q29" s="154"/>
      <c r="R29" s="133"/>
      <c r="S29" s="156"/>
      <c r="T29" s="120"/>
      <c r="U29" s="239"/>
      <c r="V29" s="239"/>
      <c r="W29" s="239"/>
      <c r="X29" s="121">
        <f>+SUM(X13:X28)</f>
        <v>42</v>
      </c>
      <c r="Y29" s="121">
        <f>+SUM(Y13:Y28)</f>
        <v>756</v>
      </c>
      <c r="Z29" s="121">
        <f>+SUM(Z13:Z28)</f>
        <v>13608</v>
      </c>
      <c r="AA29" s="122"/>
      <c r="AB29" s="239"/>
      <c r="AC29" s="111">
        <f>SUM(AC13:AC28)</f>
        <v>0</v>
      </c>
      <c r="AD29" s="280"/>
      <c r="AE29" s="280"/>
      <c r="AF29" s="281"/>
      <c r="AG29" s="161"/>
      <c r="AH29" s="161"/>
      <c r="AI29" s="161"/>
      <c r="AJ29" s="161"/>
      <c r="AK29" s="161"/>
      <c r="AL29" s="158"/>
      <c r="AM29" s="133"/>
    </row>
    <row r="30" spans="1:39" ht="15" customHeight="1" thickBot="1">
      <c r="A30" s="30"/>
      <c r="B30" s="147"/>
      <c r="C30" s="28">
        <v>5</v>
      </c>
      <c r="D30" s="210" t="s">
        <v>119</v>
      </c>
      <c r="E30" s="210" t="s">
        <v>33</v>
      </c>
      <c r="F30" s="100" t="s">
        <v>151</v>
      </c>
      <c r="G30" s="124">
        <v>888</v>
      </c>
      <c r="H30" s="125">
        <v>20</v>
      </c>
      <c r="I30" s="126">
        <v>3</v>
      </c>
      <c r="J30" s="26">
        <f t="shared" si="3"/>
        <v>911</v>
      </c>
      <c r="K30" s="172">
        <f t="shared" si="4"/>
        <v>0.97475301866081232</v>
      </c>
      <c r="L30" s="213"/>
      <c r="M30" s="213"/>
      <c r="N30" s="223"/>
      <c r="O30" s="210" t="s">
        <v>187</v>
      </c>
      <c r="P30" s="35"/>
      <c r="Q30" s="154"/>
      <c r="R30" s="133"/>
      <c r="S30" s="156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58"/>
      <c r="AM30" s="133"/>
    </row>
    <row r="31" spans="1:39" ht="15" customHeight="1">
      <c r="A31" s="30"/>
      <c r="B31" s="147"/>
      <c r="C31" s="28">
        <v>6</v>
      </c>
      <c r="D31" s="210" t="s">
        <v>140</v>
      </c>
      <c r="E31" s="210" t="s">
        <v>33</v>
      </c>
      <c r="F31" s="100" t="s">
        <v>151</v>
      </c>
      <c r="G31" s="124">
        <v>816</v>
      </c>
      <c r="H31" s="125">
        <v>20</v>
      </c>
      <c r="I31" s="126">
        <v>13</v>
      </c>
      <c r="J31" s="26">
        <f t="shared" si="3"/>
        <v>849</v>
      </c>
      <c r="K31" s="172">
        <f t="shared" si="4"/>
        <v>0.96113074204946991</v>
      </c>
      <c r="L31" s="213"/>
      <c r="M31" s="213"/>
      <c r="N31" s="223"/>
      <c r="O31" s="210" t="s">
        <v>187</v>
      </c>
      <c r="P31" s="35"/>
      <c r="Q31" s="154"/>
      <c r="R31" s="133"/>
      <c r="S31" s="156"/>
      <c r="T31" s="282" t="s">
        <v>115</v>
      </c>
      <c r="U31" s="283"/>
      <c r="V31" s="284"/>
      <c r="W31" s="21"/>
      <c r="X31" s="21"/>
      <c r="Y31" s="167"/>
      <c r="Z31" s="167"/>
      <c r="AA31" s="167"/>
      <c r="AB31" s="167"/>
      <c r="AC31" s="166"/>
      <c r="AD31" s="166"/>
      <c r="AE31" s="22"/>
      <c r="AF31" s="22"/>
      <c r="AG31" s="22"/>
      <c r="AH31" s="157"/>
      <c r="AI31" s="157"/>
      <c r="AJ31" s="157"/>
      <c r="AK31" s="157"/>
      <c r="AL31" s="158"/>
      <c r="AM31" s="133"/>
    </row>
    <row r="32" spans="1:39" ht="15" customHeight="1" thickBot="1">
      <c r="A32" s="30"/>
      <c r="B32" s="147"/>
      <c r="C32" s="28">
        <v>7</v>
      </c>
      <c r="D32" s="210" t="s">
        <v>140</v>
      </c>
      <c r="E32" s="210" t="s">
        <v>33</v>
      </c>
      <c r="F32" s="100" t="s">
        <v>151</v>
      </c>
      <c r="G32" s="124">
        <v>720</v>
      </c>
      <c r="H32" s="125">
        <v>20</v>
      </c>
      <c r="I32" s="126">
        <v>5</v>
      </c>
      <c r="J32" s="26">
        <f t="shared" si="3"/>
        <v>745</v>
      </c>
      <c r="K32" s="172">
        <f>IF(J32&lt;&gt;0,G32/J32,0)</f>
        <v>0.96644295302013428</v>
      </c>
      <c r="L32" s="213"/>
      <c r="M32" s="213">
        <v>5</v>
      </c>
      <c r="N32" s="223">
        <v>51</v>
      </c>
      <c r="O32" s="210" t="s">
        <v>187</v>
      </c>
      <c r="P32" s="35"/>
      <c r="Q32" s="154"/>
      <c r="R32" s="133"/>
      <c r="S32" s="156"/>
      <c r="T32" s="285"/>
      <c r="U32" s="286"/>
      <c r="V32" s="287"/>
      <c r="W32" s="170"/>
      <c r="X32" s="170"/>
      <c r="Y32" s="170"/>
      <c r="Z32" s="170"/>
      <c r="AA32" s="170"/>
      <c r="AB32" s="170"/>
      <c r="AC32" s="170"/>
      <c r="AD32" s="170"/>
      <c r="AE32" s="157"/>
      <c r="AF32" s="157"/>
      <c r="AG32" s="157"/>
      <c r="AH32" s="157"/>
      <c r="AI32" s="157"/>
      <c r="AJ32" s="157"/>
      <c r="AK32" s="157"/>
      <c r="AL32" s="158"/>
      <c r="AM32" s="133"/>
    </row>
    <row r="33" spans="1:39" ht="15" customHeight="1" thickBot="1">
      <c r="A33" s="30"/>
      <c r="B33" s="147"/>
      <c r="C33" s="236">
        <v>8</v>
      </c>
      <c r="D33" s="210" t="s">
        <v>140</v>
      </c>
      <c r="E33" s="210" t="s">
        <v>33</v>
      </c>
      <c r="F33" s="100" t="s">
        <v>151</v>
      </c>
      <c r="G33" s="218">
        <v>672</v>
      </c>
      <c r="H33" s="220">
        <v>20</v>
      </c>
      <c r="I33" s="218">
        <v>15</v>
      </c>
      <c r="J33" s="26">
        <f t="shared" si="3"/>
        <v>707</v>
      </c>
      <c r="K33" s="173">
        <f>IF(J33&lt;&gt;0,G33/J33,0)</f>
        <v>0.95049504950495045</v>
      </c>
      <c r="L33" s="213"/>
      <c r="M33" s="213">
        <v>10</v>
      </c>
      <c r="N33" s="223">
        <v>51</v>
      </c>
      <c r="O33" s="210" t="s">
        <v>187</v>
      </c>
      <c r="P33" s="35"/>
      <c r="Q33" s="154"/>
      <c r="R33" s="133"/>
      <c r="S33" s="156"/>
      <c r="T33" s="45" t="s">
        <v>2</v>
      </c>
      <c r="U33" s="46" t="s">
        <v>24</v>
      </c>
      <c r="V33" s="46" t="s">
        <v>4</v>
      </c>
      <c r="W33" s="23" t="s">
        <v>82</v>
      </c>
      <c r="X33" s="46" t="s">
        <v>45</v>
      </c>
      <c r="Y33" s="46" t="s">
        <v>25</v>
      </c>
      <c r="Z33" s="46" t="s">
        <v>26</v>
      </c>
      <c r="AA33" s="46" t="s">
        <v>84</v>
      </c>
      <c r="AB33" s="46" t="s">
        <v>102</v>
      </c>
      <c r="AC33" s="46" t="s">
        <v>76</v>
      </c>
      <c r="AD33" s="299" t="s">
        <v>78</v>
      </c>
      <c r="AE33" s="299"/>
      <c r="AF33" s="300"/>
      <c r="AG33" s="157"/>
      <c r="AH33" s="157"/>
      <c r="AI33" s="157"/>
      <c r="AJ33" s="157"/>
      <c r="AK33" s="157"/>
      <c r="AL33" s="158"/>
      <c r="AM33" s="133"/>
    </row>
    <row r="34" spans="1:39" ht="15" customHeight="1" thickBot="1">
      <c r="A34" s="30"/>
      <c r="B34" s="147"/>
      <c r="C34" s="174" t="s">
        <v>7</v>
      </c>
      <c r="D34" s="110"/>
      <c r="E34" s="110"/>
      <c r="F34" s="110"/>
      <c r="G34" s="111">
        <f>SUM(G26:G33)</f>
        <v>6120</v>
      </c>
      <c r="H34" s="111">
        <f>SUM(H26:H33)</f>
        <v>280</v>
      </c>
      <c r="I34" s="121">
        <f>SUM(I26:I33)</f>
        <v>53</v>
      </c>
      <c r="J34" s="111">
        <f>SUM(J26:J33)</f>
        <v>6453</v>
      </c>
      <c r="K34" s="175">
        <f t="shared" si="4"/>
        <v>0.94839609483960952</v>
      </c>
      <c r="L34" s="239"/>
      <c r="M34" s="112">
        <v>0</v>
      </c>
      <c r="N34" s="224"/>
      <c r="O34" s="176"/>
      <c r="P34" s="35"/>
      <c r="Q34" s="154"/>
      <c r="R34" s="133"/>
      <c r="S34" s="156" t="s">
        <v>56</v>
      </c>
      <c r="T34" s="293">
        <v>1</v>
      </c>
      <c r="U34" s="211" t="s">
        <v>21</v>
      </c>
      <c r="V34" s="211" t="s">
        <v>151</v>
      </c>
      <c r="W34" s="211"/>
      <c r="X34" s="211">
        <v>7</v>
      </c>
      <c r="Y34" s="234">
        <f>IF(U34&lt;&gt;"",X34*VLOOKUP(U34,Listas!$H$3:$L$23,3,0),0)</f>
        <v>252</v>
      </c>
      <c r="Z34" s="234">
        <f>Y34*18</f>
        <v>4536</v>
      </c>
      <c r="AA34" s="272">
        <f>+SUM(Z34:Z35)</f>
        <v>4536</v>
      </c>
      <c r="AB34" s="234">
        <f>IF(U34&lt;&gt;"",VLOOKUP(U34,Listas!$N$3:$O$10,2,FALSE),"")</f>
        <v>7</v>
      </c>
      <c r="AC34" s="301"/>
      <c r="AD34" s="274"/>
      <c r="AE34" s="275"/>
      <c r="AF34" s="276"/>
      <c r="AG34" s="157"/>
      <c r="AH34" s="157"/>
      <c r="AI34" s="157"/>
      <c r="AJ34" s="157"/>
      <c r="AK34" s="157"/>
      <c r="AL34" s="158"/>
      <c r="AM34" s="133"/>
    </row>
    <row r="35" spans="1:39" ht="15" customHeight="1" thickBot="1">
      <c r="A35" s="30"/>
      <c r="B35" s="147"/>
      <c r="C35" s="41"/>
      <c r="D35" s="41"/>
      <c r="E35" s="41"/>
      <c r="F35" s="41"/>
      <c r="G35" s="42"/>
      <c r="H35" s="42"/>
      <c r="I35" s="42"/>
      <c r="J35" s="42"/>
      <c r="K35" s="177"/>
      <c r="L35" s="42"/>
      <c r="M35" s="41"/>
      <c r="N35" s="41"/>
      <c r="O35" s="35"/>
      <c r="P35" s="35"/>
      <c r="Q35" s="154"/>
      <c r="R35" s="133"/>
      <c r="S35" s="156"/>
      <c r="T35" s="288"/>
      <c r="U35" s="104"/>
      <c r="V35" s="211"/>
      <c r="W35" s="104"/>
      <c r="X35" s="104"/>
      <c r="Y35" s="235">
        <f>IF(U35&lt;&gt;"",X35*VLOOKUP(U35,Listas!$H$3:$L$23,3,0),0)</f>
        <v>0</v>
      </c>
      <c r="Z35" s="235">
        <f>Y35*18</f>
        <v>0</v>
      </c>
      <c r="AA35" s="289"/>
      <c r="AB35" s="235" t="str">
        <f>IF(U35&lt;&gt;"",VLOOKUP(U35,Listas!$N$3:$O$10,2,FALSE),"")</f>
        <v/>
      </c>
      <c r="AC35" s="302"/>
      <c r="AD35" s="290"/>
      <c r="AE35" s="291"/>
      <c r="AF35" s="292"/>
      <c r="AG35" s="157"/>
      <c r="AH35" s="157"/>
      <c r="AI35" s="157"/>
      <c r="AJ35" s="157"/>
      <c r="AK35" s="157"/>
      <c r="AL35" s="158"/>
      <c r="AM35" s="133"/>
    </row>
    <row r="36" spans="1:39" ht="15" customHeight="1">
      <c r="A36" s="30"/>
      <c r="B36" s="147"/>
      <c r="C36" s="253">
        <v>3</v>
      </c>
      <c r="D36" s="255">
        <f>K47</f>
        <v>0.94952251023192358</v>
      </c>
      <c r="E36" s="35"/>
      <c r="F36" s="35"/>
      <c r="G36" s="35"/>
      <c r="H36" s="35"/>
      <c r="I36" s="35"/>
      <c r="J36" s="35"/>
      <c r="K36" s="35"/>
      <c r="L36" s="36"/>
      <c r="M36" s="35"/>
      <c r="N36" s="35"/>
      <c r="O36" s="35"/>
      <c r="P36" s="35"/>
      <c r="Q36" s="154"/>
      <c r="R36" s="133"/>
      <c r="S36" s="156"/>
      <c r="T36" s="270">
        <v>2</v>
      </c>
      <c r="U36" s="211" t="s">
        <v>21</v>
      </c>
      <c r="V36" s="211" t="s">
        <v>151</v>
      </c>
      <c r="W36" s="210"/>
      <c r="X36" s="211">
        <v>5</v>
      </c>
      <c r="Y36" s="234">
        <f>IF(U36&lt;&gt;"",X36*VLOOKUP(U36,Listas!$H$3:$L$23,3,0),0)</f>
        <v>180</v>
      </c>
      <c r="Z36" s="237">
        <f t="shared" ref="Z36:Z49" si="5">Y36*18</f>
        <v>3240</v>
      </c>
      <c r="AA36" s="303">
        <f>+SUM(Z36:Z37)</f>
        <v>3240</v>
      </c>
      <c r="AB36" s="237">
        <f>IF(U36&lt;&gt;"",VLOOKUP(U36,Listas!$N$3:$O$10,2,FALSE),"")</f>
        <v>7</v>
      </c>
      <c r="AC36" s="301"/>
      <c r="AD36" s="274"/>
      <c r="AE36" s="275"/>
      <c r="AF36" s="276"/>
      <c r="AG36" s="157"/>
      <c r="AH36" s="157"/>
      <c r="AI36" s="157"/>
      <c r="AJ36" s="157"/>
      <c r="AK36" s="157"/>
      <c r="AL36" s="158"/>
      <c r="AM36" s="133"/>
    </row>
    <row r="37" spans="1:39" ht="15" customHeight="1" thickBot="1">
      <c r="A37" s="30"/>
      <c r="B37" s="147"/>
      <c r="C37" s="254"/>
      <c r="D37" s="256"/>
      <c r="E37" s="131"/>
      <c r="F37" s="131"/>
      <c r="G37" s="131"/>
      <c r="H37" s="131"/>
      <c r="I37" s="131"/>
      <c r="J37" s="131"/>
      <c r="K37" s="131"/>
      <c r="L37" s="36"/>
      <c r="M37" s="35"/>
      <c r="N37" s="35"/>
      <c r="O37" s="35"/>
      <c r="P37" s="35"/>
      <c r="Q37" s="154"/>
      <c r="R37" s="133"/>
      <c r="S37" s="156"/>
      <c r="T37" s="271"/>
      <c r="U37" s="104"/>
      <c r="V37" s="211"/>
      <c r="W37" s="104"/>
      <c r="X37" s="104"/>
      <c r="Y37" s="235">
        <f>IF(U37&lt;&gt;"",X37*VLOOKUP(U37,Listas!$H$3:$L$23,3,0),0)</f>
        <v>0</v>
      </c>
      <c r="Z37" s="238">
        <f t="shared" si="5"/>
        <v>0</v>
      </c>
      <c r="AA37" s="273"/>
      <c r="AB37" s="238" t="str">
        <f>IF(U37&lt;&gt;"",VLOOKUP(U37,Listas!$N$3:$O$10,2,FALSE),"")</f>
        <v/>
      </c>
      <c r="AC37" s="302"/>
      <c r="AD37" s="290"/>
      <c r="AE37" s="291"/>
      <c r="AF37" s="292"/>
      <c r="AG37" s="157"/>
      <c r="AH37" s="157"/>
      <c r="AI37" s="157"/>
      <c r="AJ37" s="157"/>
      <c r="AK37" s="157"/>
      <c r="AL37" s="158"/>
      <c r="AM37" s="133"/>
    </row>
    <row r="38" spans="1:39" ht="15" customHeight="1">
      <c r="A38" s="30"/>
      <c r="B38" s="147"/>
      <c r="C38" s="29" t="s">
        <v>2</v>
      </c>
      <c r="D38" s="23" t="s">
        <v>6</v>
      </c>
      <c r="E38" s="23" t="s">
        <v>3</v>
      </c>
      <c r="F38" s="23" t="s">
        <v>58</v>
      </c>
      <c r="G38" s="231" t="s">
        <v>0</v>
      </c>
      <c r="H38" s="231" t="s">
        <v>1</v>
      </c>
      <c r="I38" s="231" t="s">
        <v>18</v>
      </c>
      <c r="J38" s="231" t="s">
        <v>5</v>
      </c>
      <c r="K38" s="23" t="s">
        <v>13</v>
      </c>
      <c r="L38" s="231" t="s">
        <v>17</v>
      </c>
      <c r="M38" s="23" t="s">
        <v>9</v>
      </c>
      <c r="N38" s="240" t="s">
        <v>77</v>
      </c>
      <c r="O38" s="24" t="s">
        <v>12</v>
      </c>
      <c r="P38" s="35"/>
      <c r="Q38" s="154"/>
      <c r="R38" s="133"/>
      <c r="S38" s="156"/>
      <c r="T38" s="293">
        <v>3</v>
      </c>
      <c r="U38" s="211" t="s">
        <v>21</v>
      </c>
      <c r="V38" s="211" t="s">
        <v>151</v>
      </c>
      <c r="W38" s="210"/>
      <c r="X38" s="211">
        <v>2</v>
      </c>
      <c r="Y38" s="234">
        <f>IF(U38&lt;&gt;"",X38*VLOOKUP(U38,Listas!$H$3:$L$23,3,0),0)</f>
        <v>72</v>
      </c>
      <c r="Z38" s="234">
        <f t="shared" si="5"/>
        <v>1296</v>
      </c>
      <c r="AA38" s="272">
        <f>+SUM(Z38:Z39)</f>
        <v>1296</v>
      </c>
      <c r="AB38" s="234">
        <f>IF(U38&lt;&gt;"",VLOOKUP(U38,Listas!$N$3:$O$10,2,FALSE),"")</f>
        <v>7</v>
      </c>
      <c r="AC38" s="301"/>
      <c r="AD38" s="274"/>
      <c r="AE38" s="275"/>
      <c r="AF38" s="276"/>
      <c r="AG38" s="157"/>
      <c r="AH38" s="157"/>
      <c r="AI38" s="157"/>
      <c r="AJ38" s="157"/>
      <c r="AK38" s="157"/>
      <c r="AL38" s="158"/>
      <c r="AM38" s="133"/>
    </row>
    <row r="39" spans="1:39" ht="15" customHeight="1">
      <c r="A39" s="30"/>
      <c r="B39" s="147"/>
      <c r="C39" s="232">
        <v>1</v>
      </c>
      <c r="D39" s="210" t="s">
        <v>136</v>
      </c>
      <c r="E39" s="210" t="s">
        <v>33</v>
      </c>
      <c r="F39" s="100" t="s">
        <v>116</v>
      </c>
      <c r="G39" s="124">
        <v>576</v>
      </c>
      <c r="H39" s="125">
        <v>0</v>
      </c>
      <c r="I39" s="126">
        <v>1</v>
      </c>
      <c r="J39" s="234">
        <f t="shared" ref="J39:J46" si="6">SUM(G39:I39)</f>
        <v>577</v>
      </c>
      <c r="K39" s="171">
        <f t="shared" ref="K39:K47" si="7">IF(J39&lt;&gt;0,G39/J39,0)</f>
        <v>0.99826689774696709</v>
      </c>
      <c r="L39" s="213"/>
      <c r="M39" s="213">
        <v>24</v>
      </c>
      <c r="N39" s="223">
        <v>51</v>
      </c>
      <c r="O39" s="210" t="s">
        <v>188</v>
      </c>
      <c r="P39" s="35"/>
      <c r="Q39" s="154"/>
      <c r="R39" s="133"/>
      <c r="S39" s="156"/>
      <c r="T39" s="288"/>
      <c r="U39" s="104"/>
      <c r="V39" s="211"/>
      <c r="W39" s="104"/>
      <c r="X39" s="104"/>
      <c r="Y39" s="235">
        <f>IF(U39&lt;&gt;"",X39*VLOOKUP(U39,Listas!$H$3:$L$23,3,0),0)</f>
        <v>0</v>
      </c>
      <c r="Z39" s="235">
        <f t="shared" si="5"/>
        <v>0</v>
      </c>
      <c r="AA39" s="289"/>
      <c r="AB39" s="235" t="str">
        <f>IF(U39&lt;&gt;"",VLOOKUP(U39,Listas!$N$3:$O$10,2,FALSE),"")</f>
        <v/>
      </c>
      <c r="AC39" s="302"/>
      <c r="AD39" s="290"/>
      <c r="AE39" s="291"/>
      <c r="AF39" s="292"/>
      <c r="AG39" s="157"/>
      <c r="AH39" s="157"/>
      <c r="AI39" s="157"/>
      <c r="AJ39" s="157"/>
      <c r="AK39" s="157"/>
      <c r="AL39" s="158"/>
      <c r="AM39" s="133"/>
    </row>
    <row r="40" spans="1:39" ht="15" customHeight="1">
      <c r="A40" s="30"/>
      <c r="B40" s="147"/>
      <c r="C40" s="28">
        <v>2</v>
      </c>
      <c r="D40" s="210" t="s">
        <v>136</v>
      </c>
      <c r="E40" s="210" t="s">
        <v>33</v>
      </c>
      <c r="F40" s="100" t="s">
        <v>116</v>
      </c>
      <c r="G40" s="124">
        <v>792</v>
      </c>
      <c r="H40" s="125">
        <v>20</v>
      </c>
      <c r="I40" s="126">
        <v>9</v>
      </c>
      <c r="J40" s="26">
        <f t="shared" si="6"/>
        <v>821</v>
      </c>
      <c r="K40" s="172">
        <f t="shared" si="7"/>
        <v>0.96467722289890379</v>
      </c>
      <c r="L40" s="213"/>
      <c r="M40" s="213">
        <v>6</v>
      </c>
      <c r="N40" s="223">
        <v>51</v>
      </c>
      <c r="O40" s="210" t="s">
        <v>188</v>
      </c>
      <c r="P40" s="35"/>
      <c r="Q40" s="154"/>
      <c r="R40" s="133"/>
      <c r="S40" s="156"/>
      <c r="T40" s="293">
        <v>4</v>
      </c>
      <c r="U40" s="211" t="s">
        <v>21</v>
      </c>
      <c r="V40" s="211" t="s">
        <v>151</v>
      </c>
      <c r="W40" s="210"/>
      <c r="X40" s="211">
        <v>6</v>
      </c>
      <c r="Y40" s="234">
        <f>IF(U40&lt;&gt;"",X40*VLOOKUP(U40,Listas!$H$3:$L$23,3,0),0)</f>
        <v>216</v>
      </c>
      <c r="Z40" s="234">
        <f t="shared" si="5"/>
        <v>3888</v>
      </c>
      <c r="AA40" s="272">
        <f>+SUM(Z40:Z41)</f>
        <v>3888</v>
      </c>
      <c r="AB40" s="234">
        <f>IF(U40&lt;&gt;"",VLOOKUP(U40,Listas!$N$3:$O$10,2,FALSE),"")</f>
        <v>7</v>
      </c>
      <c r="AC40" s="301"/>
      <c r="AD40" s="274"/>
      <c r="AE40" s="275"/>
      <c r="AF40" s="276"/>
      <c r="AG40" s="157"/>
      <c r="AH40" s="157"/>
      <c r="AI40" s="157"/>
      <c r="AJ40" s="157"/>
      <c r="AK40" s="157"/>
      <c r="AL40" s="158"/>
      <c r="AM40" s="133"/>
    </row>
    <row r="41" spans="1:39" ht="15" customHeight="1">
      <c r="A41" s="30"/>
      <c r="B41" s="147"/>
      <c r="C41" s="28">
        <v>3</v>
      </c>
      <c r="D41" s="210" t="s">
        <v>145</v>
      </c>
      <c r="E41" s="210" t="s">
        <v>33</v>
      </c>
      <c r="F41" s="100" t="s">
        <v>116</v>
      </c>
      <c r="G41" s="124">
        <v>600</v>
      </c>
      <c r="H41" s="125">
        <v>20</v>
      </c>
      <c r="I41" s="126">
        <v>2</v>
      </c>
      <c r="J41" s="26">
        <f t="shared" si="6"/>
        <v>622</v>
      </c>
      <c r="K41" s="172">
        <f t="shared" si="7"/>
        <v>0.96463022508038587</v>
      </c>
      <c r="L41" s="213"/>
      <c r="M41" s="213"/>
      <c r="N41" s="223"/>
      <c r="O41" s="210" t="s">
        <v>148</v>
      </c>
      <c r="P41" s="35"/>
      <c r="Q41" s="154"/>
      <c r="R41" s="133"/>
      <c r="S41" s="156"/>
      <c r="T41" s="288"/>
      <c r="U41" s="104"/>
      <c r="V41" s="211"/>
      <c r="W41" s="104"/>
      <c r="X41" s="104"/>
      <c r="Y41" s="235">
        <f>IF(U41&lt;&gt;"",#REF!*VLOOKUP(U41,Listas!$H$3:$L$23,3,0),0)</f>
        <v>0</v>
      </c>
      <c r="Z41" s="235">
        <f t="shared" si="5"/>
        <v>0</v>
      </c>
      <c r="AA41" s="289"/>
      <c r="AB41" s="235" t="str">
        <f>IF(U41&lt;&gt;"",VLOOKUP(U41,Listas!$N$3:$O$10,2,FALSE),"")</f>
        <v/>
      </c>
      <c r="AC41" s="302"/>
      <c r="AD41" s="290"/>
      <c r="AE41" s="291"/>
      <c r="AF41" s="292"/>
      <c r="AG41" s="157"/>
      <c r="AH41" s="157"/>
      <c r="AI41" s="157"/>
      <c r="AJ41" s="157"/>
      <c r="AK41" s="157"/>
      <c r="AL41" s="158"/>
      <c r="AM41" s="133"/>
    </row>
    <row r="42" spans="1:39" ht="15" customHeight="1">
      <c r="A42" s="30"/>
      <c r="B42" s="147"/>
      <c r="C42" s="28">
        <v>4</v>
      </c>
      <c r="D42" s="210" t="s">
        <v>145</v>
      </c>
      <c r="E42" s="210" t="s">
        <v>33</v>
      </c>
      <c r="F42" s="100" t="s">
        <v>116</v>
      </c>
      <c r="G42" s="124">
        <v>696</v>
      </c>
      <c r="H42" s="125">
        <v>60</v>
      </c>
      <c r="I42" s="126">
        <v>3</v>
      </c>
      <c r="J42" s="26">
        <f t="shared" si="6"/>
        <v>759</v>
      </c>
      <c r="K42" s="172">
        <f t="shared" si="7"/>
        <v>0.91699604743083007</v>
      </c>
      <c r="L42" s="213" t="s">
        <v>193</v>
      </c>
      <c r="M42" s="213"/>
      <c r="N42" s="223"/>
      <c r="O42" s="210" t="s">
        <v>148</v>
      </c>
      <c r="P42" s="35"/>
      <c r="Q42" s="154"/>
      <c r="R42" s="133"/>
      <c r="S42" s="156"/>
      <c r="T42" s="270">
        <v>5</v>
      </c>
      <c r="U42" s="211" t="s">
        <v>21</v>
      </c>
      <c r="V42" s="211" t="s">
        <v>151</v>
      </c>
      <c r="W42" s="210"/>
      <c r="X42" s="211">
        <v>4</v>
      </c>
      <c r="Y42" s="237">
        <f>IF(U42&lt;&gt;"",X42*VLOOKUP(U42,Listas!$H$3:$L$23,3,0),0)</f>
        <v>144</v>
      </c>
      <c r="Z42" s="237">
        <f t="shared" si="5"/>
        <v>2592</v>
      </c>
      <c r="AA42" s="303">
        <f>+SUM(Z42:Z43)</f>
        <v>2592</v>
      </c>
      <c r="AB42" s="237">
        <f>IF(U42&lt;&gt;"",VLOOKUP(U42,Listas!$N$3:$O$10,2,FALSE),"")</f>
        <v>7</v>
      </c>
      <c r="AC42" s="304"/>
      <c r="AD42" s="274"/>
      <c r="AE42" s="275"/>
      <c r="AF42" s="276"/>
      <c r="AG42" s="157"/>
      <c r="AH42" s="157"/>
      <c r="AI42" s="157"/>
      <c r="AJ42" s="157"/>
      <c r="AK42" s="157"/>
      <c r="AL42" s="158"/>
      <c r="AM42" s="133"/>
    </row>
    <row r="43" spans="1:39" ht="15" customHeight="1">
      <c r="A43" s="30"/>
      <c r="B43" s="147"/>
      <c r="C43" s="28">
        <v>5</v>
      </c>
      <c r="D43" s="210" t="s">
        <v>145</v>
      </c>
      <c r="E43" s="210" t="s">
        <v>33</v>
      </c>
      <c r="F43" s="100" t="s">
        <v>116</v>
      </c>
      <c r="G43" s="124">
        <v>624</v>
      </c>
      <c r="H43" s="125">
        <v>40</v>
      </c>
      <c r="I43" s="126">
        <v>14</v>
      </c>
      <c r="J43" s="26">
        <f t="shared" si="6"/>
        <v>678</v>
      </c>
      <c r="K43" s="172">
        <f t="shared" si="7"/>
        <v>0.92035398230088494</v>
      </c>
      <c r="L43" s="213" t="s">
        <v>194</v>
      </c>
      <c r="M43" s="213"/>
      <c r="N43" s="223"/>
      <c r="O43" s="210" t="s">
        <v>148</v>
      </c>
      <c r="P43" s="35"/>
      <c r="Q43" s="154"/>
      <c r="R43" s="133"/>
      <c r="S43" s="156"/>
      <c r="T43" s="288"/>
      <c r="U43" s="216"/>
      <c r="V43" s="211"/>
      <c r="W43" s="104"/>
      <c r="X43" s="104"/>
      <c r="Y43" s="235">
        <f>IF(U43&lt;&gt;"",#REF!*VLOOKUP(U43,Listas!$H$3:$L$23,3,0),0)</f>
        <v>0</v>
      </c>
      <c r="Z43" s="235">
        <f t="shared" si="5"/>
        <v>0</v>
      </c>
      <c r="AA43" s="289"/>
      <c r="AB43" s="235" t="str">
        <f>IF(U43&lt;&gt;"",VLOOKUP(U43,Listas!$N$3:$O$10,2,FALSE),"")</f>
        <v/>
      </c>
      <c r="AC43" s="302"/>
      <c r="AD43" s="290"/>
      <c r="AE43" s="291"/>
      <c r="AF43" s="292"/>
      <c r="AG43" s="157"/>
      <c r="AH43" s="157"/>
      <c r="AI43" s="157"/>
      <c r="AJ43" s="157"/>
      <c r="AK43" s="157"/>
      <c r="AL43" s="158"/>
      <c r="AM43" s="133"/>
    </row>
    <row r="44" spans="1:39" ht="15" customHeight="1">
      <c r="A44" s="30"/>
      <c r="B44" s="147"/>
      <c r="C44" s="28">
        <v>6</v>
      </c>
      <c r="D44" s="210" t="s">
        <v>145</v>
      </c>
      <c r="E44" s="210" t="s">
        <v>33</v>
      </c>
      <c r="F44" s="100" t="s">
        <v>116</v>
      </c>
      <c r="G44" s="124">
        <v>768</v>
      </c>
      <c r="H44" s="125">
        <v>60</v>
      </c>
      <c r="I44" s="126">
        <v>11</v>
      </c>
      <c r="J44" s="26">
        <f t="shared" si="6"/>
        <v>839</v>
      </c>
      <c r="K44" s="172">
        <f t="shared" si="7"/>
        <v>0.91537544696066742</v>
      </c>
      <c r="L44" s="213" t="s">
        <v>194</v>
      </c>
      <c r="M44" s="213">
        <v>15</v>
      </c>
      <c r="N44" s="223">
        <v>51</v>
      </c>
      <c r="O44" s="210" t="s">
        <v>148</v>
      </c>
      <c r="P44" s="35"/>
      <c r="Q44" s="154"/>
      <c r="R44" s="133"/>
      <c r="S44" s="156"/>
      <c r="T44" s="270">
        <v>6</v>
      </c>
      <c r="U44" s="211"/>
      <c r="V44" s="211"/>
      <c r="W44" s="210"/>
      <c r="X44" s="211"/>
      <c r="Y44" s="237">
        <f>IF(U44&lt;&gt;"",X44*VLOOKUP(U44,Listas!$H$3:$L$23,3,0),0)</f>
        <v>0</v>
      </c>
      <c r="Z44" s="237">
        <f t="shared" si="5"/>
        <v>0</v>
      </c>
      <c r="AA44" s="303">
        <f>+SUM(Z44:Z45)</f>
        <v>0</v>
      </c>
      <c r="AB44" s="237" t="str">
        <f>IF(U44&lt;&gt;"",VLOOKUP(U44,Listas!$N$3:$O$10,2,FALSE),"")</f>
        <v/>
      </c>
      <c r="AC44" s="301"/>
      <c r="AD44" s="274"/>
      <c r="AE44" s="275"/>
      <c r="AF44" s="276"/>
      <c r="AG44" s="157"/>
      <c r="AH44" s="157"/>
      <c r="AI44" s="157"/>
      <c r="AJ44" s="157"/>
      <c r="AK44" s="157"/>
      <c r="AL44" s="158"/>
      <c r="AM44" s="133"/>
    </row>
    <row r="45" spans="1:39" ht="15" customHeight="1">
      <c r="A45" s="30"/>
      <c r="B45" s="147"/>
      <c r="C45" s="28">
        <v>7</v>
      </c>
      <c r="D45" s="210" t="s">
        <v>145</v>
      </c>
      <c r="E45" s="210" t="s">
        <v>33</v>
      </c>
      <c r="F45" s="100" t="s">
        <v>116</v>
      </c>
      <c r="G45" s="124">
        <v>672</v>
      </c>
      <c r="H45" s="125">
        <v>20</v>
      </c>
      <c r="I45" s="126">
        <v>8</v>
      </c>
      <c r="J45" s="26">
        <f t="shared" si="6"/>
        <v>700</v>
      </c>
      <c r="K45" s="172">
        <f t="shared" si="7"/>
        <v>0.96</v>
      </c>
      <c r="L45" s="213"/>
      <c r="M45" s="213">
        <v>15</v>
      </c>
      <c r="N45" s="223">
        <v>53</v>
      </c>
      <c r="O45" s="210" t="s">
        <v>148</v>
      </c>
      <c r="P45" s="35"/>
      <c r="Q45" s="154"/>
      <c r="R45" s="133"/>
      <c r="S45" s="156"/>
      <c r="T45" s="271"/>
      <c r="U45" s="104"/>
      <c r="V45" s="211"/>
      <c r="W45" s="104"/>
      <c r="X45" s="104"/>
      <c r="Y45" s="235">
        <f>IF(U45&lt;&gt;"",X45*VLOOKUP(U45,Listas!$H$3:$L$23,3,0),0)</f>
        <v>0</v>
      </c>
      <c r="Z45" s="238">
        <f t="shared" si="5"/>
        <v>0</v>
      </c>
      <c r="AA45" s="273"/>
      <c r="AB45" s="238" t="str">
        <f>IF(U45&lt;&gt;"",VLOOKUP(U45,Listas!$N$3:$O$10,2,FALSE),"")</f>
        <v/>
      </c>
      <c r="AC45" s="302"/>
      <c r="AD45" s="290"/>
      <c r="AE45" s="291"/>
      <c r="AF45" s="292"/>
      <c r="AG45" s="157"/>
      <c r="AH45" s="157"/>
      <c r="AI45" s="157"/>
      <c r="AJ45" s="157"/>
      <c r="AK45" s="157"/>
      <c r="AL45" s="158"/>
      <c r="AM45" s="133"/>
    </row>
    <row r="46" spans="1:39" ht="15" customHeight="1" thickBot="1">
      <c r="A46" s="30"/>
      <c r="B46" s="147"/>
      <c r="C46" s="236">
        <v>8</v>
      </c>
      <c r="D46" s="210" t="s">
        <v>145</v>
      </c>
      <c r="E46" s="210" t="s">
        <v>33</v>
      </c>
      <c r="F46" s="100" t="s">
        <v>116</v>
      </c>
      <c r="G46" s="227">
        <v>840</v>
      </c>
      <c r="H46" s="125">
        <v>20</v>
      </c>
      <c r="I46" s="108">
        <v>8</v>
      </c>
      <c r="J46" s="238">
        <f t="shared" si="6"/>
        <v>868</v>
      </c>
      <c r="K46" s="173">
        <f t="shared" si="7"/>
        <v>0.967741935483871</v>
      </c>
      <c r="L46" s="213"/>
      <c r="M46" s="213"/>
      <c r="N46" s="223"/>
      <c r="O46" s="210" t="s">
        <v>148</v>
      </c>
      <c r="P46" s="35"/>
      <c r="Q46" s="154"/>
      <c r="R46" s="133"/>
      <c r="S46" s="156"/>
      <c r="T46" s="293">
        <v>7</v>
      </c>
      <c r="U46" s="211" t="s">
        <v>21</v>
      </c>
      <c r="V46" s="211" t="s">
        <v>151</v>
      </c>
      <c r="W46" s="210"/>
      <c r="X46" s="211">
        <v>6</v>
      </c>
      <c r="Y46" s="234">
        <f>IF(U46&lt;&gt;"",X46*VLOOKUP(U46,Listas!$H$3:$L$23,3,0),0)</f>
        <v>216</v>
      </c>
      <c r="Z46" s="234">
        <f t="shared" si="5"/>
        <v>3888</v>
      </c>
      <c r="AA46" s="272">
        <f>+SUM(Z46:Z47)</f>
        <v>3888</v>
      </c>
      <c r="AB46" s="234">
        <f>IF(U46&lt;&gt;"",VLOOKUP(U46,Listas!$N$3:$O$10,2,FALSE),"")</f>
        <v>7</v>
      </c>
      <c r="AC46" s="301"/>
      <c r="AD46" s="274"/>
      <c r="AE46" s="275"/>
      <c r="AF46" s="276"/>
      <c r="AG46" s="161"/>
      <c r="AH46" s="161"/>
      <c r="AI46" s="161"/>
      <c r="AJ46" s="161"/>
      <c r="AK46" s="161"/>
      <c r="AL46" s="158"/>
      <c r="AM46" s="133"/>
    </row>
    <row r="47" spans="1:39" ht="15" customHeight="1" thickBot="1">
      <c r="A47" s="30"/>
      <c r="B47" s="147"/>
      <c r="C47" s="174" t="s">
        <v>7</v>
      </c>
      <c r="D47" s="110"/>
      <c r="E47" s="110"/>
      <c r="F47" s="110"/>
      <c r="G47" s="111">
        <f>SUM(G39:G46)</f>
        <v>5568</v>
      </c>
      <c r="H47" s="111">
        <f>SUM(H39:H46)</f>
        <v>240</v>
      </c>
      <c r="I47" s="121">
        <f>SUM(I39:I46)</f>
        <v>56</v>
      </c>
      <c r="J47" s="111">
        <f>SUM(J39:J46)</f>
        <v>5864</v>
      </c>
      <c r="K47" s="175">
        <f t="shared" si="7"/>
        <v>0.94952251023192358</v>
      </c>
      <c r="L47" s="239"/>
      <c r="M47" s="112">
        <f>SUM(M39:M46)</f>
        <v>60</v>
      </c>
      <c r="N47" s="224"/>
      <c r="O47" s="176"/>
      <c r="P47" s="35"/>
      <c r="Q47" s="154"/>
      <c r="R47" s="133"/>
      <c r="S47" s="156"/>
      <c r="T47" s="288"/>
      <c r="U47" s="104"/>
      <c r="V47" s="211"/>
      <c r="W47" s="104"/>
      <c r="X47" s="104"/>
      <c r="Y47" s="235">
        <f>IF(U47&lt;&gt;"",X47*VLOOKUP(U47,Listas!$H$3:$L$23,3,0),0)</f>
        <v>0</v>
      </c>
      <c r="Z47" s="235">
        <f t="shared" si="5"/>
        <v>0</v>
      </c>
      <c r="AA47" s="289"/>
      <c r="AB47" s="235" t="str">
        <f>IF(U47&lt;&gt;"",VLOOKUP(U47,Listas!$N$3:$O$10,2,FALSE),"")</f>
        <v/>
      </c>
      <c r="AC47" s="302"/>
      <c r="AD47" s="290"/>
      <c r="AE47" s="291"/>
      <c r="AF47" s="292"/>
      <c r="AG47" s="161"/>
      <c r="AH47" s="161"/>
      <c r="AI47" s="161"/>
      <c r="AJ47" s="161"/>
      <c r="AK47" s="161"/>
      <c r="AL47" s="158"/>
      <c r="AM47" s="133"/>
    </row>
    <row r="48" spans="1:39" ht="15" customHeight="1" thickBot="1">
      <c r="A48" s="30"/>
      <c r="B48" s="147"/>
      <c r="C48" s="41"/>
      <c r="D48" s="41"/>
      <c r="E48" s="41"/>
      <c r="F48" s="41"/>
      <c r="G48" s="42"/>
      <c r="H48" s="42"/>
      <c r="I48" s="42"/>
      <c r="J48" s="42"/>
      <c r="K48" s="177"/>
      <c r="L48" s="42"/>
      <c r="M48" s="41"/>
      <c r="N48" s="41"/>
      <c r="O48" s="35"/>
      <c r="P48" s="35"/>
      <c r="Q48" s="154"/>
      <c r="R48" s="133"/>
      <c r="S48" s="156"/>
      <c r="T48" s="270">
        <v>8</v>
      </c>
      <c r="U48" s="211" t="s">
        <v>21</v>
      </c>
      <c r="V48" s="211" t="s">
        <v>151</v>
      </c>
      <c r="W48" s="210"/>
      <c r="X48" s="128">
        <v>6</v>
      </c>
      <c r="Y48" s="237">
        <f>IF(U48&lt;&gt;"",X48*VLOOKUP(U48,Listas!$H$3:$L$23,3,0),0)</f>
        <v>216</v>
      </c>
      <c r="Z48" s="237">
        <f t="shared" si="5"/>
        <v>3888</v>
      </c>
      <c r="AA48" s="303">
        <f>+SUM(Z48:Z49)</f>
        <v>3888</v>
      </c>
      <c r="AB48" s="237">
        <f>IF(U48&lt;&gt;"",VLOOKUP(U48,Listas!$N$3:$O$10,2,FALSE),"")</f>
        <v>7</v>
      </c>
      <c r="AC48" s="304"/>
      <c r="AD48" s="274"/>
      <c r="AE48" s="275"/>
      <c r="AF48" s="276"/>
      <c r="AG48" s="161"/>
      <c r="AH48" s="161"/>
      <c r="AI48" s="161"/>
      <c r="AJ48" s="161"/>
      <c r="AK48" s="161"/>
      <c r="AL48" s="158"/>
      <c r="AM48" s="133"/>
    </row>
    <row r="49" spans="1:39" ht="15" customHeight="1" thickBot="1">
      <c r="A49" s="30"/>
      <c r="B49" s="147"/>
      <c r="C49" s="253">
        <v>4</v>
      </c>
      <c r="D49" s="255">
        <f>K60</f>
        <v>0.92624050067054087</v>
      </c>
      <c r="E49" s="35"/>
      <c r="F49" s="35"/>
      <c r="G49" s="35"/>
      <c r="H49" s="35"/>
      <c r="I49" s="35"/>
      <c r="J49" s="35"/>
      <c r="K49" s="35"/>
      <c r="L49" s="36"/>
      <c r="M49" s="35"/>
      <c r="N49" s="35"/>
      <c r="O49" s="35"/>
      <c r="P49" s="35"/>
      <c r="Q49" s="154"/>
      <c r="R49" s="133"/>
      <c r="S49" s="156"/>
      <c r="T49" s="271"/>
      <c r="U49" s="117"/>
      <c r="V49" s="118"/>
      <c r="W49" s="117"/>
      <c r="X49" s="117"/>
      <c r="Y49" s="130">
        <f>IF(U49&lt;&gt;"",X49*VLOOKUP(U49,Listas!$H$3:$L$23,3,0),0)</f>
        <v>0</v>
      </c>
      <c r="Z49" s="238">
        <f t="shared" si="5"/>
        <v>0</v>
      </c>
      <c r="AA49" s="273"/>
      <c r="AB49" s="238" t="str">
        <f>IF(U49&lt;&gt;"",VLOOKUP(U49,Listas!$N$3:$O$10,2,FALSE),"")</f>
        <v/>
      </c>
      <c r="AC49" s="304"/>
      <c r="AD49" s="290"/>
      <c r="AE49" s="291"/>
      <c r="AF49" s="292"/>
      <c r="AG49" s="161"/>
      <c r="AH49" s="161"/>
      <c r="AI49" s="161"/>
      <c r="AJ49" s="161"/>
      <c r="AK49" s="161"/>
      <c r="AL49" s="158"/>
      <c r="AM49" s="133"/>
    </row>
    <row r="50" spans="1:39" ht="15" customHeight="1" thickBot="1">
      <c r="A50" s="30"/>
      <c r="B50" s="147"/>
      <c r="C50" s="254"/>
      <c r="D50" s="256"/>
      <c r="E50" s="131"/>
      <c r="F50" s="131"/>
      <c r="G50" s="131"/>
      <c r="H50" s="131"/>
      <c r="I50" s="131"/>
      <c r="J50" s="131"/>
      <c r="K50" s="131"/>
      <c r="L50" s="36"/>
      <c r="M50" s="35"/>
      <c r="N50" s="35"/>
      <c r="O50" s="35"/>
      <c r="P50" s="35"/>
      <c r="Q50" s="154" t="s">
        <v>56</v>
      </c>
      <c r="R50" s="133"/>
      <c r="S50" s="156"/>
      <c r="T50" s="120"/>
      <c r="U50" s="239"/>
      <c r="V50" s="239"/>
      <c r="W50" s="239"/>
      <c r="X50" s="121">
        <f>SUM(X34:X49)</f>
        <v>36</v>
      </c>
      <c r="Y50" s="129">
        <f>SUM(Y34:Y49)</f>
        <v>1296</v>
      </c>
      <c r="Z50" s="121">
        <f>+SUM(Z34:Z49)</f>
        <v>23328</v>
      </c>
      <c r="AA50" s="122"/>
      <c r="AB50" s="239"/>
      <c r="AC50" s="111">
        <f>SUM(AC34:AC49)</f>
        <v>0</v>
      </c>
      <c r="AD50" s="280"/>
      <c r="AE50" s="280"/>
      <c r="AF50" s="281"/>
      <c r="AG50" s="161"/>
      <c r="AH50" s="161"/>
      <c r="AI50" s="161"/>
      <c r="AJ50" s="161"/>
      <c r="AK50" s="161"/>
      <c r="AL50" s="158"/>
      <c r="AM50" s="133"/>
    </row>
    <row r="51" spans="1:39" ht="15" customHeight="1" thickBot="1">
      <c r="A51" s="30"/>
      <c r="B51" s="147"/>
      <c r="C51" s="29" t="s">
        <v>2</v>
      </c>
      <c r="D51" s="23" t="s">
        <v>6</v>
      </c>
      <c r="E51" s="23" t="s">
        <v>3</v>
      </c>
      <c r="F51" s="23" t="s">
        <v>58</v>
      </c>
      <c r="G51" s="231" t="s">
        <v>0</v>
      </c>
      <c r="H51" s="231" t="s">
        <v>1</v>
      </c>
      <c r="I51" s="231" t="s">
        <v>18</v>
      </c>
      <c r="J51" s="231" t="s">
        <v>5</v>
      </c>
      <c r="K51" s="178" t="s">
        <v>13</v>
      </c>
      <c r="L51" s="231" t="s">
        <v>17</v>
      </c>
      <c r="M51" s="23" t="s">
        <v>9</v>
      </c>
      <c r="N51" s="240" t="s">
        <v>77</v>
      </c>
      <c r="O51" s="24" t="s">
        <v>12</v>
      </c>
      <c r="P51" s="35"/>
      <c r="Q51" s="154"/>
      <c r="R51" s="133"/>
      <c r="S51" s="156"/>
      <c r="T51" s="161"/>
      <c r="U51" s="161"/>
      <c r="V51" s="161"/>
      <c r="W51" s="161"/>
      <c r="X51" s="161"/>
      <c r="Y51" s="161"/>
      <c r="Z51" s="161"/>
      <c r="AA51" s="161"/>
      <c r="AB51" s="161"/>
      <c r="AC51" s="161"/>
      <c r="AD51" s="161"/>
      <c r="AE51" s="161"/>
      <c r="AF51" s="161"/>
      <c r="AG51" s="161"/>
      <c r="AH51" s="161"/>
      <c r="AI51" s="161"/>
      <c r="AJ51" s="161"/>
      <c r="AK51" s="161"/>
      <c r="AL51" s="158"/>
      <c r="AM51" s="133"/>
    </row>
    <row r="52" spans="1:39" ht="15" customHeight="1">
      <c r="A52" s="30"/>
      <c r="B52" s="147"/>
      <c r="C52" s="232">
        <v>1</v>
      </c>
      <c r="D52" s="210" t="s">
        <v>133</v>
      </c>
      <c r="E52" s="210" t="s">
        <v>40</v>
      </c>
      <c r="F52" s="210" t="s">
        <v>118</v>
      </c>
      <c r="G52" s="124">
        <v>864</v>
      </c>
      <c r="H52" s="125">
        <v>40</v>
      </c>
      <c r="I52" s="126">
        <v>13</v>
      </c>
      <c r="J52" s="234">
        <f t="shared" ref="J52:J58" si="8">+G52+H52+I52</f>
        <v>917</v>
      </c>
      <c r="K52" s="171">
        <f t="shared" ref="K52:K60" si="9">IF(J52&lt;&gt;0,G52/J52,0)</f>
        <v>0.94220283533260629</v>
      </c>
      <c r="L52" s="213" t="s">
        <v>183</v>
      </c>
      <c r="M52" s="213"/>
      <c r="N52" s="223"/>
      <c r="O52" s="210" t="s">
        <v>163</v>
      </c>
      <c r="P52" s="35"/>
      <c r="Q52" s="154"/>
      <c r="R52" s="133"/>
      <c r="S52" s="156"/>
      <c r="T52" s="282" t="s">
        <v>79</v>
      </c>
      <c r="U52" s="283"/>
      <c r="V52" s="284"/>
      <c r="W52" s="21"/>
      <c r="X52" s="21"/>
      <c r="Y52" s="167"/>
      <c r="Z52" s="167"/>
      <c r="AA52" s="167"/>
      <c r="AB52" s="167"/>
      <c r="AC52" s="166"/>
      <c r="AD52" s="166"/>
      <c r="AE52" s="161"/>
      <c r="AF52" s="161"/>
      <c r="AG52" s="161"/>
      <c r="AH52" s="161"/>
      <c r="AI52" s="161"/>
      <c r="AJ52" s="161"/>
      <c r="AK52" s="161"/>
      <c r="AL52" s="158"/>
      <c r="AM52" s="133"/>
    </row>
    <row r="53" spans="1:39" ht="15" customHeight="1" thickBot="1">
      <c r="A53" s="30"/>
      <c r="B53" s="147"/>
      <c r="C53" s="28">
        <v>2</v>
      </c>
      <c r="D53" s="210" t="s">
        <v>133</v>
      </c>
      <c r="E53" s="210" t="s">
        <v>40</v>
      </c>
      <c r="F53" s="210" t="s">
        <v>118</v>
      </c>
      <c r="G53" s="124">
        <v>624</v>
      </c>
      <c r="H53" s="125">
        <v>20</v>
      </c>
      <c r="I53" s="126">
        <v>3</v>
      </c>
      <c r="J53" s="26">
        <f>+G53+H53+I53</f>
        <v>647</v>
      </c>
      <c r="K53" s="172">
        <f>IF(J53&lt;&gt;0,G53/J53,0)</f>
        <v>0.96445131375579596</v>
      </c>
      <c r="L53" s="213"/>
      <c r="M53" s="213">
        <v>20</v>
      </c>
      <c r="N53" s="223">
        <v>52</v>
      </c>
      <c r="O53" s="210" t="s">
        <v>163</v>
      </c>
      <c r="P53" s="35"/>
      <c r="Q53" s="154"/>
      <c r="R53" s="133"/>
      <c r="S53" s="156"/>
      <c r="T53" s="296"/>
      <c r="U53" s="297"/>
      <c r="V53" s="298"/>
      <c r="W53" s="170"/>
      <c r="X53" s="170"/>
      <c r="Y53" s="170"/>
      <c r="Z53" s="170"/>
      <c r="AA53" s="170"/>
      <c r="AB53" s="170"/>
      <c r="AC53" s="170"/>
      <c r="AD53" s="170"/>
      <c r="AE53" s="161"/>
      <c r="AF53" s="161"/>
      <c r="AG53" s="161"/>
      <c r="AH53" s="161"/>
      <c r="AI53" s="161"/>
      <c r="AJ53" s="161"/>
      <c r="AK53" s="161"/>
      <c r="AL53" s="158"/>
      <c r="AM53" s="133"/>
    </row>
    <row r="54" spans="1:39" ht="15" customHeight="1">
      <c r="A54" s="30"/>
      <c r="B54" s="147"/>
      <c r="C54" s="28">
        <v>3</v>
      </c>
      <c r="D54" s="210" t="s">
        <v>143</v>
      </c>
      <c r="E54" s="210" t="s">
        <v>40</v>
      </c>
      <c r="F54" s="210" t="s">
        <v>118</v>
      </c>
      <c r="G54" s="124">
        <v>864</v>
      </c>
      <c r="H54" s="125">
        <v>40</v>
      </c>
      <c r="I54" s="126">
        <v>11</v>
      </c>
      <c r="J54" s="26">
        <f t="shared" si="8"/>
        <v>915</v>
      </c>
      <c r="K54" s="172">
        <f t="shared" si="9"/>
        <v>0.94426229508196724</v>
      </c>
      <c r="L54" s="213" t="s">
        <v>183</v>
      </c>
      <c r="M54" s="213"/>
      <c r="N54" s="223"/>
      <c r="O54" s="210" t="s">
        <v>189</v>
      </c>
      <c r="P54" s="35"/>
      <c r="Q54" s="154"/>
      <c r="R54" s="133"/>
      <c r="S54" s="156"/>
      <c r="T54" s="47" t="s">
        <v>2</v>
      </c>
      <c r="U54" s="23" t="s">
        <v>81</v>
      </c>
      <c r="V54" s="23" t="s">
        <v>4</v>
      </c>
      <c r="W54" s="23" t="s">
        <v>82</v>
      </c>
      <c r="X54" s="23" t="s">
        <v>86</v>
      </c>
      <c r="Y54" s="23" t="s">
        <v>87</v>
      </c>
      <c r="Z54" s="23" t="s">
        <v>92</v>
      </c>
      <c r="AA54" s="23" t="s">
        <v>93</v>
      </c>
      <c r="AB54" s="23" t="s">
        <v>94</v>
      </c>
      <c r="AC54" s="23" t="s">
        <v>95</v>
      </c>
      <c r="AD54" s="46" t="s">
        <v>84</v>
      </c>
      <c r="AE54" s="46" t="s">
        <v>103</v>
      </c>
      <c r="AF54" s="299" t="s">
        <v>78</v>
      </c>
      <c r="AG54" s="299"/>
      <c r="AH54" s="300"/>
      <c r="AI54" s="161"/>
      <c r="AJ54" s="161"/>
      <c r="AK54" s="161"/>
      <c r="AL54" s="158"/>
      <c r="AM54" s="133"/>
    </row>
    <row r="55" spans="1:39" ht="15" customHeight="1">
      <c r="A55" s="30"/>
      <c r="B55" s="147"/>
      <c r="C55" s="28">
        <v>4</v>
      </c>
      <c r="D55" s="210" t="s">
        <v>143</v>
      </c>
      <c r="E55" s="210" t="s">
        <v>40</v>
      </c>
      <c r="F55" s="210" t="s">
        <v>118</v>
      </c>
      <c r="G55" s="210">
        <v>864</v>
      </c>
      <c r="H55" s="125">
        <v>60</v>
      </c>
      <c r="I55" s="126">
        <v>3</v>
      </c>
      <c r="J55" s="26">
        <f t="shared" si="8"/>
        <v>927</v>
      </c>
      <c r="K55" s="172">
        <f t="shared" si="9"/>
        <v>0.93203883495145634</v>
      </c>
      <c r="L55" s="213" t="s">
        <v>183</v>
      </c>
      <c r="M55" s="213">
        <v>10</v>
      </c>
      <c r="N55" s="223">
        <v>51</v>
      </c>
      <c r="O55" s="210" t="s">
        <v>189</v>
      </c>
      <c r="P55" s="35"/>
      <c r="Q55" s="154"/>
      <c r="R55" s="133"/>
      <c r="S55" s="156"/>
      <c r="T55" s="293">
        <v>1</v>
      </c>
      <c r="U55" s="211" t="s">
        <v>33</v>
      </c>
      <c r="V55" s="210" t="s">
        <v>116</v>
      </c>
      <c r="W55" s="211"/>
      <c r="X55" s="211">
        <v>6</v>
      </c>
      <c r="Y55" s="211"/>
      <c r="Z55" s="234">
        <f>IF(U55&lt;&gt;"",X55*VLOOKUP(U55,Listas!$H$3:$L$23,3,0),0)</f>
        <v>336</v>
      </c>
      <c r="AA55" s="234">
        <f>IF(U55&lt;&gt;"",Y55*VLOOKUP(U55,Listas!$H$3:$L$23,3,0),0)</f>
        <v>0</v>
      </c>
      <c r="AB55" s="234">
        <f>IF(U55&lt;&gt;"",X55*VLOOKUP(U55,Listas!$H$3:$L$23,4,0),0)</f>
        <v>6720</v>
      </c>
      <c r="AC55" s="234">
        <f>IF(U55&lt;&gt;"",Y55*VLOOKUP(U55,Listas!$H$3:$L$23,4,0),0)</f>
        <v>0</v>
      </c>
      <c r="AD55" s="272">
        <f>+SUM(AB55:AB56)+SUM(AC55:AC56)</f>
        <v>6720</v>
      </c>
      <c r="AE55" s="87" t="str">
        <f>IF(COUNT(X55)=1,VLOOKUP(U55,Listas!$R$6:$U$18,'02-09 T3'!W55+1,FALSE),IF(COUNT('02-09 T3'!Y55)=1,VLOOKUP('02-09 T3'!U55,Listas!$R$22:$U$34,'02-09 T3'!W55+1,FALSE),""))</f>
        <v>DIN 22</v>
      </c>
      <c r="AF55" s="294"/>
      <c r="AG55" s="294"/>
      <c r="AH55" s="295"/>
      <c r="AI55" s="161"/>
      <c r="AJ55" s="161"/>
      <c r="AK55" s="161"/>
      <c r="AL55" s="158"/>
      <c r="AM55" s="133"/>
    </row>
    <row r="56" spans="1:39" ht="15" customHeight="1">
      <c r="A56" s="30"/>
      <c r="B56" s="147"/>
      <c r="C56" s="28">
        <v>5</v>
      </c>
      <c r="D56" s="210" t="s">
        <v>143</v>
      </c>
      <c r="E56" s="210" t="s">
        <v>40</v>
      </c>
      <c r="F56" s="210" t="s">
        <v>118</v>
      </c>
      <c r="G56" s="124">
        <v>720</v>
      </c>
      <c r="H56" s="125">
        <v>140</v>
      </c>
      <c r="I56" s="126">
        <v>30</v>
      </c>
      <c r="J56" s="26">
        <f t="shared" si="8"/>
        <v>890</v>
      </c>
      <c r="K56" s="172">
        <f t="shared" si="9"/>
        <v>0.8089887640449438</v>
      </c>
      <c r="L56" s="213" t="s">
        <v>183</v>
      </c>
      <c r="M56" s="213"/>
      <c r="N56" s="223"/>
      <c r="O56" s="210" t="s">
        <v>189</v>
      </c>
      <c r="P56" s="35"/>
      <c r="Q56" s="154"/>
      <c r="R56" s="133"/>
      <c r="S56" s="156"/>
      <c r="T56" s="288"/>
      <c r="U56" s="104"/>
      <c r="V56" s="210"/>
      <c r="W56" s="104"/>
      <c r="X56" s="104"/>
      <c r="Y56" s="104"/>
      <c r="Z56" s="235">
        <f>IF(U56&lt;&gt;"",X56*VLOOKUP(U56,Listas!$H$3:$L$23,3,0),0)</f>
        <v>0</v>
      </c>
      <c r="AA56" s="235">
        <f>IF(U56&lt;&gt;"",Y56*VLOOKUP(U56,Listas!$H$3:$L$23,3,0),0)</f>
        <v>0</v>
      </c>
      <c r="AB56" s="235">
        <f>IF(U56&lt;&gt;"",X56*VLOOKUP(U56,Listas!$H$3:$L$23,4,0),0)</f>
        <v>0</v>
      </c>
      <c r="AC56" s="235">
        <f>IF(U56&lt;&gt;"",Y56*VLOOKUP(U56,Listas!$H$3:$L$23,4,0),0)</f>
        <v>0</v>
      </c>
      <c r="AD56" s="289"/>
      <c r="AE56" s="88" t="str">
        <f>IF(COUNT(X56)=1,VLOOKUP(U56,Listas!$R$6:$U$18,'02-09 T3'!W56+1,FALSE),IF(COUNT('02-09 T3'!Y56)=1,VLOOKUP('02-09 T3'!U56,Listas!$R$22:$U$34,'02-09 T3'!W56+1,FALSE),""))</f>
        <v/>
      </c>
      <c r="AF56" s="294"/>
      <c r="AG56" s="294"/>
      <c r="AH56" s="295"/>
      <c r="AI56" s="161"/>
      <c r="AJ56" s="161"/>
      <c r="AK56" s="161"/>
      <c r="AL56" s="158"/>
      <c r="AM56" s="133"/>
    </row>
    <row r="57" spans="1:39" ht="15" customHeight="1">
      <c r="A57" s="30"/>
      <c r="B57" s="147"/>
      <c r="C57" s="28">
        <v>6</v>
      </c>
      <c r="D57" s="210" t="s">
        <v>133</v>
      </c>
      <c r="E57" s="210" t="s">
        <v>40</v>
      </c>
      <c r="F57" s="210" t="s">
        <v>118</v>
      </c>
      <c r="G57" s="228">
        <v>720</v>
      </c>
      <c r="H57" s="125">
        <v>40</v>
      </c>
      <c r="I57" s="126">
        <v>6</v>
      </c>
      <c r="J57" s="26">
        <f t="shared" si="8"/>
        <v>766</v>
      </c>
      <c r="K57" s="172">
        <f t="shared" si="9"/>
        <v>0.93994778067885121</v>
      </c>
      <c r="L57" s="213" t="s">
        <v>183</v>
      </c>
      <c r="M57" s="213"/>
      <c r="N57" s="223"/>
      <c r="O57" s="210" t="s">
        <v>189</v>
      </c>
      <c r="P57" s="35"/>
      <c r="Q57" s="154"/>
      <c r="R57" s="133"/>
      <c r="S57" s="156"/>
      <c r="T57" s="293">
        <v>2</v>
      </c>
      <c r="U57" s="211" t="s">
        <v>31</v>
      </c>
      <c r="V57" s="210" t="s">
        <v>151</v>
      </c>
      <c r="W57" s="211"/>
      <c r="X57" s="211">
        <v>3</v>
      </c>
      <c r="Y57" s="211"/>
      <c r="Z57" s="234">
        <f>IF(U57&lt;&gt;"",X57*VLOOKUP(U57,Listas!$H$3:$L$23,3,0),0)</f>
        <v>156</v>
      </c>
      <c r="AA57" s="234">
        <f>IF(U57&lt;&gt;"",Y57*VLOOKUP(U57,Listas!$H$3:$L$23,3,0),0)</f>
        <v>0</v>
      </c>
      <c r="AB57" s="234">
        <f>IF(U57&lt;&gt;"",X57*VLOOKUP(U57,Listas!$H$3:$L$23,4,0),0)</f>
        <v>3900</v>
      </c>
      <c r="AC57" s="234">
        <f>IF(U57&lt;&gt;"",Y57*VLOOKUP(U57,Listas!$H$3:$L$23,4,0),0)</f>
        <v>0</v>
      </c>
      <c r="AD57" s="272">
        <f>+SUM(AB57:AB58)+SUM(AC57:AC58)</f>
        <v>3900</v>
      </c>
      <c r="AE57" s="87" t="str">
        <f>IF(COUNT(X57)=1,VLOOKUP(U57,Listas!$R$6:$U$18,'02-09 T3'!W57+1,FALSE),IF(COUNT('02-09 T3'!Y57)=1,VLOOKUP('02-09 T3'!U57,Listas!$R$22:$U$34,'02-09 T3'!W57+1,FALSE),""))</f>
        <v>DIN 20</v>
      </c>
      <c r="AF57" s="294"/>
      <c r="AG57" s="294"/>
      <c r="AH57" s="295"/>
      <c r="AI57" s="161"/>
      <c r="AJ57" s="161"/>
      <c r="AK57" s="161"/>
      <c r="AL57" s="158"/>
      <c r="AM57" s="133"/>
    </row>
    <row r="58" spans="1:39" ht="15" customHeight="1">
      <c r="A58" s="30"/>
      <c r="B58" s="147"/>
      <c r="C58" s="28">
        <v>7</v>
      </c>
      <c r="D58" s="210" t="s">
        <v>133</v>
      </c>
      <c r="E58" s="210" t="s">
        <v>40</v>
      </c>
      <c r="F58" s="210" t="s">
        <v>118</v>
      </c>
      <c r="G58" s="124">
        <v>768</v>
      </c>
      <c r="H58" s="125">
        <v>40</v>
      </c>
      <c r="I58" s="126">
        <v>4</v>
      </c>
      <c r="J58" s="26">
        <f t="shared" si="8"/>
        <v>812</v>
      </c>
      <c r="K58" s="172">
        <f t="shared" si="9"/>
        <v>0.94581280788177335</v>
      </c>
      <c r="L58" s="213" t="s">
        <v>183</v>
      </c>
      <c r="M58" s="213">
        <v>5</v>
      </c>
      <c r="N58" s="223">
        <v>51</v>
      </c>
      <c r="O58" s="210" t="s">
        <v>189</v>
      </c>
      <c r="P58" s="35"/>
      <c r="Q58" s="154"/>
      <c r="R58" s="133"/>
      <c r="S58" s="156"/>
      <c r="T58" s="288"/>
      <c r="U58" s="104"/>
      <c r="V58" s="116"/>
      <c r="W58" s="104"/>
      <c r="X58" s="104"/>
      <c r="Y58" s="104"/>
      <c r="Z58" s="235">
        <f>IF(U58&lt;&gt;"",X58*VLOOKUP(U58,Listas!$H$3:$L$23,3,0),0)</f>
        <v>0</v>
      </c>
      <c r="AA58" s="235">
        <f>IF(U58&lt;&gt;"",Y58*VLOOKUP(U58,Listas!$H$3:$L$23,3,0),0)</f>
        <v>0</v>
      </c>
      <c r="AB58" s="235">
        <f>IF(U58&lt;&gt;"",X58*VLOOKUP(U58,Listas!$H$3:$L$23,4,0),0)</f>
        <v>0</v>
      </c>
      <c r="AC58" s="235">
        <f>IF(U58&lt;&gt;"",Y58*VLOOKUP(U58,Listas!$H$3:$L$23,4,0),0)</f>
        <v>0</v>
      </c>
      <c r="AD58" s="289"/>
      <c r="AE58" s="88" t="str">
        <f>IF(COUNT(X58)=1,VLOOKUP(U58,Listas!$R$6:$U$18,'02-09 T3'!W58+1,FALSE),IF(COUNT('02-09 T3'!Y58)=1,VLOOKUP('02-09 T3'!U58,Listas!$R$22:$U$34,'02-09 T3'!W58+1,FALSE),""))</f>
        <v/>
      </c>
      <c r="AF58" s="294"/>
      <c r="AG58" s="294"/>
      <c r="AH58" s="295"/>
      <c r="AI58" s="157"/>
      <c r="AJ58" s="157"/>
      <c r="AK58" s="157"/>
      <c r="AL58" s="158"/>
      <c r="AM58" s="133"/>
    </row>
    <row r="59" spans="1:39" ht="15" customHeight="1" thickBot="1">
      <c r="A59" s="30"/>
      <c r="B59" s="147"/>
      <c r="C59" s="236">
        <v>8</v>
      </c>
      <c r="D59" s="210" t="s">
        <v>133</v>
      </c>
      <c r="E59" s="210" t="s">
        <v>40</v>
      </c>
      <c r="F59" s="210" t="s">
        <v>118</v>
      </c>
      <c r="G59" s="108">
        <v>792</v>
      </c>
      <c r="H59" s="220">
        <v>40</v>
      </c>
      <c r="I59" s="108">
        <v>5</v>
      </c>
      <c r="J59" s="238">
        <f>+G59+H59+I59</f>
        <v>837</v>
      </c>
      <c r="K59" s="173">
        <f>IF(J59&lt;&gt;0,G59/J59,0)</f>
        <v>0.94623655913978499</v>
      </c>
      <c r="L59" s="213"/>
      <c r="M59" s="213"/>
      <c r="N59" s="223"/>
      <c r="O59" s="210" t="s">
        <v>189</v>
      </c>
      <c r="P59" s="35"/>
      <c r="Q59" s="154"/>
      <c r="R59" s="133"/>
      <c r="S59" s="156"/>
      <c r="T59" s="293">
        <v>3</v>
      </c>
      <c r="U59" s="211" t="s">
        <v>36</v>
      </c>
      <c r="V59" s="210" t="s">
        <v>116</v>
      </c>
      <c r="W59" s="211"/>
      <c r="X59" s="211">
        <v>1</v>
      </c>
      <c r="Y59" s="211"/>
      <c r="Z59" s="234">
        <f>IF(U59&lt;&gt;"",X59*VLOOKUP(U59,Listas!$H$3:$L$23,3,0),0)</f>
        <v>51</v>
      </c>
      <c r="AA59" s="234">
        <f>IF(U59&lt;&gt;"",Y59*VLOOKUP(U59,Listas!$H$3:$L$23,3,0),0)</f>
        <v>0</v>
      </c>
      <c r="AB59" s="234">
        <f>IF(U59&lt;&gt;"",X59*VLOOKUP(U59,Listas!$H$3:$L$23,4,0),0)</f>
        <v>765</v>
      </c>
      <c r="AC59" s="234">
        <f>IF(U59&lt;&gt;"",Y59*VLOOKUP(U59,Listas!$H$3:$L$23,4,0),0)</f>
        <v>0</v>
      </c>
      <c r="AD59" s="272">
        <f>+SUM(AB59:AB60)+SUM(AC59:AC60)</f>
        <v>765</v>
      </c>
      <c r="AE59" s="87" t="str">
        <f>IF(COUNT(X59)=1,VLOOKUP(U59,Listas!$R$6:$U$18,'02-09 T3'!W59+1,FALSE),IF(COUNT('02-09 T3'!Y59)=1,VLOOKUP('02-09 T3'!U59,Listas!$R$22:$U$34,'02-09 T3'!W59+1,FALSE),""))</f>
        <v>DIN 30x20</v>
      </c>
      <c r="AF59" s="274"/>
      <c r="AG59" s="275"/>
      <c r="AH59" s="276"/>
      <c r="AI59" s="161"/>
      <c r="AJ59" s="161"/>
      <c r="AK59" s="161"/>
      <c r="AL59" s="158"/>
      <c r="AM59" s="133"/>
    </row>
    <row r="60" spans="1:39" ht="15" customHeight="1" thickBot="1">
      <c r="A60" s="30"/>
      <c r="B60" s="147"/>
      <c r="C60" s="174" t="s">
        <v>7</v>
      </c>
      <c r="D60" s="110"/>
      <c r="E60" s="110"/>
      <c r="F60" s="132"/>
      <c r="G60" s="111">
        <f>SUM(G52:G59)</f>
        <v>6216</v>
      </c>
      <c r="H60" s="111">
        <f>SUM(H52:H59)</f>
        <v>420</v>
      </c>
      <c r="I60" s="111">
        <f>SUM(I52:I59)</f>
        <v>75</v>
      </c>
      <c r="J60" s="111">
        <f>SUM(J52:J59)</f>
        <v>6711</v>
      </c>
      <c r="K60" s="175">
        <f t="shared" si="9"/>
        <v>0.92624050067054087</v>
      </c>
      <c r="L60" s="239"/>
      <c r="M60" s="112">
        <f>SUM(M52:M59)</f>
        <v>35</v>
      </c>
      <c r="N60" s="224"/>
      <c r="O60" s="176"/>
      <c r="P60" s="35"/>
      <c r="Q60" s="154"/>
      <c r="R60" s="133"/>
      <c r="S60" s="156"/>
      <c r="T60" s="288"/>
      <c r="U60" s="104"/>
      <c r="V60" s="116"/>
      <c r="W60" s="104"/>
      <c r="X60" s="104"/>
      <c r="Y60" s="104"/>
      <c r="Z60" s="235">
        <f>IF(U60&lt;&gt;"",X60*VLOOKUP(U60,Listas!$H$3:$L$23,3,0),0)</f>
        <v>0</v>
      </c>
      <c r="AA60" s="235">
        <f>IF(U60&lt;&gt;"",Y60*VLOOKUP(U60,Listas!$H$3:$L$23,3,0),0)</f>
        <v>0</v>
      </c>
      <c r="AB60" s="235">
        <f>IF(U60&lt;&gt;"",X60*VLOOKUP(U60,Listas!$H$3:$L$23,4,0),0)</f>
        <v>0</v>
      </c>
      <c r="AC60" s="235">
        <f>IF(U60&lt;&gt;"",Y60*VLOOKUP(U60,Listas!$H$3:$L$23,4,0),0)</f>
        <v>0</v>
      </c>
      <c r="AD60" s="289"/>
      <c r="AE60" s="88" t="str">
        <f>IF(COUNT(X60)=1,VLOOKUP(U60,Listas!$R$6:$U$18,'02-09 T3'!W60+1,FALSE),IF(COUNT('02-09 T3'!Y60)=1,VLOOKUP('02-09 T3'!U60,Listas!$R$22:$U$34,'02-09 T3'!W60+1,FALSE),""))</f>
        <v/>
      </c>
      <c r="AF60" s="290"/>
      <c r="AG60" s="291"/>
      <c r="AH60" s="292"/>
      <c r="AI60" s="161"/>
      <c r="AJ60" s="161"/>
      <c r="AK60" s="161"/>
      <c r="AL60" s="158"/>
      <c r="AM60" s="133"/>
    </row>
    <row r="61" spans="1:39" ht="15" customHeight="1" thickBot="1">
      <c r="A61" s="30"/>
      <c r="B61" s="147"/>
      <c r="C61" s="41"/>
      <c r="D61" s="41"/>
      <c r="E61" s="41"/>
      <c r="F61" s="131"/>
      <c r="G61" s="42"/>
      <c r="H61" s="42"/>
      <c r="I61" s="42"/>
      <c r="J61" s="42"/>
      <c r="K61" s="177"/>
      <c r="L61" s="42"/>
      <c r="M61" s="41"/>
      <c r="N61" s="41"/>
      <c r="O61" s="35"/>
      <c r="P61" s="35"/>
      <c r="Q61" s="154"/>
      <c r="R61" s="133"/>
      <c r="S61" s="156"/>
      <c r="T61" s="270">
        <v>4</v>
      </c>
      <c r="U61" s="211"/>
      <c r="V61" s="210"/>
      <c r="W61" s="211"/>
      <c r="X61" s="211"/>
      <c r="Y61" s="211"/>
      <c r="Z61" s="237">
        <f>IF(U61&lt;&gt;"",X61*VLOOKUP(U61,Listas!$H$3:$L$23,3,0),0)</f>
        <v>0</v>
      </c>
      <c r="AA61" s="237">
        <f>IF(U61&lt;&gt;"",Y61*VLOOKUP(U61,Listas!$H$3:$L$23,3,0),0)</f>
        <v>0</v>
      </c>
      <c r="AB61" s="237">
        <f>IF(U61&lt;&gt;"",X61*VLOOKUP(U61,Listas!$H$3:$L$23,4,0),0)</f>
        <v>0</v>
      </c>
      <c r="AC61" s="237">
        <f>IF(U61&lt;&gt;"",Y61*VLOOKUP(U61,Listas!$H$3:$L$23,4,0),0)</f>
        <v>0</v>
      </c>
      <c r="AD61" s="272">
        <f>+SUM(AB61:AB62)+SUM(AC61:AC62)</f>
        <v>0</v>
      </c>
      <c r="AE61" s="87" t="str">
        <f>IF(COUNT(X61)=1,VLOOKUP(U61,Listas!$R$6:$U$18,'02-09 T3'!W61+1,FALSE),IF(COUNT('02-09 T3'!Y61)=1,VLOOKUP('02-09 T3'!U61,Listas!$R$22:$U$34,'02-09 T3'!W61+1,FALSE),""))</f>
        <v/>
      </c>
      <c r="AF61" s="294"/>
      <c r="AG61" s="294"/>
      <c r="AH61" s="295"/>
      <c r="AI61" s="161"/>
      <c r="AJ61" s="161"/>
      <c r="AK61" s="161"/>
      <c r="AL61" s="158"/>
      <c r="AM61" s="133"/>
    </row>
    <row r="62" spans="1:39" ht="15" customHeight="1">
      <c r="A62" s="30"/>
      <c r="B62" s="147"/>
      <c r="C62" s="253">
        <v>5</v>
      </c>
      <c r="D62" s="255">
        <f>K73</f>
        <v>0.93425940881925373</v>
      </c>
      <c r="E62" s="35"/>
      <c r="F62" s="35"/>
      <c r="G62" s="35"/>
      <c r="H62" s="35"/>
      <c r="I62" s="35"/>
      <c r="J62" s="35"/>
      <c r="K62" s="35"/>
      <c r="L62" s="36"/>
      <c r="M62" s="35"/>
      <c r="N62" s="35"/>
      <c r="O62" s="35"/>
      <c r="P62" s="35"/>
      <c r="Q62" s="154"/>
      <c r="R62" s="133"/>
      <c r="S62" s="156"/>
      <c r="T62" s="288"/>
      <c r="U62" s="104"/>
      <c r="V62" s="116"/>
      <c r="W62" s="104"/>
      <c r="X62" s="104"/>
      <c r="Y62" s="104"/>
      <c r="Z62" s="235">
        <f>IF(U62&lt;&gt;"",X62*VLOOKUP(U62,Listas!$H$3:$L$23,3,0),0)</f>
        <v>0</v>
      </c>
      <c r="AA62" s="235">
        <f>IF(U62&lt;&gt;"",Y62*VLOOKUP(U62,Listas!$H$3:$L$23,3,0),0)</f>
        <v>0</v>
      </c>
      <c r="AB62" s="235">
        <f>IF(U62&lt;&gt;"",X62*VLOOKUP(U62,Listas!$H$3:$L$23,4,0),0)</f>
        <v>0</v>
      </c>
      <c r="AC62" s="235">
        <f>IF(U62&lt;&gt;"",Y62*VLOOKUP(U62,Listas!$H$3:$L$23,4,0),0)</f>
        <v>0</v>
      </c>
      <c r="AD62" s="289"/>
      <c r="AE62" s="88" t="str">
        <f>IF(COUNT(X62)=1,VLOOKUP(U62,Listas!$R$6:$U$18,'02-09 T3'!W62+1,FALSE),IF(COUNT('02-09 T3'!Y62)=1,VLOOKUP('02-09 T3'!U62,Listas!$R$22:$U$34,'02-09 T3'!W62+1,FALSE),""))</f>
        <v/>
      </c>
      <c r="AF62" s="294"/>
      <c r="AG62" s="294"/>
      <c r="AH62" s="295"/>
      <c r="AI62" s="161"/>
      <c r="AJ62" s="161"/>
      <c r="AK62" s="161"/>
      <c r="AL62" s="158"/>
      <c r="AM62" s="133"/>
    </row>
    <row r="63" spans="1:39" ht="15" customHeight="1" thickBot="1">
      <c r="A63" s="30"/>
      <c r="B63" s="147"/>
      <c r="C63" s="254"/>
      <c r="D63" s="256"/>
      <c r="E63" s="131"/>
      <c r="F63" s="131"/>
      <c r="G63" s="131"/>
      <c r="H63" s="131"/>
      <c r="I63" s="131"/>
      <c r="J63" s="131"/>
      <c r="K63" s="131"/>
      <c r="L63" s="36"/>
      <c r="M63" s="35"/>
      <c r="N63" s="35"/>
      <c r="O63" s="35"/>
      <c r="P63" s="35"/>
      <c r="Q63" s="154"/>
      <c r="R63" s="133"/>
      <c r="S63" s="156"/>
      <c r="T63" s="293">
        <v>5</v>
      </c>
      <c r="U63" s="211"/>
      <c r="V63" s="210"/>
      <c r="W63" s="211"/>
      <c r="X63" s="211"/>
      <c r="Y63" s="211"/>
      <c r="Z63" s="234">
        <f>IF(U63&lt;&gt;"",X63*VLOOKUP(U63,Listas!$H$3:$L$23,3,0),0)</f>
        <v>0</v>
      </c>
      <c r="AA63" s="234">
        <f>IF(U63&lt;&gt;"",Y63*VLOOKUP(U63,Listas!$H$3:$L$23,3,0),0)</f>
        <v>0</v>
      </c>
      <c r="AB63" s="234">
        <f>IF(U63&lt;&gt;"",X63*VLOOKUP(U63,Listas!$H$3:$L$23,4,0),0)</f>
        <v>0</v>
      </c>
      <c r="AC63" s="234">
        <f>IF(U63&lt;&gt;"",Y63*VLOOKUP(U63,Listas!$H$3:$L$23,4,0),0)</f>
        <v>0</v>
      </c>
      <c r="AD63" s="272">
        <f>+SUM(AB63:AB64)+SUM(AC63:AC64)</f>
        <v>0</v>
      </c>
      <c r="AE63" s="87" t="str">
        <f>IF(COUNT(X63)=1,VLOOKUP(U63,Listas!$R$6:$U$18,'02-09 T3'!W63+1,FALSE),IF(COUNT('02-09 T3'!Y63)=1,VLOOKUP('02-09 T3'!U63,Listas!$R$22:$U$34,'02-09 T3'!W63+1,FALSE),""))</f>
        <v/>
      </c>
      <c r="AF63" s="294"/>
      <c r="AG63" s="294"/>
      <c r="AH63" s="295"/>
      <c r="AI63" s="161"/>
      <c r="AJ63" s="161"/>
      <c r="AK63" s="161"/>
      <c r="AL63" s="158"/>
      <c r="AM63" s="133"/>
    </row>
    <row r="64" spans="1:39" ht="15" customHeight="1">
      <c r="A64" s="30"/>
      <c r="B64" s="147"/>
      <c r="C64" s="29" t="s">
        <v>2</v>
      </c>
      <c r="D64" s="23" t="s">
        <v>6</v>
      </c>
      <c r="E64" s="23" t="s">
        <v>3</v>
      </c>
      <c r="F64" s="23" t="s">
        <v>58</v>
      </c>
      <c r="G64" s="231" t="s">
        <v>0</v>
      </c>
      <c r="H64" s="231" t="s">
        <v>1</v>
      </c>
      <c r="I64" s="231" t="s">
        <v>18</v>
      </c>
      <c r="J64" s="231" t="s">
        <v>5</v>
      </c>
      <c r="K64" s="23" t="s">
        <v>13</v>
      </c>
      <c r="L64" s="231" t="s">
        <v>17</v>
      </c>
      <c r="M64" s="23" t="s">
        <v>9</v>
      </c>
      <c r="N64" s="240" t="s">
        <v>77</v>
      </c>
      <c r="O64" s="24" t="s">
        <v>12</v>
      </c>
      <c r="P64" s="35"/>
      <c r="Q64" s="154"/>
      <c r="R64" s="133"/>
      <c r="S64" s="156"/>
      <c r="T64" s="288"/>
      <c r="U64" s="104"/>
      <c r="V64" s="116"/>
      <c r="W64" s="104"/>
      <c r="X64" s="104"/>
      <c r="Y64" s="104"/>
      <c r="Z64" s="235">
        <f>IF(U64&lt;&gt;"",X64*VLOOKUP(U64,Listas!$H$3:$L$23,3,0),0)</f>
        <v>0</v>
      </c>
      <c r="AA64" s="235">
        <f>IF(U64&lt;&gt;"",Y64*VLOOKUP(U64,Listas!$H$3:$L$23,3,0),0)</f>
        <v>0</v>
      </c>
      <c r="AB64" s="235">
        <f>IF(U64&lt;&gt;"",X64*VLOOKUP(U64,Listas!$H$3:$L$23,4,0),0)</f>
        <v>0</v>
      </c>
      <c r="AC64" s="235">
        <f>IF(U64&lt;&gt;"",Y64*VLOOKUP(U64,Listas!$H$3:$L$23,4,0),0)</f>
        <v>0</v>
      </c>
      <c r="AD64" s="289"/>
      <c r="AE64" s="88" t="str">
        <f>IF(COUNT(X64)=1,VLOOKUP(U64,Listas!$R$6:$U$18,'02-09 T3'!W64+1,FALSE),IF(COUNT('02-09 T3'!Y64)=1,VLOOKUP('02-09 T3'!U64,Listas!$R$22:$U$34,'02-09 T3'!W64+1,FALSE),""))</f>
        <v/>
      </c>
      <c r="AF64" s="294"/>
      <c r="AG64" s="294"/>
      <c r="AH64" s="295"/>
      <c r="AI64" s="161"/>
      <c r="AJ64" s="161"/>
      <c r="AK64" s="161"/>
      <c r="AL64" s="158"/>
      <c r="AM64" s="133"/>
    </row>
    <row r="65" spans="1:39" ht="15" customHeight="1">
      <c r="A65" s="30"/>
      <c r="B65" s="147"/>
      <c r="C65" s="232">
        <v>1</v>
      </c>
      <c r="D65" s="214" t="s">
        <v>141</v>
      </c>
      <c r="E65" s="210" t="s">
        <v>38</v>
      </c>
      <c r="F65" s="210" t="s">
        <v>118</v>
      </c>
      <c r="G65" s="124">
        <v>648</v>
      </c>
      <c r="H65" s="125">
        <v>100</v>
      </c>
      <c r="I65" s="126">
        <v>6</v>
      </c>
      <c r="J65" s="234">
        <f t="shared" ref="J65:J72" si="10">+G65+H65+I65</f>
        <v>754</v>
      </c>
      <c r="K65" s="171">
        <f t="shared" ref="K65:K73" si="11">IF(J65&lt;&gt;0,G65/J65,0)</f>
        <v>0.85941644562334218</v>
      </c>
      <c r="L65" s="213" t="s">
        <v>184</v>
      </c>
      <c r="M65" s="213"/>
      <c r="N65" s="223"/>
      <c r="O65" s="210" t="s">
        <v>163</v>
      </c>
      <c r="P65" s="35"/>
      <c r="Q65" s="154"/>
      <c r="R65" s="133"/>
      <c r="S65" s="156"/>
      <c r="T65" s="270">
        <v>6</v>
      </c>
      <c r="U65" s="211"/>
      <c r="V65" s="210"/>
      <c r="W65" s="211"/>
      <c r="X65" s="211"/>
      <c r="Y65" s="211"/>
      <c r="Z65" s="237">
        <f>IF(U65&lt;&gt;"",X65*VLOOKUP(U65,Listas!$H$3:$L$23,3,0),0)</f>
        <v>0</v>
      </c>
      <c r="AA65" s="237">
        <f>IF(U65&lt;&gt;"",Y65*VLOOKUP(U65,Listas!$H$3:$L$23,3,0),0)</f>
        <v>0</v>
      </c>
      <c r="AB65" s="237">
        <f>IF(U65&lt;&gt;"",X65*VLOOKUP(U65,Listas!$H$3:$L$23,4,0),0)</f>
        <v>0</v>
      </c>
      <c r="AC65" s="237">
        <f>IF(U65&lt;&gt;"",Y65*VLOOKUP(U65,Listas!$H$3:$L$23,4,0),0)</f>
        <v>0</v>
      </c>
      <c r="AD65" s="272">
        <f>+SUM(AB65:AB66)+SUM(AC65:AC66)</f>
        <v>0</v>
      </c>
      <c r="AE65" s="89" t="str">
        <f>IF(COUNT(X65)=1,VLOOKUP(U65,Listas!$R$6:$U$18,'02-09 T3'!W65+1,FALSE),IF(COUNT('02-09 T3'!Y65)=1,VLOOKUP('02-09 T3'!U65,Listas!$R$22:$U$34,'02-09 T3'!W65+1,FALSE),""))</f>
        <v/>
      </c>
      <c r="AF65" s="274"/>
      <c r="AG65" s="275"/>
      <c r="AH65" s="276"/>
      <c r="AI65" s="161"/>
      <c r="AJ65" s="161"/>
      <c r="AK65" s="161"/>
      <c r="AL65" s="158"/>
      <c r="AM65" s="133"/>
    </row>
    <row r="66" spans="1:39" ht="15" customHeight="1">
      <c r="A66" s="30"/>
      <c r="B66" s="147"/>
      <c r="C66" s="28">
        <v>2</v>
      </c>
      <c r="D66" s="214" t="s">
        <v>141</v>
      </c>
      <c r="E66" s="210" t="s">
        <v>38</v>
      </c>
      <c r="F66" s="210" t="s">
        <v>118</v>
      </c>
      <c r="G66" s="124">
        <v>672</v>
      </c>
      <c r="H66" s="125">
        <v>0</v>
      </c>
      <c r="I66" s="126">
        <v>1</v>
      </c>
      <c r="J66" s="26">
        <f t="shared" si="10"/>
        <v>673</v>
      </c>
      <c r="K66" s="172">
        <f t="shared" si="11"/>
        <v>0.99851411589895989</v>
      </c>
      <c r="L66" s="213"/>
      <c r="M66" s="213">
        <v>15</v>
      </c>
      <c r="N66" s="223"/>
      <c r="O66" s="210" t="s">
        <v>163</v>
      </c>
      <c r="P66" s="35"/>
      <c r="Q66" s="154"/>
      <c r="R66" s="133"/>
      <c r="S66" s="156"/>
      <c r="T66" s="288"/>
      <c r="U66" s="104"/>
      <c r="V66" s="215"/>
      <c r="W66" s="104"/>
      <c r="X66" s="104"/>
      <c r="Y66" s="104"/>
      <c r="Z66" s="235">
        <f>IF(U66&lt;&gt;"",X66*VLOOKUP(U66,Listas!$H$3:$L$23,3,0),0)</f>
        <v>0</v>
      </c>
      <c r="AA66" s="235">
        <f>IF(U66&lt;&gt;"",Y66*VLOOKUP(U66,Listas!$H$3:$L$23,3,0),0)</f>
        <v>0</v>
      </c>
      <c r="AB66" s="235">
        <f>IF(U66&lt;&gt;"",X66*VLOOKUP(U66,Listas!$H$3:$L$23,4,0),0)</f>
        <v>0</v>
      </c>
      <c r="AC66" s="235">
        <f>IF(U66&lt;&gt;"",Y66*VLOOKUP(U66,Listas!$H$3:$L$23,4,0),0)</f>
        <v>0</v>
      </c>
      <c r="AD66" s="289"/>
      <c r="AE66" s="90" t="str">
        <f>IF(COUNT(X66)=1,VLOOKUP(U66,Listas!$R$6:$U$18,'02-09 T3'!W66+1,FALSE),IF(COUNT('02-09 T3'!Y66)=1,VLOOKUP('02-09 T3'!U66,Listas!$R$22:$U$34,'02-09 T3'!W66+1,FALSE),""))</f>
        <v/>
      </c>
      <c r="AF66" s="290"/>
      <c r="AG66" s="291"/>
      <c r="AH66" s="292"/>
      <c r="AI66" s="161"/>
      <c r="AJ66" s="161"/>
      <c r="AK66" s="161"/>
      <c r="AL66" s="158"/>
      <c r="AM66" s="133"/>
    </row>
    <row r="67" spans="1:39" ht="15" customHeight="1">
      <c r="A67" s="30"/>
      <c r="B67" s="147"/>
      <c r="C67" s="28">
        <v>3</v>
      </c>
      <c r="D67" s="214" t="s">
        <v>144</v>
      </c>
      <c r="E67" s="210" t="s">
        <v>38</v>
      </c>
      <c r="F67" s="210" t="s">
        <v>118</v>
      </c>
      <c r="G67" s="124">
        <v>768</v>
      </c>
      <c r="H67" s="125">
        <v>40</v>
      </c>
      <c r="I67" s="126">
        <v>6</v>
      </c>
      <c r="J67" s="26">
        <f t="shared" si="10"/>
        <v>814</v>
      </c>
      <c r="K67" s="172">
        <f t="shared" si="11"/>
        <v>0.94348894348894352</v>
      </c>
      <c r="L67" s="213" t="s">
        <v>184</v>
      </c>
      <c r="M67" s="213"/>
      <c r="N67" s="223"/>
      <c r="O67" s="210" t="s">
        <v>189</v>
      </c>
      <c r="P67" s="35"/>
      <c r="Q67" s="154"/>
      <c r="R67" s="133"/>
      <c r="S67" s="156"/>
      <c r="T67" s="293">
        <v>7</v>
      </c>
      <c r="U67" s="211"/>
      <c r="V67" s="210"/>
      <c r="W67" s="211"/>
      <c r="X67" s="211"/>
      <c r="Y67" s="211"/>
      <c r="Z67" s="234">
        <f>IF(U67&lt;&gt;"",X67*VLOOKUP(U67,Listas!$H$3:$L$23,3,0),0)</f>
        <v>0</v>
      </c>
      <c r="AA67" s="234">
        <f>IF(U67&lt;&gt;"",Y67*VLOOKUP(U67,Listas!$H$3:$L$23,3,0),0)</f>
        <v>0</v>
      </c>
      <c r="AB67" s="234">
        <f>IF(U67&lt;&gt;"",X67*VLOOKUP(U67,Listas!$H$3:$L$23,4,0),0)</f>
        <v>0</v>
      </c>
      <c r="AC67" s="234">
        <f>IF(U67&lt;&gt;"",Y67*VLOOKUP(U67,Listas!$H$3:$L$23,4,0),0)</f>
        <v>0</v>
      </c>
      <c r="AD67" s="272">
        <f>+SUM(AB67:AB68)+SUM(AC67:AC68)</f>
        <v>0</v>
      </c>
      <c r="AE67" s="87" t="str">
        <f>IF(COUNT(X67)=1,VLOOKUP(U67,Listas!$R$6:$U$18,'02-09 T3'!W67+1,FALSE),IF(COUNT('02-09 T3'!Y67)=1,VLOOKUP('02-09 T3'!U67,Listas!$R$22:$U$34,'02-09 T3'!W67+1,FALSE),""))</f>
        <v/>
      </c>
      <c r="AF67" s="274"/>
      <c r="AG67" s="275"/>
      <c r="AH67" s="276"/>
      <c r="AI67" s="161"/>
      <c r="AJ67" s="161"/>
      <c r="AK67" s="161"/>
      <c r="AL67" s="158"/>
      <c r="AM67" s="133"/>
    </row>
    <row r="68" spans="1:39" ht="15" customHeight="1">
      <c r="A68" s="30"/>
      <c r="B68" s="147"/>
      <c r="C68" s="28">
        <v>4</v>
      </c>
      <c r="D68" s="214" t="s">
        <v>144</v>
      </c>
      <c r="E68" s="210" t="s">
        <v>38</v>
      </c>
      <c r="F68" s="210" t="s">
        <v>118</v>
      </c>
      <c r="G68" s="124">
        <v>720</v>
      </c>
      <c r="H68" s="125">
        <v>60</v>
      </c>
      <c r="I68" s="126">
        <v>9</v>
      </c>
      <c r="J68" s="26">
        <f t="shared" si="10"/>
        <v>789</v>
      </c>
      <c r="K68" s="172">
        <f t="shared" si="11"/>
        <v>0.9125475285171103</v>
      </c>
      <c r="L68" s="213" t="s">
        <v>184</v>
      </c>
      <c r="M68" s="213"/>
      <c r="N68" s="223"/>
      <c r="O68" s="210" t="s">
        <v>189</v>
      </c>
      <c r="P68" s="35"/>
      <c r="Q68" s="154"/>
      <c r="R68" s="133"/>
      <c r="S68" s="156"/>
      <c r="T68" s="288"/>
      <c r="U68" s="104"/>
      <c r="V68" s="103"/>
      <c r="W68" s="104"/>
      <c r="X68" s="104"/>
      <c r="Y68" s="104"/>
      <c r="Z68" s="235">
        <f>IF(U68&lt;&gt;"",X68*VLOOKUP(U68,Listas!$H$3:$L$23,3,0),0)</f>
        <v>0</v>
      </c>
      <c r="AA68" s="235">
        <f>IF(U68&lt;&gt;"",Y68*VLOOKUP(U68,Listas!$H$3:$L$23,3,0),0)</f>
        <v>0</v>
      </c>
      <c r="AB68" s="235">
        <f>IF(U68&lt;&gt;"",X68*VLOOKUP(U68,Listas!$H$3:$L$23,4,0),0)</f>
        <v>0</v>
      </c>
      <c r="AC68" s="235">
        <f>IF(U68&lt;&gt;"",Y68*VLOOKUP(U68,Listas!$H$3:$L$23,4,0),0)</f>
        <v>0</v>
      </c>
      <c r="AD68" s="289"/>
      <c r="AE68" s="88" t="str">
        <f>IF(COUNT(X68)=1,VLOOKUP(U68,Listas!$R$6:$U$18,'02-09 T3'!W68+1,FALSE),IF(COUNT('02-09 T3'!Y68)=1,VLOOKUP('02-09 T3'!U68,Listas!$R$22:$U$34,'02-09 T3'!W68+1,FALSE),""))</f>
        <v/>
      </c>
      <c r="AF68" s="290"/>
      <c r="AG68" s="291"/>
      <c r="AH68" s="292"/>
      <c r="AI68" s="161"/>
      <c r="AJ68" s="161"/>
      <c r="AK68" s="161"/>
      <c r="AL68" s="158"/>
      <c r="AM68" s="133"/>
    </row>
    <row r="69" spans="1:39" ht="15" customHeight="1">
      <c r="A69" s="30"/>
      <c r="B69" s="147"/>
      <c r="C69" s="28">
        <v>5</v>
      </c>
      <c r="D69" s="214" t="s">
        <v>144</v>
      </c>
      <c r="E69" s="210" t="s">
        <v>38</v>
      </c>
      <c r="F69" s="210" t="s">
        <v>118</v>
      </c>
      <c r="G69" s="124">
        <v>768</v>
      </c>
      <c r="H69" s="125">
        <v>80</v>
      </c>
      <c r="I69" s="126">
        <v>14</v>
      </c>
      <c r="J69" s="26">
        <f t="shared" si="10"/>
        <v>862</v>
      </c>
      <c r="K69" s="172">
        <f t="shared" si="11"/>
        <v>0.89095127610208813</v>
      </c>
      <c r="L69" s="213" t="s">
        <v>184</v>
      </c>
      <c r="M69" s="213"/>
      <c r="N69" s="223"/>
      <c r="O69" s="210" t="s">
        <v>189</v>
      </c>
      <c r="P69" s="35"/>
      <c r="Q69" s="154"/>
      <c r="R69" s="133"/>
      <c r="S69" s="156"/>
      <c r="T69" s="270">
        <v>8</v>
      </c>
      <c r="U69" s="211"/>
      <c r="V69" s="210"/>
      <c r="W69" s="211"/>
      <c r="X69" s="211"/>
      <c r="Y69" s="211"/>
      <c r="Z69" s="234">
        <f>IF(U69&lt;&gt;"",X69*VLOOKUP(U69,Listas!$H$3:$L$23,3,0),0)</f>
        <v>0</v>
      </c>
      <c r="AA69" s="234">
        <f>IF(U69&lt;&gt;"",Y69*VLOOKUP(U69,Listas!$H$3:$L$23,3,0),0)</f>
        <v>0</v>
      </c>
      <c r="AB69" s="234">
        <f>IF(U69&lt;&gt;"",X69*VLOOKUP(U69,Listas!$H$3:$L$23,4,0),0)</f>
        <v>0</v>
      </c>
      <c r="AC69" s="234">
        <f>IF(U69&lt;&gt;"",Y69*VLOOKUP(U69,Listas!$H$3:$L$23,4,0),0)</f>
        <v>0</v>
      </c>
      <c r="AD69" s="272">
        <f>+SUM(AB69:AB70)+SUM(AC69:AC70)</f>
        <v>0</v>
      </c>
      <c r="AE69" s="87" t="str">
        <f>IF(COUNT(X69)=1,VLOOKUP(U69,Listas!$R$6:$U$18,'02-09 T3'!W69+1,FALSE),IF(COUNT('02-09 T3'!Y69)=1,VLOOKUP('02-09 T3'!U69,Listas!$R$22:$U$34,'02-09 T3'!W69+1,FALSE),""))</f>
        <v/>
      </c>
      <c r="AF69" s="274"/>
      <c r="AG69" s="275"/>
      <c r="AH69" s="276"/>
      <c r="AI69" s="161"/>
      <c r="AJ69" s="161"/>
      <c r="AK69" s="161"/>
      <c r="AL69" s="158"/>
      <c r="AM69" s="133"/>
    </row>
    <row r="70" spans="1:39" ht="15" customHeight="1" thickBot="1">
      <c r="A70" s="30"/>
      <c r="B70" s="147"/>
      <c r="C70" s="28">
        <v>6</v>
      </c>
      <c r="D70" s="214" t="s">
        <v>144</v>
      </c>
      <c r="E70" s="210" t="s">
        <v>38</v>
      </c>
      <c r="F70" s="210" t="s">
        <v>118</v>
      </c>
      <c r="G70" s="228">
        <v>840</v>
      </c>
      <c r="H70" s="125">
        <v>20</v>
      </c>
      <c r="I70" s="126">
        <v>10</v>
      </c>
      <c r="J70" s="26">
        <f t="shared" si="10"/>
        <v>870</v>
      </c>
      <c r="K70" s="172">
        <f t="shared" si="11"/>
        <v>0.96551724137931039</v>
      </c>
      <c r="L70" s="213"/>
      <c r="M70" s="213"/>
      <c r="N70" s="223"/>
      <c r="O70" s="210" t="s">
        <v>189</v>
      </c>
      <c r="P70" s="35"/>
      <c r="Q70" s="154"/>
      <c r="R70" s="133"/>
      <c r="S70" s="156"/>
      <c r="T70" s="271"/>
      <c r="U70" s="104"/>
      <c r="V70" s="103"/>
      <c r="W70" s="104"/>
      <c r="X70" s="104"/>
      <c r="Y70" s="117"/>
      <c r="Z70" s="238">
        <f>IF(U70&lt;&gt;"",X70*VLOOKUP(U70,Listas!$H$3:$L$23,3,0),0)</f>
        <v>0</v>
      </c>
      <c r="AA70" s="238">
        <f>IF(U70&lt;&gt;"",Y70*VLOOKUP(U70,Listas!$H$3:$L$23,3,0),0)</f>
        <v>0</v>
      </c>
      <c r="AB70" s="238">
        <f>IF(U70&lt;&gt;"",X70*VLOOKUP(U70,Listas!$H$3:$L$23,4,0),0)</f>
        <v>0</v>
      </c>
      <c r="AC70" s="238">
        <f>IF(U70&lt;&gt;"",Y70*VLOOKUP(U70,Listas!$H$3:$L$23,4,0),0)</f>
        <v>0</v>
      </c>
      <c r="AD70" s="273"/>
      <c r="AE70" s="90" t="str">
        <f>IF(COUNT(X70)=1,VLOOKUP(U70,Listas!$R$6:$U$18,'02-09 T3'!W70+1,FALSE),IF(COUNT('02-09 T3'!Y70)=1,VLOOKUP('02-09 T3'!U70,Listas!$R$22:$U$34,'02-09 T3'!W70+1,FALSE),""))</f>
        <v/>
      </c>
      <c r="AF70" s="277"/>
      <c r="AG70" s="278"/>
      <c r="AH70" s="279"/>
      <c r="AI70" s="161"/>
      <c r="AJ70" s="161"/>
      <c r="AK70" s="161"/>
      <c r="AL70" s="158"/>
      <c r="AM70" s="133"/>
    </row>
    <row r="71" spans="1:39" ht="15" customHeight="1" thickBot="1">
      <c r="A71" s="30"/>
      <c r="B71" s="147"/>
      <c r="C71" s="28">
        <v>7</v>
      </c>
      <c r="D71" s="214" t="s">
        <v>144</v>
      </c>
      <c r="E71" s="210" t="s">
        <v>38</v>
      </c>
      <c r="F71" s="210" t="s">
        <v>118</v>
      </c>
      <c r="G71" s="124">
        <v>720</v>
      </c>
      <c r="H71" s="125">
        <v>20</v>
      </c>
      <c r="I71" s="126">
        <v>27</v>
      </c>
      <c r="J71" s="26">
        <f t="shared" si="10"/>
        <v>767</v>
      </c>
      <c r="K71" s="172">
        <f t="shared" si="11"/>
        <v>0.93872229465449808</v>
      </c>
      <c r="L71" s="213" t="s">
        <v>184</v>
      </c>
      <c r="M71" s="213"/>
      <c r="N71" s="223"/>
      <c r="O71" s="210" t="s">
        <v>189</v>
      </c>
      <c r="P71" s="35"/>
      <c r="Q71" s="154"/>
      <c r="R71" s="133"/>
      <c r="S71" s="156"/>
      <c r="T71" s="120"/>
      <c r="U71" s="239"/>
      <c r="V71" s="239"/>
      <c r="W71" s="239"/>
      <c r="X71" s="111">
        <f t="shared" ref="X71:AC71" si="12">+SUM(X55:X70)</f>
        <v>10</v>
      </c>
      <c r="Y71" s="111">
        <f t="shared" si="12"/>
        <v>0</v>
      </c>
      <c r="Z71" s="111">
        <f t="shared" si="12"/>
        <v>543</v>
      </c>
      <c r="AA71" s="111">
        <f t="shared" si="12"/>
        <v>0</v>
      </c>
      <c r="AB71" s="111">
        <f t="shared" si="12"/>
        <v>11385</v>
      </c>
      <c r="AC71" s="111">
        <f t="shared" si="12"/>
        <v>0</v>
      </c>
      <c r="AD71" s="121">
        <f>+SUM(AD55:AD70)</f>
        <v>11385</v>
      </c>
      <c r="AE71" s="121">
        <f>+SUM(AE55:AE70)</f>
        <v>0</v>
      </c>
      <c r="AF71" s="280"/>
      <c r="AG71" s="280"/>
      <c r="AH71" s="281"/>
      <c r="AI71" s="161"/>
      <c r="AJ71" s="161"/>
      <c r="AK71" s="161"/>
      <c r="AL71" s="158"/>
      <c r="AM71" s="133"/>
    </row>
    <row r="72" spans="1:39" ht="15" customHeight="1" thickBot="1">
      <c r="A72" s="30"/>
      <c r="B72" s="147"/>
      <c r="C72" s="236">
        <v>8</v>
      </c>
      <c r="D72" s="214" t="s">
        <v>144</v>
      </c>
      <c r="E72" s="210" t="s">
        <v>38</v>
      </c>
      <c r="F72" s="210" t="s">
        <v>118</v>
      </c>
      <c r="G72" s="218">
        <v>648</v>
      </c>
      <c r="H72" s="220">
        <v>0</v>
      </c>
      <c r="I72" s="219">
        <v>14</v>
      </c>
      <c r="J72" s="238">
        <f t="shared" si="10"/>
        <v>662</v>
      </c>
      <c r="K72" s="173">
        <f t="shared" si="11"/>
        <v>0.97885196374622352</v>
      </c>
      <c r="L72" s="213"/>
      <c r="M72" s="213"/>
      <c r="N72" s="223"/>
      <c r="O72" s="210" t="s">
        <v>189</v>
      </c>
      <c r="P72" s="35"/>
      <c r="Q72" s="154"/>
      <c r="R72" s="133"/>
      <c r="S72" s="156"/>
      <c r="T72" s="161"/>
      <c r="U72" s="161"/>
      <c r="V72" s="161"/>
      <c r="W72" s="161"/>
      <c r="X72" s="157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161"/>
      <c r="AJ72" s="161"/>
      <c r="AK72" s="161"/>
      <c r="AL72" s="158"/>
      <c r="AM72" s="133"/>
    </row>
    <row r="73" spans="1:39" ht="15" customHeight="1" thickBot="1">
      <c r="A73" s="30"/>
      <c r="B73" s="147"/>
      <c r="C73" s="174" t="s">
        <v>7</v>
      </c>
      <c r="D73" s="110"/>
      <c r="E73" s="110"/>
      <c r="F73" s="110"/>
      <c r="G73" s="111">
        <f>SUM(G65:G72)</f>
        <v>5784</v>
      </c>
      <c r="H73" s="111">
        <f>SUM(H65:H72)</f>
        <v>320</v>
      </c>
      <c r="I73" s="111">
        <f>SUM(I65:I72)</f>
        <v>87</v>
      </c>
      <c r="J73" s="111">
        <f>SUM(J65:J72)</f>
        <v>6191</v>
      </c>
      <c r="K73" s="175">
        <f t="shared" si="11"/>
        <v>0.93425940881925373</v>
      </c>
      <c r="L73" s="110"/>
      <c r="M73" s="112">
        <f>SUM(M65:M72)</f>
        <v>15</v>
      </c>
      <c r="N73" s="224"/>
      <c r="O73" s="176"/>
      <c r="P73" s="35"/>
      <c r="Q73" s="154"/>
      <c r="R73" s="133"/>
      <c r="S73" s="156"/>
      <c r="T73" s="282" t="s">
        <v>80</v>
      </c>
      <c r="U73" s="283"/>
      <c r="V73" s="284"/>
      <c r="W73" s="157"/>
      <c r="X73" s="161"/>
      <c r="Y73" s="157"/>
      <c r="Z73" s="161"/>
      <c r="AA73" s="161"/>
      <c r="AB73" s="161"/>
      <c r="AC73" s="282" t="s">
        <v>98</v>
      </c>
      <c r="AD73" s="283"/>
      <c r="AE73" s="284"/>
      <c r="AF73" s="157"/>
      <c r="AG73" s="161"/>
      <c r="AH73" s="157"/>
      <c r="AI73" s="161"/>
      <c r="AJ73" s="161"/>
      <c r="AK73" s="161"/>
      <c r="AL73" s="158"/>
      <c r="AM73" s="133"/>
    </row>
    <row r="74" spans="1:39" ht="15" customHeight="1" thickBot="1">
      <c r="A74" s="30"/>
      <c r="B74" s="147"/>
      <c r="C74" s="41"/>
      <c r="D74" s="41"/>
      <c r="E74" s="41"/>
      <c r="F74" s="41"/>
      <c r="G74" s="42"/>
      <c r="H74" s="42"/>
      <c r="I74" s="42"/>
      <c r="J74" s="42"/>
      <c r="K74" s="177"/>
      <c r="L74" s="41"/>
      <c r="M74" s="41"/>
      <c r="N74" s="41"/>
      <c r="O74" s="35"/>
      <c r="P74" s="35"/>
      <c r="Q74" s="154"/>
      <c r="R74" s="133"/>
      <c r="S74" s="156"/>
      <c r="T74" s="285"/>
      <c r="U74" s="286"/>
      <c r="V74" s="287"/>
      <c r="W74" s="157"/>
      <c r="X74" s="161"/>
      <c r="Y74" s="157"/>
      <c r="Z74" s="161"/>
      <c r="AA74" s="161"/>
      <c r="AB74" s="161"/>
      <c r="AC74" s="285"/>
      <c r="AD74" s="286"/>
      <c r="AE74" s="287"/>
      <c r="AF74" s="157"/>
      <c r="AG74" s="161"/>
      <c r="AH74" s="157"/>
      <c r="AI74" s="161"/>
      <c r="AJ74" s="161"/>
      <c r="AK74" s="161"/>
      <c r="AL74" s="158"/>
      <c r="AM74" s="133"/>
    </row>
    <row r="75" spans="1:39" ht="15" customHeight="1">
      <c r="A75" s="30"/>
      <c r="B75" s="147"/>
      <c r="C75" s="253">
        <v>6</v>
      </c>
      <c r="D75" s="255">
        <f>K86</f>
        <v>0.95948484035417225</v>
      </c>
      <c r="E75" s="35"/>
      <c r="F75" s="35"/>
      <c r="G75" s="35"/>
      <c r="H75" s="35"/>
      <c r="I75" s="35"/>
      <c r="J75" s="35"/>
      <c r="K75" s="35"/>
      <c r="L75" s="36"/>
      <c r="M75" s="35"/>
      <c r="N75" s="35"/>
      <c r="O75" s="35"/>
      <c r="P75" s="35"/>
      <c r="Q75" s="154"/>
      <c r="R75" s="133"/>
      <c r="S75" s="156"/>
      <c r="T75" s="47" t="s">
        <v>57</v>
      </c>
      <c r="U75" s="23" t="s">
        <v>81</v>
      </c>
      <c r="V75" s="23" t="s">
        <v>4</v>
      </c>
      <c r="W75" s="23" t="s">
        <v>82</v>
      </c>
      <c r="X75" s="240" t="s">
        <v>26</v>
      </c>
      <c r="Y75" s="267" t="s">
        <v>78</v>
      </c>
      <c r="Z75" s="268"/>
      <c r="AA75" s="269"/>
      <c r="AB75" s="161"/>
      <c r="AC75" s="106" t="s">
        <v>57</v>
      </c>
      <c r="AD75" s="23" t="s">
        <v>81</v>
      </c>
      <c r="AE75" s="23" t="s">
        <v>4</v>
      </c>
      <c r="AF75" s="23" t="s">
        <v>82</v>
      </c>
      <c r="AG75" s="240" t="s">
        <v>26</v>
      </c>
      <c r="AH75" s="267" t="s">
        <v>78</v>
      </c>
      <c r="AI75" s="268"/>
      <c r="AJ75" s="267" t="s">
        <v>77</v>
      </c>
      <c r="AK75" s="269"/>
      <c r="AL75" s="158"/>
      <c r="AM75" s="133"/>
    </row>
    <row r="76" spans="1:39" ht="15" customHeight="1" thickBot="1">
      <c r="A76" s="30"/>
      <c r="B76" s="147"/>
      <c r="C76" s="254"/>
      <c r="D76" s="256"/>
      <c r="E76" s="131"/>
      <c r="F76" s="131"/>
      <c r="G76" s="131"/>
      <c r="H76" s="131"/>
      <c r="I76" s="131"/>
      <c r="J76" s="131"/>
      <c r="K76" s="131"/>
      <c r="L76" s="36"/>
      <c r="M76" s="35"/>
      <c r="N76" s="35"/>
      <c r="O76" s="35"/>
      <c r="P76" s="35"/>
      <c r="Q76" s="154"/>
      <c r="R76" s="133"/>
      <c r="S76" s="156"/>
      <c r="T76" s="107">
        <v>1</v>
      </c>
      <c r="U76" s="101"/>
      <c r="V76" s="100"/>
      <c r="W76" s="101"/>
      <c r="X76" s="101"/>
      <c r="Y76" s="262"/>
      <c r="Z76" s="262"/>
      <c r="AA76" s="263"/>
      <c r="AB76" s="157"/>
      <c r="AC76" s="107">
        <v>1</v>
      </c>
      <c r="AD76" s="211"/>
      <c r="AE76" s="211"/>
      <c r="AF76" s="210"/>
      <c r="AG76" s="210"/>
      <c r="AH76" s="264"/>
      <c r="AI76" s="265"/>
      <c r="AJ76" s="264"/>
      <c r="AK76" s="266"/>
      <c r="AL76" s="158"/>
      <c r="AM76" s="133"/>
    </row>
    <row r="77" spans="1:39" ht="15" customHeight="1">
      <c r="A77" s="30"/>
      <c r="B77" s="147"/>
      <c r="C77" s="29" t="s">
        <v>2</v>
      </c>
      <c r="D77" s="23" t="s">
        <v>6</v>
      </c>
      <c r="E77" s="23" t="s">
        <v>3</v>
      </c>
      <c r="F77" s="23" t="s">
        <v>58</v>
      </c>
      <c r="G77" s="231" t="s">
        <v>0</v>
      </c>
      <c r="H77" s="231" t="s">
        <v>1</v>
      </c>
      <c r="I77" s="231" t="s">
        <v>18</v>
      </c>
      <c r="J77" s="231" t="s">
        <v>5</v>
      </c>
      <c r="K77" s="23" t="s">
        <v>13</v>
      </c>
      <c r="L77" s="231" t="s">
        <v>17</v>
      </c>
      <c r="M77" s="23" t="s">
        <v>9</v>
      </c>
      <c r="N77" s="240" t="s">
        <v>77</v>
      </c>
      <c r="O77" s="24" t="s">
        <v>12</v>
      </c>
      <c r="P77" s="35"/>
      <c r="Q77" s="154"/>
      <c r="R77" s="133"/>
      <c r="S77" s="156"/>
      <c r="T77" s="107">
        <v>2</v>
      </c>
      <c r="U77" s="101"/>
      <c r="V77" s="100"/>
      <c r="W77" s="101"/>
      <c r="X77" s="101"/>
      <c r="Y77" s="262"/>
      <c r="Z77" s="262"/>
      <c r="AA77" s="263"/>
      <c r="AB77" s="157"/>
      <c r="AC77" s="107">
        <v>2</v>
      </c>
      <c r="AD77" s="211"/>
      <c r="AE77" s="211"/>
      <c r="AF77" s="211"/>
      <c r="AG77" s="211"/>
      <c r="AH77" s="264"/>
      <c r="AI77" s="265"/>
      <c r="AJ77" s="264"/>
      <c r="AK77" s="266"/>
      <c r="AL77" s="158"/>
      <c r="AM77" s="133"/>
    </row>
    <row r="78" spans="1:39" ht="15" customHeight="1">
      <c r="A78" s="30"/>
      <c r="B78" s="147"/>
      <c r="C78" s="232">
        <v>1</v>
      </c>
      <c r="D78" s="210" t="s">
        <v>182</v>
      </c>
      <c r="E78" s="210" t="s">
        <v>31</v>
      </c>
      <c r="F78" s="210" t="s">
        <v>151</v>
      </c>
      <c r="G78" s="124">
        <v>552</v>
      </c>
      <c r="H78" s="125">
        <v>20</v>
      </c>
      <c r="I78" s="126">
        <v>3</v>
      </c>
      <c r="J78" s="234">
        <f t="shared" ref="J78:J85" si="13">SUM(G78:I78)</f>
        <v>575</v>
      </c>
      <c r="K78" s="171">
        <f t="shared" ref="K78:K86" si="14">IF(J78&lt;&gt;0,G78/J78,0)</f>
        <v>0.96</v>
      </c>
      <c r="L78" s="212"/>
      <c r="M78" s="213"/>
      <c r="N78" s="223"/>
      <c r="O78" s="210" t="s">
        <v>149</v>
      </c>
      <c r="P78" s="35"/>
      <c r="Q78" s="154"/>
      <c r="R78" s="133"/>
      <c r="S78" s="156"/>
      <c r="T78" s="107">
        <v>3</v>
      </c>
      <c r="U78" s="101"/>
      <c r="V78" s="100"/>
      <c r="W78" s="101"/>
      <c r="X78" s="101"/>
      <c r="Y78" s="262"/>
      <c r="Z78" s="262"/>
      <c r="AA78" s="263"/>
      <c r="AB78" s="157"/>
      <c r="AC78" s="107">
        <v>3</v>
      </c>
      <c r="AD78" s="211"/>
      <c r="AE78" s="210"/>
      <c r="AF78" s="211"/>
      <c r="AG78" s="211"/>
      <c r="AH78" s="264"/>
      <c r="AI78" s="265"/>
      <c r="AJ78" s="264"/>
      <c r="AK78" s="266"/>
      <c r="AL78" s="158"/>
      <c r="AM78" s="133"/>
    </row>
    <row r="79" spans="1:39" ht="15" customHeight="1">
      <c r="A79" s="30"/>
      <c r="B79" s="147"/>
      <c r="C79" s="28">
        <v>2</v>
      </c>
      <c r="D79" s="210" t="s">
        <v>182</v>
      </c>
      <c r="E79" s="210" t="s">
        <v>31</v>
      </c>
      <c r="F79" s="210" t="s">
        <v>151</v>
      </c>
      <c r="G79" s="124">
        <v>672</v>
      </c>
      <c r="H79" s="125">
        <v>40</v>
      </c>
      <c r="I79" s="126">
        <v>7</v>
      </c>
      <c r="J79" s="26">
        <f t="shared" si="13"/>
        <v>719</v>
      </c>
      <c r="K79" s="172">
        <f t="shared" si="14"/>
        <v>0.93463143254520165</v>
      </c>
      <c r="L79" s="212" t="s">
        <v>195</v>
      </c>
      <c r="M79" s="207"/>
      <c r="N79" s="223"/>
      <c r="O79" s="210" t="s">
        <v>149</v>
      </c>
      <c r="P79" s="35"/>
      <c r="Q79" s="154"/>
      <c r="R79" s="133"/>
      <c r="S79" s="156"/>
      <c r="T79" s="107">
        <v>4</v>
      </c>
      <c r="U79" s="101"/>
      <c r="V79" s="100"/>
      <c r="W79" s="101"/>
      <c r="X79" s="101"/>
      <c r="Y79" s="262"/>
      <c r="Z79" s="262"/>
      <c r="AA79" s="263"/>
      <c r="AB79" s="157"/>
      <c r="AC79" s="107">
        <v>4</v>
      </c>
      <c r="AD79" s="101"/>
      <c r="AE79" s="210"/>
      <c r="AF79" s="211"/>
      <c r="AG79" s="211"/>
      <c r="AH79" s="264"/>
      <c r="AI79" s="265"/>
      <c r="AJ79" s="264"/>
      <c r="AK79" s="266"/>
      <c r="AL79" s="158"/>
      <c r="AM79" s="133"/>
    </row>
    <row r="80" spans="1:39" ht="15" customHeight="1">
      <c r="A80" s="30"/>
      <c r="B80" s="147"/>
      <c r="C80" s="28">
        <v>3</v>
      </c>
      <c r="D80" s="210" t="s">
        <v>142</v>
      </c>
      <c r="E80" s="210" t="s">
        <v>31</v>
      </c>
      <c r="F80" s="210" t="s">
        <v>151</v>
      </c>
      <c r="G80" s="124">
        <v>168</v>
      </c>
      <c r="H80" s="125">
        <v>40</v>
      </c>
      <c r="I80" s="126">
        <v>3</v>
      </c>
      <c r="J80" s="26">
        <f t="shared" si="13"/>
        <v>211</v>
      </c>
      <c r="K80" s="172">
        <f t="shared" si="14"/>
        <v>0.79620853080568721</v>
      </c>
      <c r="L80" s="212" t="s">
        <v>195</v>
      </c>
      <c r="M80" s="213">
        <v>25</v>
      </c>
      <c r="N80" s="223">
        <v>51</v>
      </c>
      <c r="O80" s="210" t="s">
        <v>162</v>
      </c>
      <c r="P80" s="35"/>
      <c r="Q80" s="154"/>
      <c r="R80" s="133"/>
      <c r="S80" s="156"/>
      <c r="T80" s="107">
        <v>5</v>
      </c>
      <c r="U80" s="101"/>
      <c r="V80" s="100"/>
      <c r="W80" s="101"/>
      <c r="X80" s="101"/>
      <c r="Y80" s="262"/>
      <c r="Z80" s="262"/>
      <c r="AA80" s="263"/>
      <c r="AB80" s="157"/>
      <c r="AC80" s="107">
        <v>5</v>
      </c>
      <c r="AD80" s="101"/>
      <c r="AE80" s="210"/>
      <c r="AF80" s="211"/>
      <c r="AG80" s="50"/>
      <c r="AH80" s="264"/>
      <c r="AI80" s="265"/>
      <c r="AJ80" s="264"/>
      <c r="AK80" s="266"/>
      <c r="AL80" s="158"/>
      <c r="AM80" s="133"/>
    </row>
    <row r="81" spans="1:39" ht="15" customHeight="1">
      <c r="A81" s="30"/>
      <c r="B81" s="147"/>
      <c r="C81" s="28">
        <v>4</v>
      </c>
      <c r="D81" s="210" t="s">
        <v>142</v>
      </c>
      <c r="E81" s="210" t="s">
        <v>31</v>
      </c>
      <c r="F81" s="210" t="s">
        <v>151</v>
      </c>
      <c r="G81" s="124">
        <v>336</v>
      </c>
      <c r="H81" s="125">
        <v>0</v>
      </c>
      <c r="I81" s="126">
        <v>6</v>
      </c>
      <c r="J81" s="26">
        <f t="shared" si="13"/>
        <v>342</v>
      </c>
      <c r="K81" s="172">
        <f t="shared" si="14"/>
        <v>0.98245614035087714</v>
      </c>
      <c r="L81" s="212"/>
      <c r="M81" s="213"/>
      <c r="N81" s="223"/>
      <c r="O81" s="210" t="s">
        <v>162</v>
      </c>
      <c r="P81" s="35"/>
      <c r="Q81" s="154"/>
      <c r="R81" s="133"/>
      <c r="S81" s="156"/>
      <c r="T81" s="107">
        <v>6</v>
      </c>
      <c r="U81" s="101"/>
      <c r="V81" s="100"/>
      <c r="W81" s="101"/>
      <c r="X81" s="101"/>
      <c r="Y81" s="262"/>
      <c r="Z81" s="262"/>
      <c r="AA81" s="263"/>
      <c r="AB81" s="157"/>
      <c r="AC81" s="107">
        <v>6</v>
      </c>
      <c r="AD81" s="101"/>
      <c r="AE81" s="100"/>
      <c r="AF81" s="101"/>
      <c r="AG81" s="101"/>
      <c r="AH81" s="262"/>
      <c r="AI81" s="262"/>
      <c r="AJ81" s="262"/>
      <c r="AK81" s="263"/>
      <c r="AL81" s="158"/>
      <c r="AM81" s="133"/>
    </row>
    <row r="82" spans="1:39" ht="15" customHeight="1">
      <c r="A82" s="30"/>
      <c r="B82" s="147"/>
      <c r="C82" s="28">
        <v>5</v>
      </c>
      <c r="D82" s="210" t="s">
        <v>142</v>
      </c>
      <c r="E82" s="210" t="s">
        <v>31</v>
      </c>
      <c r="F82" s="210" t="s">
        <v>151</v>
      </c>
      <c r="G82" s="124">
        <v>504</v>
      </c>
      <c r="H82" s="125">
        <v>0</v>
      </c>
      <c r="I82" s="126">
        <v>4</v>
      </c>
      <c r="J82" s="26">
        <f t="shared" si="13"/>
        <v>508</v>
      </c>
      <c r="K82" s="172">
        <f t="shared" si="14"/>
        <v>0.99212598425196852</v>
      </c>
      <c r="L82" s="212"/>
      <c r="M82" s="213">
        <v>5</v>
      </c>
      <c r="N82" s="223">
        <v>51</v>
      </c>
      <c r="O82" s="210" t="s">
        <v>162</v>
      </c>
      <c r="P82" s="35"/>
      <c r="Q82" s="154"/>
      <c r="R82" s="133"/>
      <c r="S82" s="156"/>
      <c r="T82" s="107">
        <v>7</v>
      </c>
      <c r="U82" s="101"/>
      <c r="V82" s="100"/>
      <c r="W82" s="101"/>
      <c r="X82" s="101"/>
      <c r="Y82" s="262"/>
      <c r="Z82" s="262"/>
      <c r="AA82" s="263"/>
      <c r="AB82" s="157"/>
      <c r="AC82" s="107">
        <v>7</v>
      </c>
      <c r="AD82" s="101"/>
      <c r="AE82" s="100"/>
      <c r="AF82" s="101"/>
      <c r="AG82" s="101"/>
      <c r="AH82" s="262"/>
      <c r="AI82" s="262"/>
      <c r="AJ82" s="262"/>
      <c r="AK82" s="263"/>
      <c r="AL82" s="158"/>
      <c r="AM82" s="133"/>
    </row>
    <row r="83" spans="1:39" ht="15" customHeight="1" thickBot="1">
      <c r="A83" s="30"/>
      <c r="B83" s="147"/>
      <c r="C83" s="28">
        <v>6</v>
      </c>
      <c r="D83" s="210" t="s">
        <v>139</v>
      </c>
      <c r="E83" s="210" t="s">
        <v>31</v>
      </c>
      <c r="F83" s="210" t="s">
        <v>151</v>
      </c>
      <c r="G83" s="228">
        <v>432</v>
      </c>
      <c r="H83" s="125">
        <v>20</v>
      </c>
      <c r="I83" s="126">
        <v>3</v>
      </c>
      <c r="J83" s="26">
        <f t="shared" si="13"/>
        <v>455</v>
      </c>
      <c r="K83" s="172">
        <f t="shared" si="14"/>
        <v>0.94945054945054941</v>
      </c>
      <c r="L83" s="212" t="s">
        <v>195</v>
      </c>
      <c r="M83" s="213">
        <v>20</v>
      </c>
      <c r="N83" s="223">
        <v>51</v>
      </c>
      <c r="O83" s="210" t="s">
        <v>162</v>
      </c>
      <c r="P83" s="35"/>
      <c r="Q83" s="154"/>
      <c r="R83" s="133"/>
      <c r="S83" s="156"/>
      <c r="T83" s="119">
        <v>8</v>
      </c>
      <c r="U83" s="105"/>
      <c r="V83" s="102"/>
      <c r="W83" s="105"/>
      <c r="X83" s="105"/>
      <c r="Y83" s="257"/>
      <c r="Z83" s="257"/>
      <c r="AA83" s="258"/>
      <c r="AB83" s="157"/>
      <c r="AC83" s="119">
        <v>8</v>
      </c>
      <c r="AD83" s="105"/>
      <c r="AE83" s="102"/>
      <c r="AF83" s="105"/>
      <c r="AG83" s="105"/>
      <c r="AH83" s="257"/>
      <c r="AI83" s="257"/>
      <c r="AJ83" s="257"/>
      <c r="AK83" s="258"/>
      <c r="AL83" s="158"/>
      <c r="AM83" s="133"/>
    </row>
    <row r="84" spans="1:39" ht="15" customHeight="1" thickBot="1">
      <c r="A84" s="30"/>
      <c r="B84" s="147"/>
      <c r="C84" s="28">
        <v>7</v>
      </c>
      <c r="D84" s="210" t="s">
        <v>139</v>
      </c>
      <c r="E84" s="210" t="s">
        <v>31</v>
      </c>
      <c r="F84" s="210" t="s">
        <v>151</v>
      </c>
      <c r="G84" s="228">
        <v>384</v>
      </c>
      <c r="H84" s="125">
        <v>0</v>
      </c>
      <c r="I84" s="126">
        <v>1</v>
      </c>
      <c r="J84" s="26">
        <f t="shared" si="13"/>
        <v>385</v>
      </c>
      <c r="K84" s="172">
        <f t="shared" si="14"/>
        <v>0.9974025974025974</v>
      </c>
      <c r="L84" s="212"/>
      <c r="M84" s="213">
        <v>25</v>
      </c>
      <c r="N84" s="223">
        <v>51</v>
      </c>
      <c r="O84" s="210" t="s">
        <v>162</v>
      </c>
      <c r="P84" s="35"/>
      <c r="Q84" s="154"/>
      <c r="R84" s="133"/>
      <c r="S84" s="156"/>
      <c r="T84" s="179"/>
      <c r="U84" s="239"/>
      <c r="V84" s="239"/>
      <c r="W84" s="239"/>
      <c r="X84" s="123">
        <f>+SUM(X76:X83)</f>
        <v>0</v>
      </c>
      <c r="Y84" s="259"/>
      <c r="Z84" s="260"/>
      <c r="AA84" s="261"/>
      <c r="AB84" s="161"/>
      <c r="AC84" s="179"/>
      <c r="AD84" s="239"/>
      <c r="AE84" s="239"/>
      <c r="AF84" s="239"/>
      <c r="AG84" s="123">
        <f>+SUM(AG76:AG83)</f>
        <v>0</v>
      </c>
      <c r="AH84" s="259"/>
      <c r="AI84" s="260"/>
      <c r="AJ84" s="259"/>
      <c r="AK84" s="261"/>
      <c r="AL84" s="158"/>
      <c r="AM84" s="133"/>
    </row>
    <row r="85" spans="1:39" ht="15" customHeight="1" thickBot="1">
      <c r="A85" s="30"/>
      <c r="B85" s="147"/>
      <c r="C85" s="236">
        <v>8</v>
      </c>
      <c r="D85" s="210" t="s">
        <v>139</v>
      </c>
      <c r="E85" s="210" t="s">
        <v>31</v>
      </c>
      <c r="F85" s="210" t="s">
        <v>151</v>
      </c>
      <c r="G85" s="124">
        <v>528</v>
      </c>
      <c r="H85" s="220">
        <v>0</v>
      </c>
      <c r="I85" s="126">
        <v>4</v>
      </c>
      <c r="J85" s="238">
        <f t="shared" si="13"/>
        <v>532</v>
      </c>
      <c r="K85" s="173">
        <f t="shared" si="14"/>
        <v>0.99248120300751874</v>
      </c>
      <c r="L85" s="212"/>
      <c r="M85" s="109"/>
      <c r="N85" s="223"/>
      <c r="O85" s="210" t="s">
        <v>162</v>
      </c>
      <c r="P85" s="35"/>
      <c r="Q85" s="154"/>
      <c r="R85" s="133"/>
      <c r="S85" s="180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  <c r="AD85" s="181"/>
      <c r="AE85" s="181"/>
      <c r="AF85" s="181"/>
      <c r="AG85" s="181"/>
      <c r="AH85" s="181"/>
      <c r="AI85" s="181"/>
      <c r="AJ85" s="181"/>
      <c r="AK85" s="181"/>
      <c r="AL85" s="182"/>
      <c r="AM85" s="133"/>
    </row>
    <row r="86" spans="1:39" ht="15" customHeight="1" thickBot="1">
      <c r="A86" s="30"/>
      <c r="B86" s="147"/>
      <c r="C86" s="174" t="s">
        <v>7</v>
      </c>
      <c r="D86" s="110"/>
      <c r="E86" s="110"/>
      <c r="F86" s="110"/>
      <c r="G86" s="111">
        <f>SUM(G78:G85)</f>
        <v>3576</v>
      </c>
      <c r="H86" s="111">
        <f>SUM(H78:H85)</f>
        <v>120</v>
      </c>
      <c r="I86" s="111">
        <f>SUM(I78:I85)</f>
        <v>31</v>
      </c>
      <c r="J86" s="111">
        <f>SUM(J78:J85)</f>
        <v>3727</v>
      </c>
      <c r="K86" s="175">
        <f t="shared" si="14"/>
        <v>0.95948484035417225</v>
      </c>
      <c r="L86" s="239"/>
      <c r="M86" s="112">
        <f>SUM(M78:M85)</f>
        <v>75</v>
      </c>
      <c r="N86" s="224"/>
      <c r="O86" s="176"/>
      <c r="P86" s="35"/>
      <c r="Q86" s="154"/>
      <c r="R86" s="133"/>
      <c r="AM86" s="133"/>
    </row>
    <row r="87" spans="1:39" ht="15" customHeight="1" thickBot="1">
      <c r="A87" s="30"/>
      <c r="B87" s="147"/>
      <c r="C87" s="41"/>
      <c r="D87" s="41"/>
      <c r="E87" s="41"/>
      <c r="F87" s="41"/>
      <c r="G87" s="42"/>
      <c r="H87" s="42"/>
      <c r="I87" s="42"/>
      <c r="J87" s="42"/>
      <c r="K87" s="177"/>
      <c r="L87" s="42"/>
      <c r="M87" s="41"/>
      <c r="N87" s="41"/>
      <c r="O87" s="35"/>
      <c r="P87" s="35"/>
      <c r="Q87" s="154"/>
      <c r="R87" s="133"/>
      <c r="S87" s="183"/>
      <c r="T87" s="184"/>
      <c r="U87" s="184"/>
      <c r="V87" s="184"/>
      <c r="W87" s="184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4"/>
      <c r="AL87" s="185"/>
      <c r="AM87" s="133"/>
    </row>
    <row r="88" spans="1:39" ht="15" customHeight="1">
      <c r="A88" s="30"/>
      <c r="B88" s="147"/>
      <c r="C88" s="253">
        <v>7</v>
      </c>
      <c r="D88" s="255">
        <f>K99</f>
        <v>0.96377952755905516</v>
      </c>
      <c r="E88" s="35"/>
      <c r="F88" s="35"/>
      <c r="G88" s="35"/>
      <c r="H88" s="35"/>
      <c r="I88" s="35"/>
      <c r="J88" s="35"/>
      <c r="K88" s="35"/>
      <c r="L88" s="36"/>
      <c r="M88" s="35"/>
      <c r="N88" s="35"/>
      <c r="O88" s="35"/>
      <c r="P88" s="35"/>
      <c r="Q88" s="154"/>
      <c r="R88" s="133"/>
      <c r="S88" s="186"/>
      <c r="T88" s="221" t="s">
        <v>69</v>
      </c>
      <c r="U88" s="187"/>
      <c r="V88" s="187"/>
      <c r="W88" s="187"/>
      <c r="X88" s="187"/>
      <c r="Y88" s="187"/>
      <c r="Z88" s="187"/>
      <c r="AA88" s="187"/>
      <c r="AB88" s="187"/>
      <c r="AC88" s="187"/>
      <c r="AD88" s="187"/>
      <c r="AE88" s="187"/>
      <c r="AF88" s="187"/>
      <c r="AG88" s="187"/>
      <c r="AH88" s="187"/>
      <c r="AI88" s="187"/>
      <c r="AJ88" s="187"/>
      <c r="AK88" s="187"/>
      <c r="AL88" s="188"/>
      <c r="AM88" s="133"/>
    </row>
    <row r="89" spans="1:39" ht="15" customHeight="1" thickBot="1">
      <c r="A89" s="30"/>
      <c r="B89" s="147"/>
      <c r="C89" s="254"/>
      <c r="D89" s="256"/>
      <c r="E89" s="131"/>
      <c r="F89" s="131"/>
      <c r="G89" s="131"/>
      <c r="H89" s="131"/>
      <c r="I89" s="131"/>
      <c r="J89" s="131"/>
      <c r="K89" s="131"/>
      <c r="L89" s="36"/>
      <c r="M89" s="35"/>
      <c r="N89" s="35"/>
      <c r="O89" s="35"/>
      <c r="P89" s="35"/>
      <c r="Q89" s="154" t="s">
        <v>56</v>
      </c>
      <c r="R89" s="133"/>
      <c r="S89" s="189"/>
      <c r="T89" s="209"/>
      <c r="U89" s="209"/>
      <c r="V89" s="209"/>
      <c r="W89" s="190"/>
      <c r="X89" s="190"/>
      <c r="Y89" s="190"/>
      <c r="Z89" s="190"/>
      <c r="AA89" s="190"/>
      <c r="AB89" s="190"/>
      <c r="AC89" s="190"/>
      <c r="AD89" s="190"/>
      <c r="AE89" s="190"/>
      <c r="AF89" s="190"/>
      <c r="AG89" s="190"/>
      <c r="AH89" s="190"/>
      <c r="AI89" s="190"/>
      <c r="AJ89" s="190"/>
      <c r="AK89" s="190"/>
      <c r="AL89" s="191"/>
      <c r="AM89" s="133"/>
    </row>
    <row r="90" spans="1:39" ht="15" customHeight="1">
      <c r="A90" s="30"/>
      <c r="B90" s="147"/>
      <c r="C90" s="29" t="s">
        <v>2</v>
      </c>
      <c r="D90" s="23" t="s">
        <v>6</v>
      </c>
      <c r="E90" s="23" t="s">
        <v>3</v>
      </c>
      <c r="F90" s="23" t="s">
        <v>58</v>
      </c>
      <c r="G90" s="231" t="s">
        <v>0</v>
      </c>
      <c r="H90" s="231" t="s">
        <v>1</v>
      </c>
      <c r="I90" s="231" t="s">
        <v>18</v>
      </c>
      <c r="J90" s="231" t="s">
        <v>5</v>
      </c>
      <c r="K90" s="178" t="s">
        <v>13</v>
      </c>
      <c r="L90" s="231" t="s">
        <v>17</v>
      </c>
      <c r="M90" s="23" t="s">
        <v>9</v>
      </c>
      <c r="N90" s="240" t="s">
        <v>77</v>
      </c>
      <c r="O90" s="24" t="s">
        <v>12</v>
      </c>
      <c r="P90" s="35"/>
      <c r="Q90" s="154"/>
      <c r="R90" s="133"/>
      <c r="S90" s="189"/>
      <c r="T90" s="209"/>
      <c r="U90" s="209"/>
      <c r="V90" s="209"/>
      <c r="W90" s="190"/>
      <c r="X90" s="190"/>
      <c r="Y90" s="190"/>
      <c r="Z90" s="190"/>
      <c r="AA90" s="190"/>
      <c r="AB90" s="190"/>
      <c r="AC90" s="190"/>
      <c r="AD90" s="190"/>
      <c r="AE90" s="190"/>
      <c r="AF90" s="190"/>
      <c r="AG90" s="190"/>
      <c r="AH90" s="190"/>
      <c r="AI90" s="190"/>
      <c r="AJ90" s="190"/>
      <c r="AK90" s="190"/>
      <c r="AL90" s="191"/>
      <c r="AM90" s="133"/>
    </row>
    <row r="91" spans="1:39" ht="15" customHeight="1">
      <c r="A91" s="30"/>
      <c r="B91" s="147"/>
      <c r="C91" s="232">
        <v>1</v>
      </c>
      <c r="D91" s="214" t="s">
        <v>161</v>
      </c>
      <c r="E91" s="210" t="s">
        <v>31</v>
      </c>
      <c r="F91" s="229" t="s">
        <v>151</v>
      </c>
      <c r="G91" s="124">
        <v>864</v>
      </c>
      <c r="H91" s="125">
        <v>40</v>
      </c>
      <c r="I91" s="126">
        <v>25</v>
      </c>
      <c r="J91" s="234">
        <f t="shared" ref="J91:J98" si="15">+G91+H91+I91</f>
        <v>929</v>
      </c>
      <c r="K91" s="171">
        <f t="shared" ref="K91:K99" si="16">IF(J91&lt;&gt;0,G91/J91,0)</f>
        <v>0.93003229278794397</v>
      </c>
      <c r="L91" s="213" t="s">
        <v>185</v>
      </c>
      <c r="M91" s="213"/>
      <c r="N91" s="223"/>
      <c r="O91" s="210" t="s">
        <v>149</v>
      </c>
      <c r="P91" s="35"/>
      <c r="Q91" s="154"/>
      <c r="R91" s="133"/>
      <c r="S91" s="189"/>
      <c r="T91" s="209"/>
      <c r="U91" s="209"/>
      <c r="V91" s="209"/>
      <c r="W91" s="190"/>
      <c r="X91" s="190"/>
      <c r="Y91" s="190"/>
      <c r="Z91" s="190"/>
      <c r="AA91" s="190"/>
      <c r="AB91" s="190"/>
      <c r="AC91" s="190"/>
      <c r="AD91" s="190"/>
      <c r="AE91" s="190"/>
      <c r="AF91" s="190"/>
      <c r="AG91" s="190"/>
      <c r="AH91" s="190"/>
      <c r="AI91" s="190"/>
      <c r="AJ91" s="190"/>
      <c r="AK91" s="190"/>
      <c r="AL91" s="191"/>
      <c r="AM91" s="133"/>
    </row>
    <row r="92" spans="1:39" ht="15" customHeight="1">
      <c r="A92" s="30"/>
      <c r="B92" s="147"/>
      <c r="C92" s="28">
        <v>2</v>
      </c>
      <c r="D92" s="214" t="s">
        <v>161</v>
      </c>
      <c r="E92" s="210" t="s">
        <v>31</v>
      </c>
      <c r="F92" s="229" t="s">
        <v>151</v>
      </c>
      <c r="G92" s="124">
        <v>672</v>
      </c>
      <c r="H92" s="125">
        <v>40</v>
      </c>
      <c r="I92" s="126">
        <v>12</v>
      </c>
      <c r="J92" s="26">
        <f t="shared" si="15"/>
        <v>724</v>
      </c>
      <c r="K92" s="172">
        <f t="shared" si="16"/>
        <v>0.92817679558011046</v>
      </c>
      <c r="L92" s="213" t="s">
        <v>185</v>
      </c>
      <c r="M92" s="207">
        <v>20</v>
      </c>
      <c r="N92" s="213">
        <v>51</v>
      </c>
      <c r="O92" s="210" t="s">
        <v>149</v>
      </c>
      <c r="P92" s="35"/>
      <c r="Q92" s="154"/>
      <c r="R92" s="133"/>
      <c r="S92" s="189"/>
      <c r="T92" s="209"/>
      <c r="U92" s="209"/>
      <c r="V92" s="209"/>
      <c r="W92" s="190"/>
      <c r="X92" s="190"/>
      <c r="Y92" s="190"/>
      <c r="Z92" s="190"/>
      <c r="AA92" s="190"/>
      <c r="AB92" s="190"/>
      <c r="AC92" s="190"/>
      <c r="AD92" s="190"/>
      <c r="AE92" s="190"/>
      <c r="AF92" s="190"/>
      <c r="AG92" s="190"/>
      <c r="AH92" s="190"/>
      <c r="AI92" s="190"/>
      <c r="AJ92" s="190"/>
      <c r="AK92" s="190"/>
      <c r="AL92" s="191"/>
      <c r="AM92" s="133"/>
    </row>
    <row r="93" spans="1:39" ht="15" customHeight="1">
      <c r="A93" s="30"/>
      <c r="B93" s="147"/>
      <c r="C93" s="28">
        <v>3</v>
      </c>
      <c r="D93" s="210" t="s">
        <v>160</v>
      </c>
      <c r="E93" s="210" t="s">
        <v>31</v>
      </c>
      <c r="F93" s="229" t="s">
        <v>151</v>
      </c>
      <c r="G93" s="124">
        <v>888</v>
      </c>
      <c r="H93" s="125">
        <v>20</v>
      </c>
      <c r="I93" s="126">
        <v>12</v>
      </c>
      <c r="J93" s="26">
        <f>+G93+H93+I93</f>
        <v>920</v>
      </c>
      <c r="K93" s="172">
        <f>IF(J93&lt;&gt;0,G93/J93,0)</f>
        <v>0.9652173913043478</v>
      </c>
      <c r="L93" s="213"/>
      <c r="M93" s="213"/>
      <c r="N93" s="213"/>
      <c r="O93" s="210" t="s">
        <v>162</v>
      </c>
      <c r="P93" s="35"/>
      <c r="Q93" s="154"/>
      <c r="R93" s="133"/>
      <c r="S93" s="189"/>
      <c r="T93" s="209"/>
      <c r="U93" s="209"/>
      <c r="V93" s="209"/>
      <c r="W93" s="190"/>
      <c r="X93" s="190"/>
      <c r="Y93" s="190"/>
      <c r="Z93" s="190"/>
      <c r="AA93" s="190"/>
      <c r="AB93" s="190"/>
      <c r="AC93" s="190"/>
      <c r="AD93" s="190"/>
      <c r="AE93" s="190"/>
      <c r="AF93" s="190"/>
      <c r="AG93" s="190"/>
      <c r="AH93" s="190"/>
      <c r="AI93" s="190"/>
      <c r="AJ93" s="190"/>
      <c r="AK93" s="190"/>
      <c r="AL93" s="191"/>
      <c r="AM93" s="133"/>
    </row>
    <row r="94" spans="1:39" ht="15" customHeight="1">
      <c r="A94" s="30"/>
      <c r="B94" s="147"/>
      <c r="C94" s="28">
        <v>4</v>
      </c>
      <c r="D94" s="210" t="s">
        <v>160</v>
      </c>
      <c r="E94" s="210" t="s">
        <v>31</v>
      </c>
      <c r="F94" s="229" t="s">
        <v>151</v>
      </c>
      <c r="G94" s="124">
        <v>1080</v>
      </c>
      <c r="H94" s="125">
        <v>20</v>
      </c>
      <c r="I94" s="126">
        <v>3</v>
      </c>
      <c r="J94" s="26">
        <f>+G94+H94+I94</f>
        <v>1103</v>
      </c>
      <c r="K94" s="172">
        <f>IF(J94&lt;&gt;0,G94/J94,0)</f>
        <v>0.97914777878513148</v>
      </c>
      <c r="L94" s="213"/>
      <c r="M94" s="213"/>
      <c r="N94" s="213"/>
      <c r="O94" s="210" t="s">
        <v>162</v>
      </c>
      <c r="P94" s="35"/>
      <c r="Q94" s="154"/>
      <c r="R94" s="133"/>
      <c r="S94" s="189"/>
      <c r="T94" s="209"/>
      <c r="U94" s="209"/>
      <c r="V94" s="209"/>
      <c r="W94" s="190"/>
      <c r="X94" s="190"/>
      <c r="Y94" s="190"/>
      <c r="Z94" s="190"/>
      <c r="AA94" s="190"/>
      <c r="AB94" s="190"/>
      <c r="AC94" s="190"/>
      <c r="AD94" s="190"/>
      <c r="AE94" s="190"/>
      <c r="AF94" s="190"/>
      <c r="AG94" s="190"/>
      <c r="AH94" s="190"/>
      <c r="AI94" s="190"/>
      <c r="AJ94" s="190"/>
      <c r="AK94" s="190"/>
      <c r="AL94" s="191"/>
      <c r="AM94" s="133"/>
    </row>
    <row r="95" spans="1:39" ht="15" customHeight="1">
      <c r="A95" s="30"/>
      <c r="B95" s="147"/>
      <c r="C95" s="28">
        <v>5</v>
      </c>
      <c r="D95" s="210" t="s">
        <v>160</v>
      </c>
      <c r="E95" s="210" t="s">
        <v>31</v>
      </c>
      <c r="F95" s="229" t="s">
        <v>151</v>
      </c>
      <c r="G95" s="124">
        <v>960</v>
      </c>
      <c r="H95" s="125">
        <v>20</v>
      </c>
      <c r="I95" s="126">
        <v>5</v>
      </c>
      <c r="J95" s="26">
        <f t="shared" si="15"/>
        <v>985</v>
      </c>
      <c r="K95" s="172">
        <f t="shared" si="16"/>
        <v>0.97461928934010156</v>
      </c>
      <c r="L95" s="212"/>
      <c r="M95" s="213"/>
      <c r="N95" s="213"/>
      <c r="O95" s="210" t="s">
        <v>162</v>
      </c>
      <c r="P95" s="35"/>
      <c r="Q95" s="154"/>
      <c r="R95" s="133"/>
      <c r="S95" s="189"/>
      <c r="T95" s="209"/>
      <c r="U95" s="209"/>
      <c r="V95" s="209"/>
      <c r="W95" s="190"/>
      <c r="X95" s="190"/>
      <c r="Y95" s="190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1"/>
      <c r="AM95" s="133"/>
    </row>
    <row r="96" spans="1:39" ht="15" customHeight="1">
      <c r="A96" s="30"/>
      <c r="B96" s="147"/>
      <c r="C96" s="28">
        <v>6</v>
      </c>
      <c r="D96" s="210" t="s">
        <v>134</v>
      </c>
      <c r="E96" s="210" t="s">
        <v>31</v>
      </c>
      <c r="F96" s="229" t="s">
        <v>151</v>
      </c>
      <c r="G96" s="228">
        <v>960</v>
      </c>
      <c r="H96" s="125">
        <v>20</v>
      </c>
      <c r="I96" s="126">
        <v>27</v>
      </c>
      <c r="J96" s="26">
        <f t="shared" si="15"/>
        <v>1007</v>
      </c>
      <c r="K96" s="172">
        <f t="shared" si="16"/>
        <v>0.95332671300893745</v>
      </c>
      <c r="L96" s="212" t="s">
        <v>185</v>
      </c>
      <c r="M96" s="213"/>
      <c r="N96" s="213"/>
      <c r="O96" s="210" t="s">
        <v>162</v>
      </c>
      <c r="P96" s="35"/>
      <c r="Q96" s="154"/>
      <c r="R96" s="133"/>
      <c r="S96" s="189"/>
      <c r="T96" s="209"/>
      <c r="U96" s="209"/>
      <c r="V96" s="209"/>
      <c r="W96" s="190"/>
      <c r="X96" s="190"/>
      <c r="Y96" s="190"/>
      <c r="Z96" s="190"/>
      <c r="AA96" s="190"/>
      <c r="AB96" s="190"/>
      <c r="AC96" s="190"/>
      <c r="AD96" s="190"/>
      <c r="AE96" s="190"/>
      <c r="AF96" s="190"/>
      <c r="AG96" s="190"/>
      <c r="AH96" s="190"/>
      <c r="AI96" s="190"/>
      <c r="AJ96" s="190"/>
      <c r="AK96" s="190"/>
      <c r="AL96" s="191"/>
      <c r="AM96" s="133"/>
    </row>
    <row r="97" spans="1:39" ht="15" customHeight="1">
      <c r="A97" s="30"/>
      <c r="B97" s="147"/>
      <c r="C97" s="28">
        <v>7</v>
      </c>
      <c r="D97" s="210" t="s">
        <v>134</v>
      </c>
      <c r="E97" s="210" t="s">
        <v>31</v>
      </c>
      <c r="F97" s="229" t="s">
        <v>151</v>
      </c>
      <c r="G97" s="124">
        <v>960</v>
      </c>
      <c r="H97" s="125">
        <v>20</v>
      </c>
      <c r="I97" s="126">
        <v>6</v>
      </c>
      <c r="J97" s="26">
        <f t="shared" si="15"/>
        <v>986</v>
      </c>
      <c r="K97" s="172">
        <f t="shared" si="16"/>
        <v>0.97363083164300201</v>
      </c>
      <c r="L97" s="212"/>
      <c r="M97" s="213"/>
      <c r="N97" s="213"/>
      <c r="O97" s="210" t="s">
        <v>162</v>
      </c>
      <c r="P97" s="35"/>
      <c r="Q97" s="154"/>
      <c r="R97" s="133"/>
      <c r="S97" s="189"/>
      <c r="T97" s="209"/>
      <c r="U97" s="209"/>
      <c r="V97" s="209"/>
      <c r="W97" s="190"/>
      <c r="X97" s="190"/>
      <c r="Y97" s="190"/>
      <c r="Z97" s="190"/>
      <c r="AA97" s="190"/>
      <c r="AB97" s="190"/>
      <c r="AC97" s="190"/>
      <c r="AD97" s="190"/>
      <c r="AE97" s="190"/>
      <c r="AF97" s="190"/>
      <c r="AG97" s="190"/>
      <c r="AH97" s="190"/>
      <c r="AI97" s="190"/>
      <c r="AJ97" s="190"/>
      <c r="AK97" s="190"/>
      <c r="AL97" s="191"/>
      <c r="AM97" s="133"/>
    </row>
    <row r="98" spans="1:39" ht="15" customHeight="1" thickBot="1">
      <c r="A98" s="30"/>
      <c r="B98" s="147"/>
      <c r="C98" s="236">
        <v>8</v>
      </c>
      <c r="D98" s="210" t="s">
        <v>134</v>
      </c>
      <c r="E98" s="210" t="s">
        <v>31</v>
      </c>
      <c r="F98" s="229" t="s">
        <v>151</v>
      </c>
      <c r="G98" s="205">
        <v>960</v>
      </c>
      <c r="H98" s="220">
        <v>0</v>
      </c>
      <c r="I98" s="206">
        <v>6</v>
      </c>
      <c r="J98" s="238">
        <f t="shared" si="15"/>
        <v>966</v>
      </c>
      <c r="K98" s="173">
        <f t="shared" si="16"/>
        <v>0.99378881987577639</v>
      </c>
      <c r="L98" s="212"/>
      <c r="M98" s="109"/>
      <c r="N98" s="213"/>
      <c r="O98" s="210" t="s">
        <v>162</v>
      </c>
      <c r="P98" s="35"/>
      <c r="Q98" s="154"/>
      <c r="R98" s="133"/>
      <c r="S98" s="189"/>
      <c r="T98" s="209"/>
      <c r="U98" s="209"/>
      <c r="V98" s="209"/>
      <c r="W98" s="190"/>
      <c r="X98" s="190"/>
      <c r="Y98" s="190"/>
      <c r="Z98" s="190"/>
      <c r="AA98" s="190"/>
      <c r="AB98" s="190"/>
      <c r="AC98" s="190"/>
      <c r="AD98" s="190"/>
      <c r="AE98" s="190"/>
      <c r="AF98" s="190"/>
      <c r="AG98" s="190"/>
      <c r="AH98" s="190"/>
      <c r="AI98" s="190"/>
      <c r="AJ98" s="190"/>
      <c r="AK98" s="190"/>
      <c r="AL98" s="191"/>
      <c r="AM98" s="133"/>
    </row>
    <row r="99" spans="1:39" ht="15" customHeight="1" thickBot="1">
      <c r="A99" s="30"/>
      <c r="B99" s="147"/>
      <c r="C99" s="174" t="s">
        <v>7</v>
      </c>
      <c r="D99" s="110"/>
      <c r="E99" s="110"/>
      <c r="F99" s="132"/>
      <c r="G99" s="111">
        <f>SUM(G91:G98)</f>
        <v>7344</v>
      </c>
      <c r="H99" s="111">
        <f>SUM(H91:H98)</f>
        <v>180</v>
      </c>
      <c r="I99" s="111">
        <f>SUM(I91:I98)</f>
        <v>96</v>
      </c>
      <c r="J99" s="111">
        <f>SUM(J91:J98)</f>
        <v>7620</v>
      </c>
      <c r="K99" s="175">
        <f t="shared" si="16"/>
        <v>0.96377952755905516</v>
      </c>
      <c r="L99" s="239"/>
      <c r="M99" s="112">
        <f>SUM(M91:M98)</f>
        <v>20</v>
      </c>
      <c r="N99" s="224"/>
      <c r="O99" s="176"/>
      <c r="P99" s="35"/>
      <c r="Q99" s="154"/>
      <c r="R99" s="133"/>
      <c r="S99" s="189"/>
      <c r="T99" s="209"/>
      <c r="U99" s="209"/>
      <c r="V99" s="209"/>
      <c r="W99" s="190"/>
      <c r="X99" s="190"/>
      <c r="Y99" s="190"/>
      <c r="Z99" s="190"/>
      <c r="AA99" s="190"/>
      <c r="AB99" s="190"/>
      <c r="AC99" s="190"/>
      <c r="AD99" s="190"/>
      <c r="AE99" s="190"/>
      <c r="AF99" s="190"/>
      <c r="AG99" s="190"/>
      <c r="AH99" s="190"/>
      <c r="AI99" s="190"/>
      <c r="AJ99" s="190"/>
      <c r="AK99" s="190"/>
      <c r="AL99" s="191"/>
      <c r="AM99" s="133"/>
    </row>
    <row r="100" spans="1:39" ht="15" customHeight="1" thickBot="1">
      <c r="A100" s="30"/>
      <c r="B100" s="147"/>
      <c r="C100" s="41"/>
      <c r="D100" s="41"/>
      <c r="E100" s="41"/>
      <c r="F100" s="131"/>
      <c r="G100" s="42"/>
      <c r="H100" s="42"/>
      <c r="I100" s="42"/>
      <c r="J100" s="42"/>
      <c r="K100" s="177"/>
      <c r="L100" s="42"/>
      <c r="M100" s="41"/>
      <c r="N100" s="41"/>
      <c r="O100" s="35"/>
      <c r="P100" s="35"/>
      <c r="Q100" s="154"/>
      <c r="R100" s="133"/>
      <c r="S100" s="189"/>
      <c r="T100" s="209"/>
      <c r="U100" s="209"/>
      <c r="V100" s="209"/>
      <c r="W100" s="190"/>
      <c r="X100" s="190"/>
      <c r="Y100" s="190"/>
      <c r="Z100" s="190"/>
      <c r="AA100" s="190"/>
      <c r="AB100" s="190"/>
      <c r="AC100" s="190"/>
      <c r="AD100" s="190"/>
      <c r="AE100" s="190"/>
      <c r="AF100" s="190"/>
      <c r="AG100" s="190"/>
      <c r="AH100" s="190"/>
      <c r="AI100" s="190"/>
      <c r="AJ100" s="190"/>
      <c r="AK100" s="190"/>
      <c r="AL100" s="191"/>
      <c r="AM100" s="133"/>
    </row>
    <row r="101" spans="1:39" ht="15" customHeight="1">
      <c r="A101" s="30"/>
      <c r="B101" s="147"/>
      <c r="C101" s="253">
        <v>8</v>
      </c>
      <c r="D101" s="255">
        <f>K112</f>
        <v>0.91524943310657592</v>
      </c>
      <c r="E101" s="35"/>
      <c r="F101" s="35"/>
      <c r="G101" s="35"/>
      <c r="H101" s="35"/>
      <c r="I101" s="35"/>
      <c r="J101" s="35"/>
      <c r="K101" s="35"/>
      <c r="L101" s="36"/>
      <c r="M101" s="35"/>
      <c r="N101" s="35"/>
      <c r="O101" s="35"/>
      <c r="P101" s="35"/>
      <c r="Q101" s="154"/>
      <c r="R101" s="133"/>
      <c r="S101" s="189"/>
      <c r="T101" s="209"/>
      <c r="U101" s="209"/>
      <c r="V101" s="209"/>
      <c r="W101" s="190"/>
      <c r="X101" s="190"/>
      <c r="Y101" s="190"/>
      <c r="Z101" s="190"/>
      <c r="AA101" s="190"/>
      <c r="AB101" s="190"/>
      <c r="AC101" s="190"/>
      <c r="AD101" s="190"/>
      <c r="AE101" s="190"/>
      <c r="AF101" s="190"/>
      <c r="AG101" s="190"/>
      <c r="AH101" s="190"/>
      <c r="AI101" s="190"/>
      <c r="AJ101" s="190"/>
      <c r="AK101" s="190"/>
      <c r="AL101" s="191"/>
      <c r="AM101" s="133"/>
    </row>
    <row r="102" spans="1:39" ht="15" customHeight="1" thickBot="1">
      <c r="A102" s="30"/>
      <c r="B102" s="147"/>
      <c r="C102" s="254"/>
      <c r="D102" s="256"/>
      <c r="E102" s="131"/>
      <c r="F102" s="131"/>
      <c r="G102" s="131"/>
      <c r="H102" s="131"/>
      <c r="I102" s="131"/>
      <c r="J102" s="131"/>
      <c r="K102" s="131"/>
      <c r="L102" s="36"/>
      <c r="M102" s="35"/>
      <c r="N102" s="35"/>
      <c r="O102" s="35"/>
      <c r="P102" s="35"/>
      <c r="Q102" s="154"/>
      <c r="R102" s="133"/>
      <c r="S102" s="189"/>
      <c r="T102" s="209"/>
      <c r="U102" s="209"/>
      <c r="V102" s="209"/>
      <c r="W102" s="190"/>
      <c r="X102" s="190"/>
      <c r="Y102" s="190"/>
      <c r="Z102" s="190"/>
      <c r="AA102" s="190"/>
      <c r="AB102" s="190"/>
      <c r="AC102" s="190"/>
      <c r="AD102" s="190"/>
      <c r="AE102" s="190"/>
      <c r="AF102" s="190"/>
      <c r="AG102" s="190"/>
      <c r="AH102" s="190"/>
      <c r="AI102" s="190"/>
      <c r="AJ102" s="190"/>
      <c r="AK102" s="190"/>
      <c r="AL102" s="191"/>
      <c r="AM102" s="133"/>
    </row>
    <row r="103" spans="1:39" ht="15" customHeight="1">
      <c r="A103" s="30"/>
      <c r="B103" s="147"/>
      <c r="C103" s="29" t="s">
        <v>2</v>
      </c>
      <c r="D103" s="23" t="s">
        <v>6</v>
      </c>
      <c r="E103" s="23" t="s">
        <v>3</v>
      </c>
      <c r="F103" s="23" t="s">
        <v>58</v>
      </c>
      <c r="G103" s="231" t="s">
        <v>0</v>
      </c>
      <c r="H103" s="231" t="s">
        <v>1</v>
      </c>
      <c r="I103" s="231" t="s">
        <v>18</v>
      </c>
      <c r="J103" s="231" t="s">
        <v>5</v>
      </c>
      <c r="K103" s="23" t="s">
        <v>13</v>
      </c>
      <c r="L103" s="231" t="s">
        <v>17</v>
      </c>
      <c r="M103" s="23" t="s">
        <v>9</v>
      </c>
      <c r="N103" s="240" t="s">
        <v>77</v>
      </c>
      <c r="O103" s="24" t="s">
        <v>12</v>
      </c>
      <c r="P103" s="35"/>
      <c r="Q103" s="154"/>
      <c r="R103" s="133"/>
      <c r="S103" s="189"/>
      <c r="T103" s="209"/>
      <c r="U103" s="209"/>
      <c r="V103" s="209"/>
      <c r="W103" s="190"/>
      <c r="X103" s="190"/>
      <c r="Y103" s="190"/>
      <c r="Z103" s="190"/>
      <c r="AA103" s="190"/>
      <c r="AB103" s="190"/>
      <c r="AC103" s="190"/>
      <c r="AD103" s="190"/>
      <c r="AE103" s="190"/>
      <c r="AF103" s="190"/>
      <c r="AG103" s="190"/>
      <c r="AH103" s="190"/>
      <c r="AI103" s="190"/>
      <c r="AJ103" s="190"/>
      <c r="AK103" s="190"/>
      <c r="AL103" s="191"/>
      <c r="AM103" s="133"/>
    </row>
    <row r="104" spans="1:39" ht="15" customHeight="1">
      <c r="A104" s="30"/>
      <c r="B104" s="147"/>
      <c r="C104" s="232">
        <v>1</v>
      </c>
      <c r="D104" s="214" t="s">
        <v>134</v>
      </c>
      <c r="E104" s="210" t="s">
        <v>34</v>
      </c>
      <c r="F104" s="210" t="s">
        <v>151</v>
      </c>
      <c r="G104" s="124">
        <v>720</v>
      </c>
      <c r="H104" s="125">
        <v>100</v>
      </c>
      <c r="I104" s="126">
        <v>8</v>
      </c>
      <c r="J104" s="234">
        <f t="shared" ref="J104:J111" si="17">+G104+H104+I104</f>
        <v>828</v>
      </c>
      <c r="K104" s="171">
        <f t="shared" ref="K104:K112" si="18">IF(J104&lt;&gt;0,G104/J104,0)</f>
        <v>0.86956521739130432</v>
      </c>
      <c r="L104" s="213" t="s">
        <v>186</v>
      </c>
      <c r="M104" s="213"/>
      <c r="N104" s="223"/>
      <c r="O104" s="210" t="s">
        <v>190</v>
      </c>
      <c r="P104" s="35"/>
      <c r="Q104" s="154"/>
      <c r="R104" s="133"/>
      <c r="S104" s="189"/>
      <c r="T104" s="209"/>
      <c r="U104" s="209"/>
      <c r="V104" s="209"/>
      <c r="W104" s="190"/>
      <c r="X104" s="190"/>
      <c r="Y104" s="190"/>
      <c r="Z104" s="190"/>
      <c r="AA104" s="190"/>
      <c r="AB104" s="190"/>
      <c r="AC104" s="190"/>
      <c r="AD104" s="190"/>
      <c r="AE104" s="190"/>
      <c r="AF104" s="190"/>
      <c r="AG104" s="190"/>
      <c r="AH104" s="190"/>
      <c r="AI104" s="190"/>
      <c r="AJ104" s="190"/>
      <c r="AK104" s="190"/>
      <c r="AL104" s="191"/>
      <c r="AM104" s="133"/>
    </row>
    <row r="105" spans="1:39" ht="15" customHeight="1">
      <c r="A105" s="30"/>
      <c r="B105" s="147"/>
      <c r="C105" s="28">
        <v>2</v>
      </c>
      <c r="D105" s="214" t="s">
        <v>134</v>
      </c>
      <c r="E105" s="210" t="s">
        <v>34</v>
      </c>
      <c r="F105" s="210" t="s">
        <v>151</v>
      </c>
      <c r="G105" s="124">
        <v>768</v>
      </c>
      <c r="H105" s="125">
        <v>160</v>
      </c>
      <c r="I105" s="126">
        <v>19</v>
      </c>
      <c r="J105" s="26">
        <f t="shared" si="17"/>
        <v>947</v>
      </c>
      <c r="K105" s="172">
        <f t="shared" si="18"/>
        <v>0.81098204857444567</v>
      </c>
      <c r="L105" s="213" t="s">
        <v>146</v>
      </c>
      <c r="M105" s="213"/>
      <c r="N105" s="223"/>
      <c r="O105" s="210" t="s">
        <v>190</v>
      </c>
      <c r="P105" s="35"/>
      <c r="Q105" s="154"/>
      <c r="R105" s="133"/>
      <c r="S105" s="189"/>
      <c r="T105" s="209"/>
      <c r="U105" s="209"/>
      <c r="V105" s="209"/>
      <c r="W105" s="190"/>
      <c r="X105" s="190"/>
      <c r="Y105" s="190"/>
      <c r="Z105" s="190"/>
      <c r="AA105" s="190"/>
      <c r="AB105" s="190"/>
      <c r="AC105" s="190"/>
      <c r="AD105" s="190"/>
      <c r="AE105" s="190"/>
      <c r="AF105" s="190"/>
      <c r="AG105" s="190"/>
      <c r="AH105" s="190"/>
      <c r="AI105" s="190"/>
      <c r="AJ105" s="190"/>
      <c r="AK105" s="190"/>
      <c r="AL105" s="191"/>
      <c r="AM105" s="133"/>
    </row>
    <row r="106" spans="1:39" ht="15" customHeight="1">
      <c r="A106" s="30"/>
      <c r="B106" s="147"/>
      <c r="C106" s="28">
        <v>3</v>
      </c>
      <c r="D106" s="214" t="s">
        <v>132</v>
      </c>
      <c r="E106" s="210" t="s">
        <v>34</v>
      </c>
      <c r="F106" s="210" t="s">
        <v>151</v>
      </c>
      <c r="G106" s="124">
        <v>840</v>
      </c>
      <c r="H106" s="125">
        <v>40</v>
      </c>
      <c r="I106" s="126">
        <v>1</v>
      </c>
      <c r="J106" s="26">
        <f t="shared" si="17"/>
        <v>881</v>
      </c>
      <c r="K106" s="172">
        <f t="shared" si="18"/>
        <v>0.95346197502837682</v>
      </c>
      <c r="L106" s="213" t="s">
        <v>146</v>
      </c>
      <c r="M106" s="213"/>
      <c r="N106" s="223"/>
      <c r="O106" s="210" t="s">
        <v>191</v>
      </c>
      <c r="P106" s="35"/>
      <c r="Q106" s="154"/>
      <c r="R106" s="133"/>
      <c r="S106" s="189"/>
      <c r="T106" s="209"/>
      <c r="U106" s="209"/>
      <c r="V106" s="209"/>
      <c r="W106" s="190"/>
      <c r="X106" s="190"/>
      <c r="Y106" s="190"/>
      <c r="Z106" s="190"/>
      <c r="AA106" s="190"/>
      <c r="AB106" s="190"/>
      <c r="AC106" s="190"/>
      <c r="AD106" s="190"/>
      <c r="AE106" s="190"/>
      <c r="AF106" s="190"/>
      <c r="AG106" s="190"/>
      <c r="AH106" s="190"/>
      <c r="AI106" s="190"/>
      <c r="AJ106" s="190"/>
      <c r="AK106" s="190"/>
      <c r="AL106" s="191"/>
      <c r="AM106" s="133"/>
    </row>
    <row r="107" spans="1:39" ht="15" customHeight="1">
      <c r="A107" s="30"/>
      <c r="B107" s="147"/>
      <c r="C107" s="28">
        <v>4</v>
      </c>
      <c r="D107" s="214" t="s">
        <v>132</v>
      </c>
      <c r="E107" s="210" t="s">
        <v>34</v>
      </c>
      <c r="F107" s="210" t="s">
        <v>151</v>
      </c>
      <c r="G107" s="124">
        <v>912</v>
      </c>
      <c r="H107" s="125">
        <v>80</v>
      </c>
      <c r="I107" s="126">
        <v>3</v>
      </c>
      <c r="J107" s="26">
        <f t="shared" si="17"/>
        <v>995</v>
      </c>
      <c r="K107" s="172">
        <f t="shared" si="18"/>
        <v>0.91658291457286434</v>
      </c>
      <c r="L107" s="213" t="s">
        <v>146</v>
      </c>
      <c r="M107" s="213"/>
      <c r="N107" s="223"/>
      <c r="O107" s="210" t="s">
        <v>191</v>
      </c>
      <c r="P107" s="35"/>
      <c r="Q107" s="154"/>
      <c r="R107" s="133"/>
      <c r="S107" s="189"/>
      <c r="T107" s="209"/>
      <c r="U107" s="209"/>
      <c r="V107" s="209"/>
      <c r="W107" s="190"/>
      <c r="X107" s="190"/>
      <c r="Y107" s="190"/>
      <c r="Z107" s="190"/>
      <c r="AA107" s="190"/>
      <c r="AB107" s="190"/>
      <c r="AC107" s="190"/>
      <c r="AD107" s="190"/>
      <c r="AE107" s="190"/>
      <c r="AF107" s="190"/>
      <c r="AG107" s="190"/>
      <c r="AH107" s="190"/>
      <c r="AI107" s="190"/>
      <c r="AJ107" s="190"/>
      <c r="AK107" s="190"/>
      <c r="AL107" s="191"/>
      <c r="AM107" s="133"/>
    </row>
    <row r="108" spans="1:39" ht="15" customHeight="1">
      <c r="A108" s="30"/>
      <c r="B108" s="147"/>
      <c r="C108" s="28">
        <v>5</v>
      </c>
      <c r="D108" s="214" t="s">
        <v>132</v>
      </c>
      <c r="E108" s="210" t="s">
        <v>34</v>
      </c>
      <c r="F108" s="210" t="s">
        <v>151</v>
      </c>
      <c r="G108" s="124">
        <v>864</v>
      </c>
      <c r="H108" s="125">
        <v>40</v>
      </c>
      <c r="I108" s="126">
        <v>2</v>
      </c>
      <c r="J108" s="26">
        <f t="shared" si="17"/>
        <v>906</v>
      </c>
      <c r="K108" s="172">
        <f t="shared" si="18"/>
        <v>0.95364238410596025</v>
      </c>
      <c r="L108" s="213" t="s">
        <v>146</v>
      </c>
      <c r="M108" s="213"/>
      <c r="N108" s="223"/>
      <c r="O108" s="210" t="s">
        <v>191</v>
      </c>
      <c r="P108" s="35"/>
      <c r="Q108" s="154"/>
      <c r="R108" s="133"/>
      <c r="S108" s="189"/>
      <c r="T108" s="209"/>
      <c r="U108" s="209"/>
      <c r="V108" s="209"/>
      <c r="W108" s="190"/>
      <c r="X108" s="190"/>
      <c r="Y108" s="190"/>
      <c r="Z108" s="190"/>
      <c r="AA108" s="190"/>
      <c r="AB108" s="190"/>
      <c r="AC108" s="190"/>
      <c r="AD108" s="190"/>
      <c r="AE108" s="190"/>
      <c r="AF108" s="190"/>
      <c r="AG108" s="190"/>
      <c r="AH108" s="190"/>
      <c r="AI108" s="190"/>
      <c r="AJ108" s="190"/>
      <c r="AK108" s="190"/>
      <c r="AL108" s="191"/>
      <c r="AM108" s="133"/>
    </row>
    <row r="109" spans="1:39" ht="15" customHeight="1">
      <c r="A109" s="30"/>
      <c r="B109" s="147"/>
      <c r="C109" s="28">
        <v>6</v>
      </c>
      <c r="D109" s="214" t="s">
        <v>192</v>
      </c>
      <c r="E109" s="210" t="s">
        <v>34</v>
      </c>
      <c r="F109" s="210" t="s">
        <v>151</v>
      </c>
      <c r="G109" s="228">
        <v>720</v>
      </c>
      <c r="H109" s="125">
        <v>20</v>
      </c>
      <c r="I109" s="126">
        <v>0</v>
      </c>
      <c r="J109" s="127">
        <f>+G109+H109+I109</f>
        <v>740</v>
      </c>
      <c r="K109" s="172">
        <f t="shared" si="18"/>
        <v>0.97297297297297303</v>
      </c>
      <c r="L109" s="213"/>
      <c r="M109" s="213">
        <v>20</v>
      </c>
      <c r="N109" s="223">
        <v>51</v>
      </c>
      <c r="O109" s="210" t="s">
        <v>191</v>
      </c>
      <c r="P109" s="35"/>
      <c r="Q109" s="154"/>
      <c r="R109" s="133"/>
      <c r="S109" s="189"/>
      <c r="T109" s="209"/>
      <c r="U109" s="209"/>
      <c r="V109" s="209"/>
      <c r="W109" s="190"/>
      <c r="X109" s="190"/>
      <c r="Y109" s="190"/>
      <c r="Z109" s="190"/>
      <c r="AA109" s="190"/>
      <c r="AB109" s="190"/>
      <c r="AC109" s="190"/>
      <c r="AD109" s="190"/>
      <c r="AE109" s="190"/>
      <c r="AF109" s="190"/>
      <c r="AG109" s="190"/>
      <c r="AH109" s="190"/>
      <c r="AI109" s="190"/>
      <c r="AJ109" s="190"/>
      <c r="AK109" s="190"/>
      <c r="AL109" s="191"/>
      <c r="AM109" s="133"/>
    </row>
    <row r="110" spans="1:39" ht="15" customHeight="1">
      <c r="A110" s="30"/>
      <c r="B110" s="147"/>
      <c r="C110" s="28">
        <v>7</v>
      </c>
      <c r="D110" s="214" t="s">
        <v>192</v>
      </c>
      <c r="E110" s="210" t="s">
        <v>34</v>
      </c>
      <c r="F110" s="210" t="s">
        <v>151</v>
      </c>
      <c r="G110" s="124">
        <v>768</v>
      </c>
      <c r="H110" s="125">
        <v>100</v>
      </c>
      <c r="I110" s="126">
        <v>5</v>
      </c>
      <c r="J110" s="26">
        <f t="shared" si="17"/>
        <v>873</v>
      </c>
      <c r="K110" s="172">
        <f t="shared" si="18"/>
        <v>0.8797250859106529</v>
      </c>
      <c r="L110" s="213" t="s">
        <v>146</v>
      </c>
      <c r="M110" s="213"/>
      <c r="N110" s="223"/>
      <c r="O110" s="210" t="s">
        <v>191</v>
      </c>
      <c r="P110" s="35"/>
      <c r="Q110" s="154"/>
      <c r="R110" s="133"/>
      <c r="S110" s="189"/>
      <c r="T110" s="209"/>
      <c r="U110" s="209"/>
      <c r="V110" s="209"/>
      <c r="W110" s="190"/>
      <c r="X110" s="190"/>
      <c r="Y110" s="190"/>
      <c r="Z110" s="190"/>
      <c r="AA110" s="190"/>
      <c r="AB110" s="190"/>
      <c r="AC110" s="190"/>
      <c r="AD110" s="190"/>
      <c r="AE110" s="190"/>
      <c r="AF110" s="190"/>
      <c r="AG110" s="190"/>
      <c r="AH110" s="190"/>
      <c r="AI110" s="190"/>
      <c r="AJ110" s="190"/>
      <c r="AK110" s="190"/>
      <c r="AL110" s="191"/>
      <c r="AM110" s="133"/>
    </row>
    <row r="111" spans="1:39" ht="15" customHeight="1" thickBot="1">
      <c r="A111" s="30"/>
      <c r="B111" s="147"/>
      <c r="C111" s="236">
        <v>8</v>
      </c>
      <c r="D111" s="214" t="s">
        <v>192</v>
      </c>
      <c r="E111" s="210" t="s">
        <v>34</v>
      </c>
      <c r="F111" s="210" t="s">
        <v>151</v>
      </c>
      <c r="G111" s="124">
        <v>866</v>
      </c>
      <c r="H111" s="219">
        <v>20</v>
      </c>
      <c r="I111" s="126">
        <v>0</v>
      </c>
      <c r="J111" s="238">
        <f t="shared" si="17"/>
        <v>886</v>
      </c>
      <c r="K111" s="173">
        <f t="shared" si="18"/>
        <v>0.97742663656884876</v>
      </c>
      <c r="L111" s="213"/>
      <c r="M111" s="213"/>
      <c r="N111" s="223"/>
      <c r="O111" s="210" t="s">
        <v>191</v>
      </c>
      <c r="P111" s="35"/>
      <c r="Q111" s="154"/>
      <c r="R111" s="133"/>
      <c r="S111" s="189"/>
      <c r="T111" s="209"/>
      <c r="U111" s="209"/>
      <c r="V111" s="209"/>
      <c r="W111" s="190"/>
      <c r="X111" s="190"/>
      <c r="Y111" s="190"/>
      <c r="Z111" s="190"/>
      <c r="AA111" s="190"/>
      <c r="AB111" s="190"/>
      <c r="AC111" s="190"/>
      <c r="AD111" s="190"/>
      <c r="AE111" s="190"/>
      <c r="AF111" s="190"/>
      <c r="AG111" s="190"/>
      <c r="AH111" s="190"/>
      <c r="AI111" s="190"/>
      <c r="AJ111" s="190"/>
      <c r="AK111" s="190"/>
      <c r="AL111" s="191"/>
      <c r="AM111" s="133"/>
    </row>
    <row r="112" spans="1:39" ht="15" customHeight="1" thickBot="1">
      <c r="A112" s="30"/>
      <c r="B112" s="147"/>
      <c r="C112" s="174" t="s">
        <v>7</v>
      </c>
      <c r="D112" s="110"/>
      <c r="E112" s="110"/>
      <c r="F112" s="110"/>
      <c r="G112" s="111">
        <f>SUM(G104:G111)</f>
        <v>6458</v>
      </c>
      <c r="H112" s="111">
        <f>SUM(H104:H111)</f>
        <v>560</v>
      </c>
      <c r="I112" s="111">
        <f>SUM(I104:I111)</f>
        <v>38</v>
      </c>
      <c r="J112" s="111">
        <f>SUM(J104:J111)</f>
        <v>7056</v>
      </c>
      <c r="K112" s="175">
        <f t="shared" si="18"/>
        <v>0.91524943310657592</v>
      </c>
      <c r="L112" s="110"/>
      <c r="M112" s="112">
        <f>SUM(M104:M111)</f>
        <v>20</v>
      </c>
      <c r="N112" s="224"/>
      <c r="O112" s="176"/>
      <c r="P112" s="35"/>
      <c r="Q112" s="154"/>
      <c r="R112" s="133"/>
      <c r="S112" s="189"/>
      <c r="T112" s="209"/>
      <c r="U112" s="209"/>
      <c r="V112" s="209"/>
      <c r="W112" s="190"/>
      <c r="X112" s="190"/>
      <c r="Y112" s="190"/>
      <c r="Z112" s="190"/>
      <c r="AA112" s="190"/>
      <c r="AB112" s="190"/>
      <c r="AC112" s="190"/>
      <c r="AD112" s="190"/>
      <c r="AE112" s="190"/>
      <c r="AF112" s="190"/>
      <c r="AG112" s="190"/>
      <c r="AH112" s="190"/>
      <c r="AI112" s="190"/>
      <c r="AJ112" s="190"/>
      <c r="AK112" s="190"/>
      <c r="AL112" s="191"/>
      <c r="AM112" s="133"/>
    </row>
    <row r="113" spans="1:39" ht="15" customHeight="1" thickBot="1">
      <c r="A113" s="30"/>
      <c r="B113" s="147"/>
      <c r="C113" s="41"/>
      <c r="D113" s="41"/>
      <c r="E113" s="41"/>
      <c r="F113" s="41"/>
      <c r="G113" s="42"/>
      <c r="H113" s="42"/>
      <c r="I113" s="42"/>
      <c r="J113" s="42"/>
      <c r="K113" s="177"/>
      <c r="L113" s="41"/>
      <c r="M113" s="41"/>
      <c r="N113" s="41"/>
      <c r="O113" s="35"/>
      <c r="P113" s="35"/>
      <c r="Q113" s="154"/>
      <c r="R113" s="133"/>
      <c r="S113" s="189"/>
      <c r="T113" s="209"/>
      <c r="U113" s="209"/>
      <c r="V113" s="209"/>
      <c r="W113" s="190"/>
      <c r="X113" s="190"/>
      <c r="Y113" s="190"/>
      <c r="Z113" s="190"/>
      <c r="AA113" s="190"/>
      <c r="AB113" s="190"/>
      <c r="AC113" s="190"/>
      <c r="AD113" s="190"/>
      <c r="AE113" s="190"/>
      <c r="AF113" s="190"/>
      <c r="AG113" s="190"/>
      <c r="AH113" s="190"/>
      <c r="AI113" s="190"/>
      <c r="AJ113" s="190"/>
      <c r="AK113" s="190"/>
      <c r="AL113" s="191"/>
      <c r="AM113" s="133"/>
    </row>
    <row r="114" spans="1:39" ht="15" customHeight="1">
      <c r="A114" s="30"/>
      <c r="B114" s="147"/>
      <c r="C114" s="253" t="s">
        <v>68</v>
      </c>
      <c r="D114" s="255">
        <f>H125</f>
        <v>0.94084406860033198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154"/>
      <c r="R114" s="133"/>
      <c r="S114" s="189"/>
      <c r="T114" s="209"/>
      <c r="U114" s="209"/>
      <c r="V114" s="209"/>
      <c r="W114" s="190"/>
      <c r="X114" s="190"/>
      <c r="Y114" s="190"/>
      <c r="Z114" s="190"/>
      <c r="AA114" s="190"/>
      <c r="AB114" s="190"/>
      <c r="AC114" s="190"/>
      <c r="AD114" s="190"/>
      <c r="AE114" s="190"/>
      <c r="AF114" s="190"/>
      <c r="AG114" s="190"/>
      <c r="AH114" s="190"/>
      <c r="AI114" s="190"/>
      <c r="AJ114" s="190"/>
      <c r="AK114" s="190"/>
      <c r="AL114" s="191"/>
      <c r="AM114" s="133"/>
    </row>
    <row r="115" spans="1:39" ht="15" customHeight="1" thickBot="1">
      <c r="A115" s="30"/>
      <c r="B115" s="147"/>
      <c r="C115" s="254"/>
      <c r="D115" s="256"/>
      <c r="E115" s="131"/>
      <c r="F115" s="131"/>
      <c r="G115" s="131"/>
      <c r="H115" s="131"/>
      <c r="I115" s="131"/>
      <c r="J115" s="131"/>
      <c r="K115" s="131"/>
      <c r="L115" s="35"/>
      <c r="M115" s="35"/>
      <c r="N115" s="35"/>
      <c r="O115" s="35"/>
      <c r="P115" s="35"/>
      <c r="Q115" s="154"/>
      <c r="R115" s="133"/>
      <c r="S115" s="189"/>
      <c r="T115" s="209"/>
      <c r="U115" s="209"/>
      <c r="V115" s="209"/>
      <c r="W115" s="190"/>
      <c r="X115" s="190"/>
      <c r="Y115" s="190"/>
      <c r="Z115" s="190"/>
      <c r="AA115" s="190"/>
      <c r="AB115" s="190"/>
      <c r="AC115" s="190"/>
      <c r="AD115" s="190"/>
      <c r="AE115" s="190"/>
      <c r="AF115" s="190"/>
      <c r="AG115" s="190"/>
      <c r="AH115" s="190"/>
      <c r="AI115" s="190"/>
      <c r="AJ115" s="190"/>
      <c r="AK115" s="190"/>
      <c r="AL115" s="191"/>
      <c r="AM115" s="133"/>
    </row>
    <row r="116" spans="1:39" ht="15" customHeight="1">
      <c r="A116" s="30"/>
      <c r="B116" s="147"/>
      <c r="C116" s="29" t="s">
        <v>2</v>
      </c>
      <c r="D116" s="23" t="s">
        <v>0</v>
      </c>
      <c r="E116" s="23" t="s">
        <v>1</v>
      </c>
      <c r="F116" s="23" t="s">
        <v>18</v>
      </c>
      <c r="G116" s="23" t="s">
        <v>5</v>
      </c>
      <c r="H116" s="23" t="s">
        <v>13</v>
      </c>
      <c r="I116" s="249" t="s">
        <v>46</v>
      </c>
      <c r="J116" s="250"/>
      <c r="K116" s="24" t="s">
        <v>9</v>
      </c>
      <c r="L116" s="37"/>
      <c r="M116" s="37"/>
      <c r="N116" s="37"/>
      <c r="O116" s="35"/>
      <c r="P116" s="35"/>
      <c r="Q116" s="154"/>
      <c r="R116" s="133"/>
      <c r="S116" s="189"/>
      <c r="T116" s="209"/>
      <c r="U116" s="209"/>
      <c r="V116" s="209"/>
      <c r="W116" s="190"/>
      <c r="X116" s="190"/>
      <c r="Y116" s="190"/>
      <c r="Z116" s="190"/>
      <c r="AA116" s="190"/>
      <c r="AB116" s="190"/>
      <c r="AC116" s="190"/>
      <c r="AD116" s="190"/>
      <c r="AE116" s="190"/>
      <c r="AF116" s="190"/>
      <c r="AG116" s="190"/>
      <c r="AH116" s="190"/>
      <c r="AI116" s="190"/>
      <c r="AJ116" s="190"/>
      <c r="AK116" s="190"/>
      <c r="AL116" s="191"/>
    </row>
    <row r="117" spans="1:39" ht="15" customHeight="1">
      <c r="A117" s="30"/>
      <c r="B117" s="147"/>
      <c r="C117" s="232">
        <v>1</v>
      </c>
      <c r="D117" s="87">
        <f t="shared" ref="D117:G124" si="19">G13+G26+G39+G52+G65+G78+G91+G104</f>
        <v>5760</v>
      </c>
      <c r="E117" s="87">
        <f t="shared" si="19"/>
        <v>400</v>
      </c>
      <c r="F117" s="87">
        <f t="shared" si="19"/>
        <v>78</v>
      </c>
      <c r="G117" s="234">
        <f t="shared" si="19"/>
        <v>6238</v>
      </c>
      <c r="H117" s="171">
        <f t="shared" ref="H117:H125" si="20">IF(G117&lt;&gt;0,D117/G117,0)</f>
        <v>0.92337287592176975</v>
      </c>
      <c r="I117" s="251">
        <f>G117*8</f>
        <v>49904</v>
      </c>
      <c r="J117" s="252"/>
      <c r="K117" s="97">
        <f t="shared" ref="K117:K124" si="21">M13+M26+M39+M52+M65</f>
        <v>34</v>
      </c>
      <c r="L117" s="37"/>
      <c r="M117" s="37"/>
      <c r="N117" s="37"/>
      <c r="O117" s="35"/>
      <c r="P117" s="35"/>
      <c r="Q117" s="154"/>
      <c r="R117" s="133"/>
      <c r="S117" s="189"/>
      <c r="T117" s="209"/>
      <c r="U117" s="209"/>
      <c r="V117" s="209"/>
      <c r="W117" s="190"/>
      <c r="X117" s="190"/>
      <c r="Y117" s="190"/>
      <c r="Z117" s="190"/>
      <c r="AA117" s="190"/>
      <c r="AB117" s="190"/>
      <c r="AC117" s="190"/>
      <c r="AD117" s="190"/>
      <c r="AE117" s="190"/>
      <c r="AF117" s="190"/>
      <c r="AG117" s="190"/>
      <c r="AH117" s="190"/>
      <c r="AI117" s="190"/>
      <c r="AJ117" s="190"/>
      <c r="AK117" s="190"/>
      <c r="AL117" s="191"/>
    </row>
    <row r="118" spans="1:39" ht="15" customHeight="1">
      <c r="A118" s="30"/>
      <c r="B118" s="147"/>
      <c r="C118" s="28">
        <v>2</v>
      </c>
      <c r="D118" s="127">
        <f>G14+G27+G40+G53+G66+G79+G92+G105</f>
        <v>5568</v>
      </c>
      <c r="E118" s="127">
        <f t="shared" si="19"/>
        <v>480</v>
      </c>
      <c r="F118" s="127">
        <f t="shared" si="19"/>
        <v>75</v>
      </c>
      <c r="G118" s="26">
        <f t="shared" si="19"/>
        <v>6123</v>
      </c>
      <c r="H118" s="172">
        <f t="shared" si="20"/>
        <v>0.90935815776580109</v>
      </c>
      <c r="I118" s="243">
        <f>IF(G118&lt;&gt;"",AVERAGE(G117:G118)*8,"-")</f>
        <v>49444</v>
      </c>
      <c r="J118" s="244"/>
      <c r="K118" s="98">
        <f t="shared" si="21"/>
        <v>51</v>
      </c>
      <c r="L118" s="37"/>
      <c r="M118" s="37"/>
      <c r="N118" s="37"/>
      <c r="O118" s="35"/>
      <c r="P118" s="35"/>
      <c r="Q118" s="154"/>
      <c r="R118" s="133"/>
      <c r="S118" s="189"/>
      <c r="T118" s="209"/>
      <c r="U118" s="209"/>
      <c r="V118" s="209"/>
      <c r="W118" s="190"/>
      <c r="X118" s="190"/>
      <c r="Y118" s="190"/>
      <c r="Z118" s="190"/>
      <c r="AA118" s="190"/>
      <c r="AB118" s="190"/>
      <c r="AC118" s="190"/>
      <c r="AD118" s="190"/>
      <c r="AE118" s="190"/>
      <c r="AF118" s="190"/>
      <c r="AG118" s="190"/>
      <c r="AH118" s="190"/>
      <c r="AI118" s="190"/>
      <c r="AJ118" s="190"/>
      <c r="AK118" s="190"/>
      <c r="AL118" s="191"/>
    </row>
    <row r="119" spans="1:39" ht="15" customHeight="1">
      <c r="A119" s="30"/>
      <c r="B119" s="147"/>
      <c r="C119" s="28">
        <v>3</v>
      </c>
      <c r="D119" s="127">
        <f>G15+G28+G41+G54+G67+G80+G93+G106</f>
        <v>5880</v>
      </c>
      <c r="E119" s="127">
        <f t="shared" si="19"/>
        <v>210</v>
      </c>
      <c r="F119" s="127">
        <f t="shared" si="19"/>
        <v>44</v>
      </c>
      <c r="G119" s="26">
        <f t="shared" si="19"/>
        <v>6134</v>
      </c>
      <c r="H119" s="172">
        <f t="shared" si="20"/>
        <v>0.95859145745027718</v>
      </c>
      <c r="I119" s="243">
        <f>IF(G119&lt;&gt;"",AVERAGE(G117:G119)*8,"-")</f>
        <v>49320</v>
      </c>
      <c r="J119" s="244"/>
      <c r="K119" s="98">
        <f>M15+M28+M41+M54+M67</f>
        <v>0</v>
      </c>
      <c r="L119" s="37"/>
      <c r="M119" s="37"/>
      <c r="N119" s="37"/>
      <c r="O119" s="35"/>
      <c r="P119" s="35"/>
      <c r="Q119" s="154"/>
      <c r="R119" s="133"/>
      <c r="S119" s="189"/>
      <c r="T119" s="209"/>
      <c r="U119" s="209"/>
      <c r="V119" s="209"/>
      <c r="W119" s="190"/>
      <c r="X119" s="190"/>
      <c r="Y119" s="190"/>
      <c r="Z119" s="190"/>
      <c r="AA119" s="190"/>
      <c r="AB119" s="190"/>
      <c r="AC119" s="190"/>
      <c r="AD119" s="190"/>
      <c r="AE119" s="190"/>
      <c r="AF119" s="190"/>
      <c r="AG119" s="190"/>
      <c r="AH119" s="190"/>
      <c r="AI119" s="190"/>
      <c r="AJ119" s="190"/>
      <c r="AK119" s="190"/>
      <c r="AL119" s="191"/>
    </row>
    <row r="120" spans="1:39" ht="15" customHeight="1">
      <c r="A120" s="30"/>
      <c r="B120" s="147"/>
      <c r="C120" s="28">
        <v>4</v>
      </c>
      <c r="D120" s="127">
        <f>G16+G29+G42+G55+G68+G81+G94+G107</f>
        <v>6336</v>
      </c>
      <c r="E120" s="127">
        <f t="shared" si="19"/>
        <v>340</v>
      </c>
      <c r="F120" s="127">
        <f t="shared" si="19"/>
        <v>67</v>
      </c>
      <c r="G120" s="26">
        <f t="shared" si="19"/>
        <v>6743</v>
      </c>
      <c r="H120" s="172">
        <f t="shared" si="20"/>
        <v>0.93964110929853184</v>
      </c>
      <c r="I120" s="243">
        <f>IF(G120&lt;&gt;"",AVERAGE(G117:G120)*8,"-")</f>
        <v>50476</v>
      </c>
      <c r="J120" s="244"/>
      <c r="K120" s="98">
        <f>M16+M29+M42+M55+M68</f>
        <v>10</v>
      </c>
      <c r="L120" s="37"/>
      <c r="M120" s="37"/>
      <c r="N120" s="37"/>
      <c r="O120" s="35"/>
      <c r="P120" s="35"/>
      <c r="Q120" s="154"/>
      <c r="R120" s="133"/>
      <c r="S120" s="189"/>
      <c r="T120" s="209"/>
      <c r="U120" s="209"/>
      <c r="V120" s="209"/>
      <c r="W120" s="190"/>
      <c r="X120" s="190"/>
      <c r="Y120" s="190"/>
      <c r="Z120" s="190"/>
      <c r="AA120" s="190"/>
      <c r="AB120" s="190"/>
      <c r="AC120" s="190"/>
      <c r="AD120" s="190"/>
      <c r="AE120" s="190"/>
      <c r="AF120" s="190"/>
      <c r="AG120" s="190"/>
      <c r="AH120" s="190"/>
      <c r="AI120" s="190"/>
      <c r="AJ120" s="190"/>
      <c r="AK120" s="190"/>
      <c r="AL120" s="191"/>
    </row>
    <row r="121" spans="1:39" ht="15" customHeight="1">
      <c r="A121" s="30"/>
      <c r="B121" s="147"/>
      <c r="C121" s="28">
        <v>5</v>
      </c>
      <c r="D121" s="127">
        <f t="shared" si="19"/>
        <v>6168</v>
      </c>
      <c r="E121" s="127">
        <f t="shared" si="19"/>
        <v>370</v>
      </c>
      <c r="F121" s="127">
        <f t="shared" si="19"/>
        <v>94</v>
      </c>
      <c r="G121" s="26">
        <f t="shared" si="19"/>
        <v>6632</v>
      </c>
      <c r="H121" s="172">
        <f t="shared" si="20"/>
        <v>0.9300361881785284</v>
      </c>
      <c r="I121" s="243">
        <f>IF(G121&lt;&gt;"",AVERAGE(G117:G121)*8,"-")</f>
        <v>50992</v>
      </c>
      <c r="J121" s="244"/>
      <c r="K121" s="98">
        <f t="shared" si="21"/>
        <v>0</v>
      </c>
      <c r="L121" s="37"/>
      <c r="M121" s="37"/>
      <c r="N121" s="37"/>
      <c r="O121" s="35"/>
      <c r="P121" s="35"/>
      <c r="Q121" s="154"/>
      <c r="R121" s="133"/>
      <c r="S121" s="189"/>
      <c r="T121" s="209"/>
      <c r="U121" s="209"/>
      <c r="V121" s="209"/>
      <c r="W121" s="190"/>
      <c r="X121" s="190"/>
      <c r="Y121" s="190"/>
      <c r="Z121" s="190"/>
      <c r="AA121" s="190"/>
      <c r="AB121" s="190"/>
      <c r="AC121" s="190"/>
      <c r="AD121" s="190"/>
      <c r="AE121" s="190"/>
      <c r="AF121" s="190"/>
      <c r="AG121" s="190"/>
      <c r="AH121" s="190"/>
      <c r="AI121" s="190"/>
      <c r="AJ121" s="190"/>
      <c r="AK121" s="190"/>
      <c r="AL121" s="191"/>
    </row>
    <row r="122" spans="1:39" ht="15" customHeight="1">
      <c r="A122" s="30"/>
      <c r="B122" s="147"/>
      <c r="C122" s="28">
        <v>6</v>
      </c>
      <c r="D122" s="127">
        <f t="shared" si="19"/>
        <v>6264</v>
      </c>
      <c r="E122" s="127">
        <f t="shared" si="19"/>
        <v>230</v>
      </c>
      <c r="F122" s="127">
        <f t="shared" si="19"/>
        <v>90</v>
      </c>
      <c r="G122" s="26">
        <f t="shared" si="19"/>
        <v>6584</v>
      </c>
      <c r="H122" s="172">
        <f t="shared" si="20"/>
        <v>0.95139732685297695</v>
      </c>
      <c r="I122" s="243">
        <f>IF(G122&lt;&gt;"",AVERAGE(G117:G122)*8,"-")</f>
        <v>51272</v>
      </c>
      <c r="J122" s="244"/>
      <c r="K122" s="98">
        <f t="shared" si="21"/>
        <v>15</v>
      </c>
      <c r="L122" s="37"/>
      <c r="M122" s="37"/>
      <c r="N122" s="37"/>
      <c r="O122" s="35"/>
      <c r="P122" s="35"/>
      <c r="Q122" s="154"/>
      <c r="R122" s="133"/>
      <c r="S122" s="189"/>
      <c r="T122" s="209"/>
      <c r="U122" s="209"/>
      <c r="V122" s="209"/>
      <c r="W122" s="190"/>
      <c r="X122" s="190"/>
      <c r="Y122" s="190"/>
      <c r="Z122" s="190"/>
      <c r="AA122" s="190"/>
      <c r="AB122" s="190"/>
      <c r="AC122" s="190"/>
      <c r="AD122" s="190"/>
      <c r="AE122" s="190"/>
      <c r="AF122" s="190"/>
      <c r="AG122" s="190"/>
      <c r="AH122" s="190"/>
      <c r="AI122" s="190"/>
      <c r="AJ122" s="190"/>
      <c r="AK122" s="190"/>
      <c r="AL122" s="191"/>
    </row>
    <row r="123" spans="1:39" ht="15" customHeight="1">
      <c r="A123" s="30"/>
      <c r="B123" s="147"/>
      <c r="C123" s="28">
        <v>7</v>
      </c>
      <c r="D123" s="127">
        <f>G19+G32+G45+G58+G71+G84+G97+G110</f>
        <v>5664</v>
      </c>
      <c r="E123" s="127">
        <f>H19+H31+H45+H58+H71+H84+H97+H110</f>
        <v>250</v>
      </c>
      <c r="F123" s="127">
        <f t="shared" si="19"/>
        <v>59</v>
      </c>
      <c r="G123" s="26">
        <f t="shared" si="19"/>
        <v>5973</v>
      </c>
      <c r="H123" s="172">
        <f t="shared" si="20"/>
        <v>0.94826720241084883</v>
      </c>
      <c r="I123" s="243">
        <f>IF(G123&lt;&gt;"",AVERAGE(G117:G123)*8,"-")</f>
        <v>50773.714285714283</v>
      </c>
      <c r="J123" s="244"/>
      <c r="K123" s="98">
        <f t="shared" si="21"/>
        <v>35</v>
      </c>
      <c r="L123" s="37"/>
      <c r="M123" s="37"/>
      <c r="N123" s="37"/>
      <c r="O123" s="35"/>
      <c r="P123" s="35"/>
      <c r="Q123" s="154"/>
      <c r="R123" s="133"/>
      <c r="S123" s="189"/>
      <c r="T123" s="209"/>
      <c r="U123" s="209"/>
      <c r="V123" s="209"/>
      <c r="W123" s="190"/>
      <c r="X123" s="190"/>
      <c r="Y123" s="190"/>
      <c r="Z123" s="190"/>
      <c r="AA123" s="190"/>
      <c r="AB123" s="190"/>
      <c r="AC123" s="190"/>
      <c r="AD123" s="190"/>
      <c r="AE123" s="190"/>
      <c r="AF123" s="190"/>
      <c r="AG123" s="190"/>
      <c r="AH123" s="190"/>
      <c r="AI123" s="190"/>
      <c r="AJ123" s="190"/>
      <c r="AK123" s="190"/>
      <c r="AL123" s="191"/>
    </row>
    <row r="124" spans="1:39" ht="15" customHeight="1">
      <c r="A124" s="30"/>
      <c r="B124" s="147"/>
      <c r="C124" s="233">
        <v>8</v>
      </c>
      <c r="D124" s="88">
        <f>G20+G33+G46+G59+G72+G85+G98+G111</f>
        <v>5978</v>
      </c>
      <c r="E124" s="88">
        <f>H20+H32+H46+H59+H72+H85+H98+H111</f>
        <v>130</v>
      </c>
      <c r="F124" s="88">
        <f>I20+I32+I46+I59+I72+I85+I98+I111</f>
        <v>67</v>
      </c>
      <c r="G124" s="235">
        <f t="shared" si="19"/>
        <v>6185</v>
      </c>
      <c r="H124" s="192">
        <f t="shared" si="20"/>
        <v>0.9665319320937753</v>
      </c>
      <c r="I124" s="245">
        <f>IF(G124&lt;&gt;"",AVERAGE(G117:G124)*8,"-")</f>
        <v>50612</v>
      </c>
      <c r="J124" s="246"/>
      <c r="K124" s="99">
        <f t="shared" si="21"/>
        <v>30</v>
      </c>
      <c r="L124" s="37"/>
      <c r="M124" s="37"/>
      <c r="N124" s="37"/>
      <c r="O124" s="35"/>
      <c r="P124" s="35"/>
      <c r="Q124" s="154"/>
      <c r="R124" s="133"/>
      <c r="S124" s="189"/>
      <c r="T124" s="209"/>
      <c r="U124" s="209"/>
      <c r="V124" s="209"/>
      <c r="W124" s="190"/>
      <c r="X124" s="190"/>
      <c r="Y124" s="190"/>
      <c r="Z124" s="190"/>
      <c r="AA124" s="190"/>
      <c r="AB124" s="190"/>
      <c r="AC124" s="190"/>
      <c r="AD124" s="190"/>
      <c r="AE124" s="190"/>
      <c r="AF124" s="190"/>
      <c r="AG124" s="190"/>
      <c r="AH124" s="190"/>
      <c r="AI124" s="190"/>
      <c r="AJ124" s="190"/>
      <c r="AK124" s="190"/>
      <c r="AL124" s="191"/>
    </row>
    <row r="125" spans="1:39" ht="15" customHeight="1" thickBot="1">
      <c r="A125" s="30"/>
      <c r="B125" s="147"/>
      <c r="C125" s="193" t="s">
        <v>7</v>
      </c>
      <c r="D125" s="129">
        <f>SUM(D117:D124)</f>
        <v>47618</v>
      </c>
      <c r="E125" s="25">
        <f>SUM(E117:E124)</f>
        <v>2410</v>
      </c>
      <c r="F125" s="129">
        <f>SUM(F117:F124)</f>
        <v>574</v>
      </c>
      <c r="G125" s="25">
        <f>SUM(G117:G124)</f>
        <v>50612</v>
      </c>
      <c r="H125" s="194">
        <f t="shared" si="20"/>
        <v>0.94084406860033198</v>
      </c>
      <c r="I125" s="247"/>
      <c r="J125" s="248"/>
      <c r="K125" s="27">
        <f>SUM(K117:K124)</f>
        <v>175</v>
      </c>
      <c r="L125" s="37"/>
      <c r="M125" s="37"/>
      <c r="N125" s="37"/>
      <c r="O125" s="35"/>
      <c r="P125" s="35"/>
      <c r="Q125" s="154"/>
      <c r="R125" s="133"/>
      <c r="S125" s="189"/>
      <c r="T125" s="209"/>
      <c r="U125" s="209"/>
      <c r="V125" s="209"/>
      <c r="W125" s="190"/>
      <c r="X125" s="190"/>
      <c r="Y125" s="190"/>
      <c r="Z125" s="190"/>
      <c r="AA125" s="190"/>
      <c r="AB125" s="190"/>
      <c r="AC125" s="190"/>
      <c r="AD125" s="190"/>
      <c r="AE125" s="190"/>
      <c r="AF125" s="190"/>
      <c r="AG125" s="190"/>
      <c r="AH125" s="190"/>
      <c r="AI125" s="190"/>
      <c r="AJ125" s="190"/>
      <c r="AK125" s="190"/>
      <c r="AL125" s="191"/>
    </row>
    <row r="126" spans="1:39" ht="15.75" customHeight="1" thickBot="1">
      <c r="A126" s="30"/>
      <c r="B126" s="195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196"/>
      <c r="R126" s="133"/>
      <c r="S126" s="197"/>
      <c r="T126" s="198"/>
      <c r="U126" s="198"/>
      <c r="V126" s="198"/>
      <c r="W126" s="198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  <c r="AI126" s="198"/>
      <c r="AJ126" s="198"/>
      <c r="AK126" s="198"/>
      <c r="AL126" s="199"/>
    </row>
    <row r="127" spans="1:39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133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</row>
    <row r="128" spans="1:39">
      <c r="A128" s="30"/>
      <c r="B128" s="30"/>
      <c r="C128" s="200" t="s">
        <v>64</v>
      </c>
      <c r="D128" s="20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133"/>
      <c r="AI128" s="133"/>
      <c r="AJ128" s="133"/>
      <c r="AK128" s="133"/>
      <c r="AL128" s="133"/>
    </row>
    <row r="129" spans="1:40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133"/>
      <c r="S129" s="133"/>
      <c r="T129" s="133"/>
      <c r="U129" s="133"/>
      <c r="V129" s="133"/>
      <c r="W129" s="133"/>
      <c r="X129" s="201"/>
      <c r="Y129" s="133"/>
      <c r="Z129" s="133"/>
      <c r="AA129" s="133"/>
      <c r="AB129" s="133"/>
      <c r="AC129" s="133"/>
      <c r="AD129" s="133"/>
      <c r="AE129" s="133"/>
      <c r="AF129" s="133"/>
      <c r="AG129" s="133"/>
      <c r="AH129" s="133"/>
      <c r="AI129" s="133"/>
      <c r="AJ129" s="133"/>
      <c r="AK129" s="133"/>
      <c r="AL129" s="133"/>
    </row>
    <row r="130" spans="1:40" ht="15" customHeight="1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133"/>
      <c r="S130" s="133"/>
      <c r="T130" s="230"/>
      <c r="U130" s="133"/>
      <c r="V130" s="133"/>
      <c r="W130" s="133"/>
      <c r="X130" s="61"/>
      <c r="Y130" s="133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3"/>
      <c r="AJ130" s="133"/>
      <c r="AK130" s="133"/>
      <c r="AL130" s="133"/>
    </row>
    <row r="131" spans="1:40" ht="15" customHeight="1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133"/>
      <c r="S131" s="133"/>
      <c r="T131" s="230"/>
      <c r="U131" s="201"/>
      <c r="V131" s="201"/>
      <c r="W131" s="201"/>
      <c r="X131" s="63"/>
      <c r="Y131" s="201"/>
      <c r="Z131" s="201"/>
      <c r="AA131" s="201"/>
      <c r="AB131" s="133"/>
      <c r="AC131" s="133"/>
      <c r="AD131" s="133"/>
      <c r="AE131" s="133"/>
      <c r="AF131" s="133"/>
      <c r="AG131" s="133"/>
      <c r="AH131" s="133"/>
      <c r="AI131" s="133"/>
      <c r="AJ131" s="133"/>
      <c r="AK131" s="133"/>
      <c r="AL131" s="133"/>
    </row>
    <row r="132" spans="1:40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133"/>
      <c r="S132" s="133"/>
      <c r="T132" s="61"/>
      <c r="U132" s="61"/>
      <c r="V132" s="61"/>
      <c r="W132" s="61"/>
      <c r="X132" s="63"/>
      <c r="Y132" s="61"/>
      <c r="Z132" s="61"/>
      <c r="AA132" s="61"/>
      <c r="AB132" s="61"/>
      <c r="AC132" s="133"/>
      <c r="AD132" s="133"/>
      <c r="AE132" s="133"/>
      <c r="AF132" s="133"/>
      <c r="AG132" s="133"/>
      <c r="AH132" s="133"/>
      <c r="AI132" s="133"/>
      <c r="AJ132" s="133"/>
      <c r="AK132" s="133"/>
      <c r="AL132" s="133"/>
    </row>
    <row r="133" spans="1:40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133"/>
      <c r="S133" s="133"/>
      <c r="T133" s="63"/>
      <c r="U133" s="63"/>
      <c r="V133" s="91"/>
      <c r="W133" s="91"/>
      <c r="X133" s="63"/>
      <c r="Y133" s="63"/>
      <c r="Z133" s="63"/>
      <c r="AA133" s="63"/>
      <c r="AB133" s="64"/>
      <c r="AC133" s="133"/>
      <c r="AD133" s="133"/>
      <c r="AE133" s="133"/>
      <c r="AF133" s="133"/>
      <c r="AG133" s="133"/>
      <c r="AH133" s="133"/>
      <c r="AI133" s="133"/>
      <c r="AJ133" s="133"/>
      <c r="AK133" s="133"/>
      <c r="AL133" s="133"/>
    </row>
    <row r="134" spans="1:40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133"/>
      <c r="S134" s="133"/>
      <c r="T134" s="63"/>
      <c r="U134" s="63"/>
      <c r="V134" s="91"/>
      <c r="W134" s="91"/>
      <c r="X134" s="63"/>
      <c r="Y134" s="63"/>
      <c r="Z134" s="63"/>
      <c r="AA134" s="63"/>
      <c r="AB134" s="64"/>
      <c r="AC134" s="133"/>
      <c r="AD134" s="133"/>
      <c r="AE134" s="133"/>
      <c r="AF134" s="133"/>
      <c r="AG134" s="133"/>
      <c r="AH134" s="133"/>
      <c r="AI134" s="133"/>
      <c r="AJ134" s="133"/>
      <c r="AK134" s="133"/>
      <c r="AL134" s="133"/>
    </row>
    <row r="135" spans="1:40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133"/>
      <c r="S135" s="133"/>
      <c r="T135" s="63"/>
      <c r="U135" s="63"/>
      <c r="V135" s="91"/>
      <c r="W135" s="91"/>
      <c r="X135" s="63"/>
      <c r="Y135" s="63"/>
      <c r="Z135" s="63"/>
      <c r="AA135" s="63"/>
      <c r="AB135" s="64"/>
      <c r="AC135" s="133"/>
      <c r="AD135" s="133"/>
      <c r="AE135" s="133"/>
      <c r="AF135" s="133"/>
      <c r="AG135" s="133"/>
      <c r="AH135" s="133"/>
      <c r="AI135" s="133"/>
      <c r="AJ135" s="133"/>
      <c r="AK135" s="133"/>
      <c r="AL135" s="133"/>
    </row>
    <row r="136" spans="1:40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133"/>
      <c r="S136" s="133"/>
      <c r="T136" s="63"/>
      <c r="U136" s="63"/>
      <c r="V136" s="91"/>
      <c r="W136" s="91"/>
      <c r="X136" s="63"/>
      <c r="Y136" s="63"/>
      <c r="Z136" s="63"/>
      <c r="AA136" s="63"/>
      <c r="AB136" s="64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</row>
    <row r="137" spans="1:40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133"/>
      <c r="S137" s="133"/>
      <c r="T137" s="63"/>
      <c r="U137" s="63"/>
      <c r="V137" s="91"/>
      <c r="W137" s="91"/>
      <c r="X137" s="63"/>
      <c r="Y137" s="63"/>
      <c r="Z137" s="63"/>
      <c r="AA137" s="63"/>
      <c r="AB137" s="64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</row>
    <row r="138" spans="1:40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133"/>
      <c r="S138" s="133"/>
      <c r="T138" s="63"/>
      <c r="U138" s="63"/>
      <c r="V138" s="91"/>
      <c r="W138" s="91"/>
      <c r="X138" s="63"/>
      <c r="Y138" s="63"/>
      <c r="Z138" s="63"/>
      <c r="AA138" s="63"/>
      <c r="AB138" s="64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</row>
    <row r="139" spans="1:40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133"/>
      <c r="S139" s="133"/>
      <c r="T139" s="63"/>
      <c r="U139" s="63"/>
      <c r="V139" s="91"/>
      <c r="W139" s="91"/>
      <c r="X139" s="61"/>
      <c r="Y139" s="63"/>
      <c r="Z139" s="63"/>
      <c r="AA139" s="63"/>
      <c r="AB139" s="64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</row>
    <row r="140" spans="1:40" s="134" customFormat="1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133"/>
      <c r="S140" s="133"/>
      <c r="T140" s="63"/>
      <c r="U140" s="63"/>
      <c r="V140" s="91"/>
      <c r="W140" s="91"/>
      <c r="X140" s="133"/>
      <c r="Y140" s="63"/>
      <c r="Z140" s="63"/>
      <c r="AA140" s="63"/>
      <c r="AB140" s="64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30"/>
      <c r="AN140" s="30"/>
    </row>
    <row r="141" spans="1:40" s="134" customFormat="1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133"/>
      <c r="S141" s="133"/>
      <c r="T141" s="61"/>
      <c r="U141" s="61"/>
      <c r="V141" s="61"/>
      <c r="W141" s="61"/>
      <c r="X141" s="133"/>
      <c r="Y141" s="61"/>
      <c r="Z141" s="61"/>
      <c r="AA141" s="61"/>
      <c r="AB141" s="65"/>
      <c r="AC141" s="133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30"/>
      <c r="AN141" s="30"/>
    </row>
    <row r="142" spans="1:40" s="134" customFormat="1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133"/>
      <c r="S142" s="133"/>
      <c r="T142" s="133"/>
      <c r="U142" s="133"/>
      <c r="V142" s="133"/>
      <c r="W142" s="133"/>
      <c r="X142" s="201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30"/>
      <c r="AN142" s="30"/>
    </row>
    <row r="143" spans="1:40" s="134" customFormat="1" ht="15" customHeight="1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133"/>
      <c r="S143" s="133"/>
      <c r="T143" s="230"/>
      <c r="U143" s="133"/>
      <c r="V143" s="133"/>
      <c r="W143" s="133"/>
      <c r="X143" s="61"/>
      <c r="Y143" s="133"/>
      <c r="Z143" s="133"/>
      <c r="AA143" s="133"/>
      <c r="AB143" s="133"/>
      <c r="AC143" s="133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30"/>
      <c r="AN143" s="30"/>
    </row>
    <row r="144" spans="1:40" s="134" customFormat="1" ht="15" customHeight="1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133"/>
      <c r="S144" s="133"/>
      <c r="T144" s="230"/>
      <c r="U144" s="202"/>
      <c r="V144" s="201"/>
      <c r="W144" s="201"/>
      <c r="X144" s="66"/>
      <c r="Y144" s="201"/>
      <c r="Z144" s="201"/>
      <c r="AA144" s="201"/>
      <c r="AB144" s="201"/>
      <c r="AC144" s="133"/>
      <c r="AD144" s="133"/>
      <c r="AE144" s="133"/>
      <c r="AF144" s="133"/>
      <c r="AG144" s="133"/>
      <c r="AH144" s="133"/>
      <c r="AI144" s="133"/>
      <c r="AJ144" s="133"/>
      <c r="AK144" s="133"/>
      <c r="AL144" s="133"/>
      <c r="AM144" s="30"/>
      <c r="AN144" s="30"/>
    </row>
    <row r="145" spans="1:40" s="134" customFormat="1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133"/>
      <c r="S145" s="133"/>
      <c r="T145" s="61"/>
      <c r="U145" s="61"/>
      <c r="V145" s="61"/>
      <c r="W145" s="61"/>
      <c r="X145" s="66"/>
      <c r="Y145" s="61"/>
      <c r="Z145" s="61"/>
      <c r="AA145" s="61"/>
      <c r="AB145" s="61"/>
      <c r="AC145" s="133"/>
      <c r="AD145" s="133"/>
      <c r="AE145" s="133"/>
      <c r="AF145" s="133"/>
      <c r="AG145" s="133"/>
      <c r="AH145" s="133"/>
      <c r="AI145" s="133"/>
      <c r="AJ145" s="133"/>
      <c r="AK145" s="133"/>
      <c r="AL145" s="133"/>
      <c r="AM145" s="30"/>
      <c r="AN145" s="30"/>
    </row>
    <row r="146" spans="1:40" s="134" customFormat="1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133"/>
      <c r="S146" s="133"/>
      <c r="T146" s="66"/>
      <c r="U146" s="66"/>
      <c r="V146" s="92"/>
      <c r="W146" s="92"/>
      <c r="X146" s="66"/>
      <c r="Y146" s="66"/>
      <c r="Z146" s="66"/>
      <c r="AA146" s="66"/>
      <c r="AB146" s="67"/>
      <c r="AC146" s="133"/>
      <c r="AD146" s="133"/>
      <c r="AE146" s="133"/>
      <c r="AF146" s="133"/>
      <c r="AG146" s="133"/>
      <c r="AH146" s="133"/>
      <c r="AI146" s="133"/>
      <c r="AJ146" s="133"/>
      <c r="AK146" s="133"/>
      <c r="AL146" s="133"/>
      <c r="AM146" s="30"/>
      <c r="AN146" s="30"/>
    </row>
    <row r="147" spans="1:40" s="134" customFormat="1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133"/>
      <c r="S147" s="133"/>
      <c r="T147" s="66"/>
      <c r="U147" s="66"/>
      <c r="V147" s="92"/>
      <c r="W147" s="92"/>
      <c r="X147" s="66"/>
      <c r="Y147" s="66"/>
      <c r="Z147" s="66"/>
      <c r="AA147" s="66"/>
      <c r="AB147" s="67"/>
      <c r="AC147" s="133"/>
      <c r="AD147" s="133"/>
      <c r="AE147" s="133"/>
      <c r="AF147" s="133"/>
      <c r="AG147" s="133"/>
      <c r="AH147" s="133"/>
      <c r="AI147" s="133"/>
      <c r="AJ147" s="133"/>
      <c r="AK147" s="133"/>
      <c r="AL147" s="133"/>
      <c r="AM147" s="30"/>
      <c r="AN147" s="30"/>
    </row>
    <row r="148" spans="1:40" s="134" customFormat="1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133"/>
      <c r="S148" s="133"/>
      <c r="T148" s="66"/>
      <c r="U148" s="66"/>
      <c r="V148" s="92"/>
      <c r="W148" s="92"/>
      <c r="X148" s="66"/>
      <c r="Y148" s="66"/>
      <c r="Z148" s="66"/>
      <c r="AA148" s="66"/>
      <c r="AB148" s="67"/>
      <c r="AC148" s="133"/>
      <c r="AD148" s="133"/>
      <c r="AE148" s="133"/>
      <c r="AF148" s="133"/>
      <c r="AG148" s="133"/>
      <c r="AH148" s="133"/>
      <c r="AI148" s="133"/>
      <c r="AJ148" s="133"/>
      <c r="AK148" s="133"/>
      <c r="AL148" s="133"/>
      <c r="AM148" s="30"/>
      <c r="AN148" s="30"/>
    </row>
    <row r="149" spans="1:40" s="134" customFormat="1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133"/>
      <c r="S149" s="133"/>
      <c r="T149" s="66"/>
      <c r="U149" s="66"/>
      <c r="V149" s="92"/>
      <c r="W149" s="92"/>
      <c r="X149" s="66"/>
      <c r="Y149" s="66"/>
      <c r="Z149" s="66"/>
      <c r="AA149" s="66"/>
      <c r="AB149" s="67"/>
      <c r="AC149" s="133"/>
      <c r="AD149" s="133"/>
      <c r="AE149" s="133"/>
      <c r="AF149" s="133"/>
      <c r="AG149" s="133"/>
      <c r="AH149" s="133"/>
      <c r="AI149" s="133"/>
      <c r="AJ149" s="133"/>
      <c r="AK149" s="133"/>
      <c r="AL149" s="133"/>
      <c r="AM149" s="30"/>
      <c r="AN149" s="30"/>
    </row>
    <row r="150" spans="1:40" s="134" customFormat="1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133"/>
      <c r="S150" s="133"/>
      <c r="T150" s="66"/>
      <c r="U150" s="66"/>
      <c r="V150" s="92"/>
      <c r="W150" s="92"/>
      <c r="X150" s="66"/>
      <c r="Y150" s="66"/>
      <c r="Z150" s="66"/>
      <c r="AA150" s="66"/>
      <c r="AB150" s="67"/>
      <c r="AC150" s="133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30"/>
      <c r="AN150" s="30"/>
    </row>
    <row r="151" spans="1:40" s="134" customFormat="1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133"/>
      <c r="S151" s="133"/>
      <c r="T151" s="66"/>
      <c r="U151" s="66"/>
      <c r="V151" s="92"/>
      <c r="W151" s="92"/>
      <c r="X151" s="66"/>
      <c r="Y151" s="66"/>
      <c r="Z151" s="66"/>
      <c r="AA151" s="66"/>
      <c r="AB151" s="67"/>
      <c r="AC151" s="133"/>
      <c r="AD151" s="133"/>
      <c r="AE151" s="133"/>
      <c r="AF151" s="133"/>
      <c r="AG151" s="133"/>
      <c r="AH151" s="133"/>
      <c r="AI151" s="133"/>
      <c r="AJ151" s="133"/>
      <c r="AK151" s="133"/>
      <c r="AL151" s="133"/>
      <c r="AM151" s="30"/>
      <c r="AN151" s="30"/>
    </row>
    <row r="152" spans="1:40" s="134" customFormat="1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133"/>
      <c r="S152" s="133"/>
      <c r="T152" s="66"/>
      <c r="U152" s="66"/>
      <c r="V152" s="92"/>
      <c r="W152" s="92"/>
      <c r="X152" s="61"/>
      <c r="Y152" s="66"/>
      <c r="Z152" s="66"/>
      <c r="AA152" s="66"/>
      <c r="AB152" s="67"/>
      <c r="AC152" s="133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30"/>
      <c r="AN152" s="30"/>
    </row>
    <row r="153" spans="1:40" s="134" customFormat="1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133"/>
      <c r="S153" s="133"/>
      <c r="T153" s="66"/>
      <c r="U153" s="66"/>
      <c r="V153" s="92"/>
      <c r="W153" s="92"/>
      <c r="X153" s="133"/>
      <c r="Y153" s="66"/>
      <c r="Z153" s="66"/>
      <c r="AA153" s="66"/>
      <c r="AB153" s="67"/>
      <c r="AC153" s="133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30"/>
      <c r="AN153" s="30"/>
    </row>
    <row r="154" spans="1:40" s="134" customFormat="1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133"/>
      <c r="S154" s="133"/>
      <c r="T154" s="61"/>
      <c r="U154" s="61"/>
      <c r="V154" s="61"/>
      <c r="W154" s="61"/>
      <c r="X154" s="133"/>
      <c r="Y154" s="61"/>
      <c r="Z154" s="61"/>
      <c r="AA154" s="61"/>
      <c r="AB154" s="65"/>
      <c r="AC154" s="133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30"/>
      <c r="AN154" s="30"/>
    </row>
    <row r="155" spans="1:40" s="134" customFormat="1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133"/>
      <c r="S155" s="133"/>
      <c r="T155" s="133"/>
      <c r="U155" s="133"/>
      <c r="V155" s="133"/>
      <c r="W155" s="133"/>
      <c r="X155" s="201"/>
      <c r="Y155" s="133"/>
      <c r="Z155" s="133"/>
      <c r="AA155" s="133"/>
      <c r="AB155" s="133"/>
      <c r="AC155" s="133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30"/>
      <c r="AN155" s="30"/>
    </row>
    <row r="156" spans="1:40" s="134" customFormat="1" ht="15" customHeight="1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133"/>
      <c r="S156" s="133"/>
      <c r="T156" s="230"/>
      <c r="U156" s="230"/>
      <c r="V156" s="133"/>
      <c r="W156" s="133"/>
      <c r="X156" s="61"/>
      <c r="Y156" s="133"/>
      <c r="Z156" s="133"/>
      <c r="AA156" s="133"/>
      <c r="AB156" s="133"/>
      <c r="AC156" s="133"/>
      <c r="AD156" s="133"/>
      <c r="AE156" s="133"/>
      <c r="AF156" s="133"/>
      <c r="AG156" s="133"/>
      <c r="AH156" s="133"/>
      <c r="AI156" s="133"/>
      <c r="AJ156" s="133"/>
      <c r="AK156" s="133"/>
      <c r="AL156" s="133"/>
      <c r="AM156" s="30"/>
      <c r="AN156" s="30"/>
    </row>
    <row r="157" spans="1:40" s="134" customFormat="1" ht="15" customHeight="1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133"/>
      <c r="S157" s="133"/>
      <c r="T157" s="230"/>
      <c r="U157" s="230"/>
      <c r="V157" s="201"/>
      <c r="W157" s="201"/>
      <c r="X157" s="63"/>
      <c r="Y157" s="201"/>
      <c r="Z157" s="201"/>
      <c r="AA157" s="201"/>
      <c r="AB157" s="133"/>
      <c r="AC157" s="133"/>
      <c r="AD157" s="133"/>
      <c r="AE157" s="133"/>
      <c r="AF157" s="133"/>
      <c r="AG157" s="133"/>
      <c r="AH157" s="133"/>
      <c r="AI157" s="133"/>
      <c r="AJ157" s="133"/>
      <c r="AK157" s="133"/>
      <c r="AL157" s="133"/>
      <c r="AM157" s="30"/>
      <c r="AN157" s="30"/>
    </row>
    <row r="158" spans="1:40" s="134" customFormat="1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133"/>
      <c r="S158" s="133"/>
      <c r="T158" s="61"/>
      <c r="U158" s="61"/>
      <c r="V158" s="61"/>
      <c r="W158" s="61"/>
      <c r="X158" s="63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133"/>
      <c r="AM158" s="30" t="s">
        <v>83</v>
      </c>
      <c r="AN158" s="30"/>
    </row>
    <row r="159" spans="1:40" s="134" customFormat="1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133"/>
      <c r="S159" s="133"/>
      <c r="T159" s="63"/>
      <c r="U159" s="63"/>
      <c r="V159" s="63"/>
      <c r="W159" s="63"/>
      <c r="X159" s="63"/>
      <c r="Y159" s="63"/>
      <c r="Z159" s="63"/>
      <c r="AA159" s="63"/>
      <c r="AB159" s="64"/>
      <c r="AC159" s="64"/>
      <c r="AD159" s="64"/>
      <c r="AE159" s="63"/>
      <c r="AF159" s="63"/>
      <c r="AG159" s="64"/>
      <c r="AH159" s="64"/>
      <c r="AI159" s="64"/>
      <c r="AJ159" s="64"/>
      <c r="AK159" s="64"/>
      <c r="AL159" s="133"/>
      <c r="AM159" s="30"/>
      <c r="AN159" s="30"/>
    </row>
    <row r="160" spans="1:40" s="134" customFormat="1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133"/>
      <c r="S160" s="133"/>
      <c r="T160" s="63"/>
      <c r="U160" s="63"/>
      <c r="V160" s="63"/>
      <c r="W160" s="63"/>
      <c r="X160" s="63"/>
      <c r="Y160" s="63"/>
      <c r="Z160" s="63"/>
      <c r="AA160" s="63"/>
      <c r="AB160" s="64"/>
      <c r="AC160" s="64"/>
      <c r="AD160" s="64"/>
      <c r="AE160" s="63"/>
      <c r="AF160" s="63"/>
      <c r="AG160" s="64"/>
      <c r="AH160" s="64"/>
      <c r="AI160" s="64"/>
      <c r="AJ160" s="64"/>
      <c r="AK160" s="64"/>
      <c r="AL160" s="133"/>
      <c r="AM160" s="30"/>
      <c r="AN160" s="30"/>
    </row>
    <row r="161" spans="1:40" s="134" customFormat="1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133"/>
      <c r="S161" s="133"/>
      <c r="T161" s="63"/>
      <c r="U161" s="63"/>
      <c r="V161" s="91"/>
      <c r="W161" s="91"/>
      <c r="X161" s="63"/>
      <c r="Y161" s="63"/>
      <c r="Z161" s="63"/>
      <c r="AA161" s="63"/>
      <c r="AB161" s="64"/>
      <c r="AC161" s="64"/>
      <c r="AD161" s="64"/>
      <c r="AE161" s="63"/>
      <c r="AF161" s="63"/>
      <c r="AG161" s="64"/>
      <c r="AH161" s="64"/>
      <c r="AI161" s="64"/>
      <c r="AJ161" s="64"/>
      <c r="AK161" s="64"/>
      <c r="AL161" s="133"/>
      <c r="AM161" s="30"/>
      <c r="AN161" s="30"/>
    </row>
    <row r="162" spans="1:40" s="134" customFormat="1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133"/>
      <c r="S162" s="133"/>
      <c r="T162" s="63"/>
      <c r="U162" s="63"/>
      <c r="V162" s="63"/>
      <c r="W162" s="63"/>
      <c r="X162" s="63"/>
      <c r="Y162" s="63"/>
      <c r="Z162" s="63"/>
      <c r="AA162" s="63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133"/>
      <c r="AM162" s="30"/>
      <c r="AN162" s="30"/>
    </row>
    <row r="163" spans="1:40" s="134" customFormat="1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133"/>
      <c r="S163" s="133"/>
      <c r="T163" s="61"/>
      <c r="U163" s="63"/>
      <c r="V163" s="63"/>
      <c r="W163" s="63"/>
      <c r="X163" s="63"/>
      <c r="Y163" s="63"/>
      <c r="Z163" s="63"/>
      <c r="AA163" s="63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133"/>
      <c r="AM163" s="30"/>
      <c r="AN163" s="30"/>
    </row>
    <row r="164" spans="1:40" s="134" customFormat="1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133"/>
      <c r="S164" s="133"/>
      <c r="T164" s="61"/>
      <c r="U164" s="63"/>
      <c r="V164" s="63"/>
      <c r="W164" s="63"/>
      <c r="X164" s="63"/>
      <c r="Y164" s="63"/>
      <c r="Z164" s="63"/>
      <c r="AA164" s="63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133"/>
      <c r="AM164" s="30"/>
      <c r="AN164" s="30"/>
    </row>
    <row r="165" spans="1:40" s="134" customFormat="1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133"/>
      <c r="S165" s="133"/>
      <c r="T165" s="63"/>
      <c r="U165" s="63"/>
      <c r="V165" s="63"/>
      <c r="W165" s="63"/>
      <c r="X165" s="63"/>
      <c r="Y165" s="63"/>
      <c r="Z165" s="63"/>
      <c r="AA165" s="63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133"/>
      <c r="AM165" s="30"/>
      <c r="AN165" s="30"/>
    </row>
    <row r="166" spans="1:40" s="134" customFormat="1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133"/>
      <c r="S166" s="133"/>
      <c r="T166" s="63"/>
      <c r="U166" s="63"/>
      <c r="V166" s="63"/>
      <c r="W166" s="63"/>
      <c r="X166" s="63"/>
      <c r="Y166" s="63"/>
      <c r="Z166" s="63"/>
      <c r="AA166" s="63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133"/>
      <c r="AM166" s="30"/>
      <c r="AN166" s="30"/>
    </row>
    <row r="167" spans="1:40" s="134" customFormat="1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133"/>
      <c r="S167" s="133"/>
      <c r="T167" s="63"/>
      <c r="U167" s="63"/>
      <c r="V167" s="63"/>
      <c r="W167" s="63"/>
      <c r="X167" s="63"/>
      <c r="Y167" s="63"/>
      <c r="Z167" s="63"/>
      <c r="AA167" s="63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133"/>
      <c r="AM167" s="30"/>
      <c r="AN167" s="30"/>
    </row>
    <row r="168" spans="1:40">
      <c r="S168" s="133"/>
      <c r="T168" s="63"/>
      <c r="U168" s="63"/>
      <c r="V168" s="63"/>
      <c r="W168" s="63"/>
      <c r="X168" s="63"/>
      <c r="Y168" s="63"/>
      <c r="Z168" s="63"/>
      <c r="AA168" s="63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133"/>
    </row>
    <row r="169" spans="1:40">
      <c r="S169" s="133"/>
      <c r="T169" s="63"/>
      <c r="U169" s="63"/>
      <c r="V169" s="63"/>
      <c r="W169" s="63"/>
      <c r="X169" s="63"/>
      <c r="Y169" s="63"/>
      <c r="Z169" s="63"/>
      <c r="AA169" s="63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133"/>
    </row>
    <row r="170" spans="1:40">
      <c r="S170" s="133"/>
      <c r="T170" s="63"/>
      <c r="U170" s="63"/>
      <c r="V170" s="63"/>
      <c r="W170" s="63"/>
      <c r="X170" s="61"/>
      <c r="Y170" s="63"/>
      <c r="Z170" s="63"/>
      <c r="AA170" s="63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133"/>
    </row>
    <row r="171" spans="1:40">
      <c r="S171" s="133"/>
      <c r="T171" s="63"/>
      <c r="U171" s="63"/>
      <c r="V171" s="63"/>
      <c r="W171" s="63"/>
      <c r="X171" s="133"/>
      <c r="Y171" s="63"/>
      <c r="Z171" s="63"/>
      <c r="AA171" s="63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133"/>
    </row>
    <row r="172" spans="1:40">
      <c r="S172" s="133"/>
      <c r="T172" s="61"/>
      <c r="U172" s="61"/>
      <c r="V172" s="61"/>
      <c r="W172" s="61"/>
      <c r="X172" s="133"/>
      <c r="Y172" s="65"/>
      <c r="Z172" s="65"/>
      <c r="AA172" s="65"/>
      <c r="AB172" s="65"/>
      <c r="AC172" s="65"/>
      <c r="AD172" s="65"/>
      <c r="AE172" s="65"/>
      <c r="AF172" s="65"/>
      <c r="AG172" s="65"/>
      <c r="AH172" s="65"/>
      <c r="AI172" s="65"/>
      <c r="AJ172" s="65"/>
      <c r="AK172" s="65"/>
      <c r="AL172" s="133"/>
    </row>
    <row r="173" spans="1:40"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  <c r="AC173" s="133"/>
      <c r="AD173" s="133"/>
      <c r="AE173" s="133"/>
      <c r="AF173" s="133"/>
      <c r="AG173" s="133"/>
      <c r="AH173" s="133"/>
      <c r="AI173" s="133"/>
      <c r="AJ173" s="133"/>
      <c r="AK173" s="133"/>
      <c r="AL173" s="133"/>
    </row>
    <row r="174" spans="1:40" ht="15" customHeight="1">
      <c r="S174" s="133"/>
      <c r="T174" s="230"/>
      <c r="U174" s="133"/>
      <c r="V174" s="133"/>
      <c r="W174" s="133"/>
      <c r="X174" s="62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</row>
    <row r="175" spans="1:40" ht="15" customHeight="1">
      <c r="S175" s="133"/>
      <c r="T175" s="230"/>
      <c r="U175" s="133"/>
      <c r="V175" s="133"/>
      <c r="W175" s="133"/>
      <c r="X175" s="63"/>
      <c r="Y175" s="133"/>
      <c r="Z175" s="133"/>
      <c r="AA175" s="133"/>
      <c r="AB175" s="133"/>
      <c r="AC175" s="133"/>
      <c r="AD175" s="133"/>
      <c r="AE175" s="133"/>
      <c r="AF175" s="133"/>
      <c r="AG175" s="133"/>
      <c r="AH175" s="133"/>
      <c r="AI175" s="133"/>
      <c r="AJ175" s="133"/>
      <c r="AK175" s="133"/>
      <c r="AL175" s="133"/>
    </row>
    <row r="176" spans="1:40">
      <c r="S176" s="133"/>
      <c r="T176" s="62"/>
      <c r="U176" s="62"/>
      <c r="V176" s="62"/>
      <c r="W176" s="62"/>
      <c r="X176" s="63"/>
      <c r="Y176" s="62"/>
      <c r="Z176" s="133"/>
      <c r="AA176" s="133"/>
      <c r="AB176" s="133"/>
      <c r="AC176" s="133"/>
      <c r="AD176" s="133"/>
      <c r="AE176" s="133"/>
      <c r="AF176" s="133"/>
      <c r="AG176" s="133"/>
      <c r="AH176" s="133"/>
      <c r="AI176" s="133"/>
      <c r="AJ176" s="133"/>
      <c r="AK176" s="133"/>
      <c r="AL176" s="133"/>
    </row>
    <row r="177" spans="19:38">
      <c r="S177" s="133"/>
      <c r="T177" s="63"/>
      <c r="U177" s="63"/>
      <c r="V177" s="63"/>
      <c r="W177" s="63"/>
      <c r="X177" s="63"/>
      <c r="Y177" s="64"/>
      <c r="Z177" s="133"/>
      <c r="AA177" s="133"/>
      <c r="AB177" s="133"/>
      <c r="AC177" s="133"/>
      <c r="AD177" s="133"/>
      <c r="AE177" s="133"/>
      <c r="AF177" s="133"/>
      <c r="AG177" s="133"/>
      <c r="AH177" s="133"/>
      <c r="AI177" s="133"/>
      <c r="AJ177" s="133"/>
      <c r="AK177" s="133"/>
      <c r="AL177" s="133"/>
    </row>
    <row r="178" spans="19:38">
      <c r="S178" s="133"/>
      <c r="T178" s="63"/>
      <c r="U178" s="63"/>
      <c r="V178" s="63"/>
      <c r="W178" s="63"/>
      <c r="X178" s="61"/>
      <c r="Y178" s="64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133"/>
      <c r="AJ178" s="133"/>
      <c r="AK178" s="133"/>
      <c r="AL178" s="133"/>
    </row>
    <row r="179" spans="19:38">
      <c r="S179" s="133"/>
      <c r="T179" s="63"/>
      <c r="U179" s="63"/>
      <c r="V179" s="63"/>
      <c r="W179" s="63"/>
      <c r="X179" s="133"/>
      <c r="Y179" s="64"/>
      <c r="Z179" s="133"/>
      <c r="AA179" s="133"/>
      <c r="AB179" s="133"/>
      <c r="AC179" s="133"/>
      <c r="AD179" s="133"/>
      <c r="AE179" s="133"/>
      <c r="AF179" s="133"/>
      <c r="AG179" s="133"/>
      <c r="AH179" s="133"/>
      <c r="AI179" s="133"/>
      <c r="AJ179" s="133"/>
      <c r="AK179" s="133"/>
      <c r="AL179" s="133"/>
    </row>
    <row r="180" spans="19:38">
      <c r="S180" s="133"/>
      <c r="T180" s="61"/>
      <c r="U180" s="61"/>
      <c r="V180" s="61"/>
      <c r="W180" s="61"/>
      <c r="X180" s="133"/>
      <c r="Y180" s="65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</row>
    <row r="181" spans="19:38"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  <c r="AC181" s="133"/>
      <c r="AD181" s="133"/>
      <c r="AE181" s="133"/>
      <c r="AF181" s="133"/>
      <c r="AG181" s="133"/>
      <c r="AH181" s="133"/>
      <c r="AI181" s="133"/>
      <c r="AJ181" s="133"/>
      <c r="AK181" s="133"/>
      <c r="AL181" s="133"/>
    </row>
    <row r="182" spans="19:38"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  <c r="AC182" s="133"/>
      <c r="AD182" s="133"/>
      <c r="AE182" s="133"/>
      <c r="AF182" s="133"/>
      <c r="AG182" s="133"/>
      <c r="AH182" s="133"/>
      <c r="AI182" s="133"/>
      <c r="AJ182" s="133"/>
      <c r="AK182" s="133"/>
      <c r="AL182" s="133"/>
    </row>
    <row r="338" spans="9:9">
      <c r="I338" s="39" t="s">
        <v>59</v>
      </c>
    </row>
  </sheetData>
  <sheetProtection password="CFD7" sheet="1" objects="1" scenarios="1" selectLockedCells="1"/>
  <mergeCells count="161">
    <mergeCell ref="I122:J122"/>
    <mergeCell ref="I123:J123"/>
    <mergeCell ref="I124:J124"/>
    <mergeCell ref="I125:J125"/>
    <mergeCell ref="I116:J116"/>
    <mergeCell ref="I117:J117"/>
    <mergeCell ref="I118:J118"/>
    <mergeCell ref="I119:J119"/>
    <mergeCell ref="I120:J120"/>
    <mergeCell ref="I121:J121"/>
    <mergeCell ref="C88:C89"/>
    <mergeCell ref="D88:D89"/>
    <mergeCell ref="C101:C102"/>
    <mergeCell ref="D101:D102"/>
    <mergeCell ref="C114:C115"/>
    <mergeCell ref="D114:D115"/>
    <mergeCell ref="Y83:AA83"/>
    <mergeCell ref="AH83:AI83"/>
    <mergeCell ref="AJ83:AK83"/>
    <mergeCell ref="Y84:AA84"/>
    <mergeCell ref="AH84:AI84"/>
    <mergeCell ref="AJ84:AK84"/>
    <mergeCell ref="Y81:AA81"/>
    <mergeCell ref="AH81:AI81"/>
    <mergeCell ref="AJ81:AK81"/>
    <mergeCell ref="Y82:AA82"/>
    <mergeCell ref="AH82:AI82"/>
    <mergeCell ref="AJ82:AK82"/>
    <mergeCell ref="Y79:AA79"/>
    <mergeCell ref="AH79:AI79"/>
    <mergeCell ref="AJ79:AK79"/>
    <mergeCell ref="Y80:AA80"/>
    <mergeCell ref="AH80:AI80"/>
    <mergeCell ref="AJ80:AK80"/>
    <mergeCell ref="Y77:AA77"/>
    <mergeCell ref="AH77:AI77"/>
    <mergeCell ref="AJ77:AK77"/>
    <mergeCell ref="Y78:AA78"/>
    <mergeCell ref="AH78:AI78"/>
    <mergeCell ref="AJ78:AK78"/>
    <mergeCell ref="C75:C76"/>
    <mergeCell ref="D75:D76"/>
    <mergeCell ref="Y75:AA75"/>
    <mergeCell ref="AH75:AI75"/>
    <mergeCell ref="AJ75:AK75"/>
    <mergeCell ref="Y76:AA76"/>
    <mergeCell ref="AH76:AI76"/>
    <mergeCell ref="AJ76:AK76"/>
    <mergeCell ref="T69:T70"/>
    <mergeCell ref="AD69:AD70"/>
    <mergeCell ref="AF69:AH70"/>
    <mergeCell ref="AF71:AH71"/>
    <mergeCell ref="T73:V74"/>
    <mergeCell ref="AC73:AE74"/>
    <mergeCell ref="T65:T66"/>
    <mergeCell ref="AD65:AD66"/>
    <mergeCell ref="AF65:AH66"/>
    <mergeCell ref="T67:T68"/>
    <mergeCell ref="AD67:AD68"/>
    <mergeCell ref="AF67:AH68"/>
    <mergeCell ref="T61:T62"/>
    <mergeCell ref="AD61:AD62"/>
    <mergeCell ref="AF61:AH62"/>
    <mergeCell ref="C62:C63"/>
    <mergeCell ref="D62:D63"/>
    <mergeCell ref="T63:T64"/>
    <mergeCell ref="AD63:AD64"/>
    <mergeCell ref="AF63:AH64"/>
    <mergeCell ref="T57:T58"/>
    <mergeCell ref="AD57:AD58"/>
    <mergeCell ref="AF57:AH58"/>
    <mergeCell ref="T59:T60"/>
    <mergeCell ref="AD59:AD60"/>
    <mergeCell ref="AF59:AH60"/>
    <mergeCell ref="C49:C50"/>
    <mergeCell ref="D49:D50"/>
    <mergeCell ref="AD50:AF50"/>
    <mergeCell ref="T52:V53"/>
    <mergeCell ref="AF54:AH54"/>
    <mergeCell ref="T55:T56"/>
    <mergeCell ref="AD55:AD56"/>
    <mergeCell ref="AF55:AH56"/>
    <mergeCell ref="T46:T47"/>
    <mergeCell ref="AA46:AA47"/>
    <mergeCell ref="AC46:AC47"/>
    <mergeCell ref="AD46:AF47"/>
    <mergeCell ref="T48:T49"/>
    <mergeCell ref="AA48:AA49"/>
    <mergeCell ref="AC48:AC49"/>
    <mergeCell ref="AD48:AF49"/>
    <mergeCell ref="T42:T43"/>
    <mergeCell ref="AA42:AA43"/>
    <mergeCell ref="AC42:AC43"/>
    <mergeCell ref="AD42:AF43"/>
    <mergeCell ref="T44:T45"/>
    <mergeCell ref="AA44:AA45"/>
    <mergeCell ref="AC44:AC45"/>
    <mergeCell ref="AD44:AF45"/>
    <mergeCell ref="T38:T39"/>
    <mergeCell ref="AA38:AA39"/>
    <mergeCell ref="AC38:AC39"/>
    <mergeCell ref="AD38:AF39"/>
    <mergeCell ref="T40:T41"/>
    <mergeCell ref="AA40:AA41"/>
    <mergeCell ref="AC40:AC41"/>
    <mergeCell ref="AD40:AF41"/>
    <mergeCell ref="C36:C37"/>
    <mergeCell ref="D36:D37"/>
    <mergeCell ref="T36:T37"/>
    <mergeCell ref="AA36:AA37"/>
    <mergeCell ref="AC36:AC37"/>
    <mergeCell ref="AD36:AF37"/>
    <mergeCell ref="AD29:AF29"/>
    <mergeCell ref="T31:V32"/>
    <mergeCell ref="AD33:AF33"/>
    <mergeCell ref="T34:T35"/>
    <mergeCell ref="AA34:AA35"/>
    <mergeCell ref="AC34:AC35"/>
    <mergeCell ref="AD34:AF35"/>
    <mergeCell ref="T25:T26"/>
    <mergeCell ref="AA25:AA26"/>
    <mergeCell ref="AC25:AC26"/>
    <mergeCell ref="AD25:AF26"/>
    <mergeCell ref="T27:T28"/>
    <mergeCell ref="AA27:AA28"/>
    <mergeCell ref="AC27:AC28"/>
    <mergeCell ref="AD27:AF28"/>
    <mergeCell ref="T21:T22"/>
    <mergeCell ref="AA21:AA22"/>
    <mergeCell ref="AC21:AC22"/>
    <mergeCell ref="AD21:AF22"/>
    <mergeCell ref="C23:C24"/>
    <mergeCell ref="D23:D24"/>
    <mergeCell ref="T23:T24"/>
    <mergeCell ref="AA23:AA24"/>
    <mergeCell ref="AC23:AC24"/>
    <mergeCell ref="AD23:AF24"/>
    <mergeCell ref="T17:T18"/>
    <mergeCell ref="AA17:AA18"/>
    <mergeCell ref="AC17:AC18"/>
    <mergeCell ref="AD17:AF18"/>
    <mergeCell ref="T19:T20"/>
    <mergeCell ref="AA19:AA20"/>
    <mergeCell ref="AC19:AC20"/>
    <mergeCell ref="AD19:AF20"/>
    <mergeCell ref="AD12:AF12"/>
    <mergeCell ref="T13:T14"/>
    <mergeCell ref="AA13:AA14"/>
    <mergeCell ref="AC13:AC14"/>
    <mergeCell ref="AD13:AF14"/>
    <mergeCell ref="T15:T16"/>
    <mergeCell ref="AA15:AA16"/>
    <mergeCell ref="AC15:AC16"/>
    <mergeCell ref="AD15:AF16"/>
    <mergeCell ref="E7:F8"/>
    <mergeCell ref="W7:Y8"/>
    <mergeCell ref="AF7:AG7"/>
    <mergeCell ref="AF8:AG8"/>
    <mergeCell ref="C10:C11"/>
    <mergeCell ref="D10:D11"/>
    <mergeCell ref="T10:V11"/>
  </mergeCells>
  <conditionalFormatting sqref="K8 D10 K13:K21 D23 D36 K39:K47 D49 D62 K65:K73 D114 H117:H125 K26:K34 K52:K60">
    <cfRule type="cellIs" dxfId="2423" priority="2727" operator="greaterThanOrEqual">
      <formula>$L$8</formula>
    </cfRule>
  </conditionalFormatting>
  <conditionalFormatting sqref="K8 D10 K13:K21 D23 D36 K39:K47 D49 D62 K65:K73 D114 H117:H125 K26:K34 K52:K60">
    <cfRule type="cellIs" dxfId="2422" priority="2726" operator="lessThan">
      <formula>$L$8</formula>
    </cfRule>
  </conditionalFormatting>
  <conditionalFormatting sqref="X175:X177 X157:X169 X144:X151 X131:X138 G55">
    <cfRule type="containsText" dxfId="2421" priority="2717" operator="containsText" text="Cinza">
      <formula>NOT(ISERROR(SEARCH("Cinza",G55)))</formula>
    </cfRule>
    <cfRule type="containsText" dxfId="2420" priority="2718" operator="containsText" text="Púrpura">
      <formula>NOT(ISERROR(SEARCH("Púrpura",G55)))</formula>
    </cfRule>
    <cfRule type="containsText" dxfId="2419" priority="2719" operator="containsText" text="Rosa">
      <formula>NOT(ISERROR(SEARCH("Rosa",G55)))</formula>
    </cfRule>
    <cfRule type="containsText" dxfId="2418" priority="2720" operator="containsText" text="Castanho">
      <formula>NOT(ISERROR(SEARCH("Castanho",G55)))</formula>
    </cfRule>
    <cfRule type="containsText" dxfId="2417" priority="2721" operator="containsText" text="Verde Água">
      <formula>NOT(ISERROR(SEARCH("Verde Água",G55)))</formula>
    </cfRule>
    <cfRule type="containsText" dxfId="2416" priority="2722" operator="containsText" text="Azul Petróleo">
      <formula>NOT(ISERROR(SEARCH("Azul Petróleo",G55)))</formula>
    </cfRule>
    <cfRule type="containsText" dxfId="2415" priority="2723" operator="containsText" text="Preto">
      <formula>NOT(ISERROR(SEARCH("Preto",G55)))</formula>
    </cfRule>
    <cfRule type="containsText" priority="2724" operator="containsText" text="Branco">
      <formula>NOT(ISERROR(SEARCH("Branco",G55)))</formula>
    </cfRule>
    <cfRule type="containsText" dxfId="2414" priority="2725" operator="containsText" text="Bege">
      <formula>NOT(ISERROR(SEARCH("Bege",G55)))</formula>
    </cfRule>
  </conditionalFormatting>
  <conditionalFormatting sqref="V84 F73 F34:F37 F21:F24 F47:F50 F60:F63 G55">
    <cfRule type="containsText" dxfId="2413" priority="2708" operator="containsText" text="Escuro">
      <formula>NOT(ISERROR(SEARCH("Escuro",F21)))</formula>
    </cfRule>
    <cfRule type="containsText" dxfId="2412" priority="2709" operator="containsText" text="Cinza">
      <formula>NOT(ISERROR(SEARCH("Cinza",F21)))</formula>
    </cfRule>
    <cfRule type="containsText" dxfId="2411" priority="2710" operator="containsText" text="Púrpura">
      <formula>NOT(ISERROR(SEARCH("Púrpura",F21)))</formula>
    </cfRule>
    <cfRule type="containsText" dxfId="2410" priority="2711" operator="containsText" text="Rosa">
      <formula>NOT(ISERROR(SEARCH("Rosa",F21)))</formula>
    </cfRule>
    <cfRule type="containsText" dxfId="2409" priority="2712" operator="containsText" text="Castanho">
      <formula>NOT(ISERROR(SEARCH("Castanho",F21)))</formula>
    </cfRule>
    <cfRule type="containsText" dxfId="2408" priority="2713" operator="containsText" text="Verde Água">
      <formula>NOT(ISERROR(SEARCH("Verde Água",F21)))</formula>
    </cfRule>
    <cfRule type="containsText" dxfId="2407" priority="2714" operator="containsText" text="Azul Petróleo">
      <formula>NOT(ISERROR(SEARCH("Azul Petróleo",F21)))</formula>
    </cfRule>
    <cfRule type="containsText" dxfId="2406" priority="2715" operator="containsText" text="Preto">
      <formula>NOT(ISERROR(SEARCH("Preto",F21)))</formula>
    </cfRule>
    <cfRule type="containsText" priority="2716" operator="containsText" text="Branco">
      <formula>NOT(ISERROR(SEARCH("Branco",F21)))</formula>
    </cfRule>
  </conditionalFormatting>
  <conditionalFormatting sqref="D75 D88 D101 K104:K112 K91:K99 K78:K86">
    <cfRule type="cellIs" dxfId="2405" priority="2707" operator="greaterThanOrEqual">
      <formula>$L$8</formula>
    </cfRule>
  </conditionalFormatting>
  <conditionalFormatting sqref="D75 D88 K91:K99 D101 K104:K112 K78:K86">
    <cfRule type="cellIs" dxfId="2404" priority="2706" operator="lessThan">
      <formula>$L$8</formula>
    </cfRule>
  </conditionalFormatting>
  <conditionalFormatting sqref="F112 F75:F76 F86:F89 F99:F102">
    <cfRule type="containsText" dxfId="2403" priority="2697" operator="containsText" text="Escuro">
      <formula>NOT(ISERROR(SEARCH("Escuro",F75)))</formula>
    </cfRule>
    <cfRule type="containsText" dxfId="2402" priority="2698" operator="containsText" text="Cinza">
      <formula>NOT(ISERROR(SEARCH("Cinza",F75)))</formula>
    </cfRule>
    <cfRule type="containsText" dxfId="2401" priority="2699" operator="containsText" text="Púrpura">
      <formula>NOT(ISERROR(SEARCH("Púrpura",F75)))</formula>
    </cfRule>
    <cfRule type="containsText" dxfId="2400" priority="2700" operator="containsText" text="Rosa">
      <formula>NOT(ISERROR(SEARCH("Rosa",F75)))</formula>
    </cfRule>
    <cfRule type="containsText" dxfId="2399" priority="2701" operator="containsText" text="Castanho">
      <formula>NOT(ISERROR(SEARCH("Castanho",F75)))</formula>
    </cfRule>
    <cfRule type="containsText" dxfId="2398" priority="2702" operator="containsText" text="Verde Água">
      <formula>NOT(ISERROR(SEARCH("Verde Água",F75)))</formula>
    </cfRule>
    <cfRule type="containsText" dxfId="2397" priority="2703" operator="containsText" text="Azul Petróleo">
      <formula>NOT(ISERROR(SEARCH("Azul Petróleo",F75)))</formula>
    </cfRule>
    <cfRule type="containsText" dxfId="2396" priority="2704" operator="containsText" text="Preto">
      <formula>NOT(ISERROR(SEARCH("Preto",F75)))</formula>
    </cfRule>
    <cfRule type="containsText" priority="2705" operator="containsText" text="Branco">
      <formula>NOT(ISERROR(SEARCH("Branco",F75)))</formula>
    </cfRule>
  </conditionalFormatting>
  <conditionalFormatting sqref="G55">
    <cfRule type="containsText" dxfId="2395" priority="2687" operator="containsText" text="Escuro">
      <formula>NOT(ISERROR(SEARCH("Escuro",G55)))</formula>
    </cfRule>
    <cfRule type="containsText" dxfId="2394" priority="2688" operator="containsText" text="Cinza">
      <formula>NOT(ISERROR(SEARCH("Cinza",G55)))</formula>
    </cfRule>
    <cfRule type="containsText" dxfId="2393" priority="2689" operator="containsText" text="Púrpura">
      <formula>NOT(ISERROR(SEARCH("Púrpura",G55)))</formula>
    </cfRule>
    <cfRule type="containsText" dxfId="2392" priority="2690" operator="containsText" text="Rosa">
      <formula>NOT(ISERROR(SEARCH("Rosa",G55)))</formula>
    </cfRule>
    <cfRule type="containsText" dxfId="2391" priority="2691" operator="containsText" text="Castanho">
      <formula>NOT(ISERROR(SEARCH("Castanho",G55)))</formula>
    </cfRule>
    <cfRule type="containsText" dxfId="2390" priority="2692" operator="containsText" text="Verde Água">
      <formula>NOT(ISERROR(SEARCH("Verde Água",G55)))</formula>
    </cfRule>
    <cfRule type="containsText" dxfId="2389" priority="2693" operator="containsText" text="Azul Petróleo">
      <formula>NOT(ISERROR(SEARCH("Azul Petróleo",G55)))</formula>
    </cfRule>
    <cfRule type="containsText" dxfId="2388" priority="2694" operator="containsText" text="Preto">
      <formula>NOT(ISERROR(SEARCH("Preto",G55)))</formula>
    </cfRule>
    <cfRule type="containsText" priority="2695" operator="containsText" text="Branco">
      <formula>NOT(ISERROR(SEARCH("Branco",G55)))</formula>
    </cfRule>
    <cfRule type="containsText" dxfId="2387" priority="2696" operator="containsText" text="Bege">
      <formula>NOT(ISERROR(SEARCH("Bege",G55)))</formula>
    </cfRule>
  </conditionalFormatting>
  <conditionalFormatting sqref="M79">
    <cfRule type="containsText" dxfId="2386" priority="2677" operator="containsText" text="Escuro">
      <formula>NOT(ISERROR(SEARCH("Escuro",M79)))</formula>
    </cfRule>
    <cfRule type="containsText" dxfId="2385" priority="2678" operator="containsText" text="Cinza">
      <formula>NOT(ISERROR(SEARCH("Cinza",M79)))</formula>
    </cfRule>
    <cfRule type="containsText" dxfId="2384" priority="2679" operator="containsText" text="Púrpura">
      <formula>NOT(ISERROR(SEARCH("Púrpura",M79)))</formula>
    </cfRule>
    <cfRule type="containsText" dxfId="2383" priority="2680" operator="containsText" text="Rosa">
      <formula>NOT(ISERROR(SEARCH("Rosa",M79)))</formula>
    </cfRule>
    <cfRule type="containsText" dxfId="2382" priority="2681" operator="containsText" text="Castanho">
      <formula>NOT(ISERROR(SEARCH("Castanho",M79)))</formula>
    </cfRule>
    <cfRule type="containsText" dxfId="2381" priority="2682" operator="containsText" text="Verde Água">
      <formula>NOT(ISERROR(SEARCH("Verde Água",M79)))</formula>
    </cfRule>
    <cfRule type="containsText" dxfId="2380" priority="2683" operator="containsText" text="Azul Petróleo">
      <formula>NOT(ISERROR(SEARCH("Azul Petróleo",M79)))</formula>
    </cfRule>
    <cfRule type="containsText" dxfId="2379" priority="2684" operator="containsText" text="Preto">
      <formula>NOT(ISERROR(SEARCH("Preto",M79)))</formula>
    </cfRule>
    <cfRule type="containsText" priority="2685" operator="containsText" text="Branco">
      <formula>NOT(ISERROR(SEARCH("Branco",M79)))</formula>
    </cfRule>
    <cfRule type="containsText" dxfId="2378" priority="2686" operator="containsText" text="Bege">
      <formula>NOT(ISERROR(SEARCH("Bege",M79)))</formula>
    </cfRule>
  </conditionalFormatting>
  <conditionalFormatting sqref="M79">
    <cfRule type="containsText" dxfId="2377" priority="2668" operator="containsText" text="Cinza">
      <formula>NOT(ISERROR(SEARCH("Cinza",M79)))</formula>
    </cfRule>
    <cfRule type="containsText" dxfId="2376" priority="2669" operator="containsText" text="Púrpura">
      <formula>NOT(ISERROR(SEARCH("Púrpura",M79)))</formula>
    </cfRule>
    <cfRule type="containsText" dxfId="2375" priority="2670" operator="containsText" text="Rosa">
      <formula>NOT(ISERROR(SEARCH("Rosa",M79)))</formula>
    </cfRule>
    <cfRule type="containsText" dxfId="2374" priority="2671" operator="containsText" text="Castanho">
      <formula>NOT(ISERROR(SEARCH("Castanho",M79)))</formula>
    </cfRule>
    <cfRule type="containsText" dxfId="2373" priority="2672" operator="containsText" text="Verde Água">
      <formula>NOT(ISERROR(SEARCH("Verde Água",M79)))</formula>
    </cfRule>
    <cfRule type="containsText" dxfId="2372" priority="2673" operator="containsText" text="Azul Petróleo">
      <formula>NOT(ISERROR(SEARCH("Azul Petróleo",M79)))</formula>
    </cfRule>
    <cfRule type="containsText" dxfId="2371" priority="2674" operator="containsText" text="Preto">
      <formula>NOT(ISERROR(SEARCH("Preto",M79)))</formula>
    </cfRule>
    <cfRule type="containsText" priority="2675" operator="containsText" text="Branco">
      <formula>NOT(ISERROR(SEARCH("Branco",M79)))</formula>
    </cfRule>
    <cfRule type="containsText" dxfId="2370" priority="2676" operator="containsText" text="Bege">
      <formula>NOT(ISERROR(SEARCH("Bege",M79)))</formula>
    </cfRule>
  </conditionalFormatting>
  <conditionalFormatting sqref="M79">
    <cfRule type="containsText" dxfId="2369" priority="2659" operator="containsText" text="Cinza">
      <formula>NOT(ISERROR(SEARCH("Cinza",M79)))</formula>
    </cfRule>
    <cfRule type="containsText" dxfId="2368" priority="2660" operator="containsText" text="Púrpura">
      <formula>NOT(ISERROR(SEARCH("Púrpura",M79)))</formula>
    </cfRule>
    <cfRule type="containsText" dxfId="2367" priority="2661" operator="containsText" text="Rosa">
      <formula>NOT(ISERROR(SEARCH("Rosa",M79)))</formula>
    </cfRule>
    <cfRule type="containsText" dxfId="2366" priority="2662" operator="containsText" text="Castanho">
      <formula>NOT(ISERROR(SEARCH("Castanho",M79)))</formula>
    </cfRule>
    <cfRule type="containsText" dxfId="2365" priority="2663" operator="containsText" text="Verde Água">
      <formula>NOT(ISERROR(SEARCH("Verde Água",M79)))</formula>
    </cfRule>
    <cfRule type="containsText" dxfId="2364" priority="2664" operator="containsText" text="Azul Petróleo">
      <formula>NOT(ISERROR(SEARCH("Azul Petróleo",M79)))</formula>
    </cfRule>
    <cfRule type="containsText" dxfId="2363" priority="2665" operator="containsText" text="Preto">
      <formula>NOT(ISERROR(SEARCH("Preto",M79)))</formula>
    </cfRule>
    <cfRule type="containsText" priority="2666" operator="containsText" text="Branco">
      <formula>NOT(ISERROR(SEARCH("Branco",M79)))</formula>
    </cfRule>
    <cfRule type="containsText" dxfId="2362" priority="2667" operator="containsText" text="Bege">
      <formula>NOT(ISERROR(SEARCH("Bege",M79)))</formula>
    </cfRule>
  </conditionalFormatting>
  <conditionalFormatting sqref="M79">
    <cfRule type="containsText" dxfId="2361" priority="2650" operator="containsText" text="Cinza">
      <formula>NOT(ISERROR(SEARCH("Cinza",M79)))</formula>
    </cfRule>
    <cfRule type="containsText" dxfId="2360" priority="2651" operator="containsText" text="Púrpura">
      <formula>NOT(ISERROR(SEARCH("Púrpura",M79)))</formula>
    </cfRule>
    <cfRule type="containsText" dxfId="2359" priority="2652" operator="containsText" text="Rosa">
      <formula>NOT(ISERROR(SEARCH("Rosa",M79)))</formula>
    </cfRule>
    <cfRule type="containsText" dxfId="2358" priority="2653" operator="containsText" text="Castanho">
      <formula>NOT(ISERROR(SEARCH("Castanho",M79)))</formula>
    </cfRule>
    <cfRule type="containsText" dxfId="2357" priority="2654" operator="containsText" text="Verde Água">
      <formula>NOT(ISERROR(SEARCH("Verde Água",M79)))</formula>
    </cfRule>
    <cfRule type="containsText" dxfId="2356" priority="2655" operator="containsText" text="Azul Petróleo">
      <formula>NOT(ISERROR(SEARCH("Azul Petróleo",M79)))</formula>
    </cfRule>
    <cfRule type="containsText" dxfId="2355" priority="2656" operator="containsText" text="Preto">
      <formula>NOT(ISERROR(SEARCH("Preto",M79)))</formula>
    </cfRule>
    <cfRule type="containsText" priority="2657" operator="containsText" text="Branco">
      <formula>NOT(ISERROR(SEARCH("Branco",M79)))</formula>
    </cfRule>
    <cfRule type="containsText" dxfId="2354" priority="2658" operator="containsText" text="Bege">
      <formula>NOT(ISERROR(SEARCH("Bege",M79)))</formula>
    </cfRule>
  </conditionalFormatting>
  <conditionalFormatting sqref="M79">
    <cfRule type="containsText" dxfId="2353" priority="2641" operator="containsText" text="Cinza">
      <formula>NOT(ISERROR(SEARCH("Cinza",M79)))</formula>
    </cfRule>
    <cfRule type="containsText" dxfId="2352" priority="2642" operator="containsText" text="Púrpura">
      <formula>NOT(ISERROR(SEARCH("Púrpura",M79)))</formula>
    </cfRule>
    <cfRule type="containsText" dxfId="2351" priority="2643" operator="containsText" text="Rosa">
      <formula>NOT(ISERROR(SEARCH("Rosa",M79)))</formula>
    </cfRule>
    <cfRule type="containsText" dxfId="2350" priority="2644" operator="containsText" text="Castanho">
      <formula>NOT(ISERROR(SEARCH("Castanho",M79)))</formula>
    </cfRule>
    <cfRule type="containsText" dxfId="2349" priority="2645" operator="containsText" text="Verde Água">
      <formula>NOT(ISERROR(SEARCH("Verde Água",M79)))</formula>
    </cfRule>
    <cfRule type="containsText" dxfId="2348" priority="2646" operator="containsText" text="Azul Petróleo">
      <formula>NOT(ISERROR(SEARCH("Azul Petróleo",M79)))</formula>
    </cfRule>
    <cfRule type="containsText" dxfId="2347" priority="2647" operator="containsText" text="Preto">
      <formula>NOT(ISERROR(SEARCH("Preto",M79)))</formula>
    </cfRule>
    <cfRule type="containsText" priority="2648" operator="containsText" text="Branco">
      <formula>NOT(ISERROR(SEARCH("Branco",M79)))</formula>
    </cfRule>
    <cfRule type="containsText" dxfId="2346" priority="2649" operator="containsText" text="Bege">
      <formula>NOT(ISERROR(SEARCH("Bege",M79)))</formula>
    </cfRule>
  </conditionalFormatting>
  <conditionalFormatting sqref="M79">
    <cfRule type="containsText" dxfId="2345" priority="2632" operator="containsText" text="Cinza">
      <formula>NOT(ISERROR(SEARCH("Cinza",M79)))</formula>
    </cfRule>
    <cfRule type="containsText" dxfId="2344" priority="2633" operator="containsText" text="Púrpura">
      <formula>NOT(ISERROR(SEARCH("Púrpura",M79)))</formula>
    </cfRule>
    <cfRule type="containsText" dxfId="2343" priority="2634" operator="containsText" text="Rosa">
      <formula>NOT(ISERROR(SEARCH("Rosa",M79)))</formula>
    </cfRule>
    <cfRule type="containsText" dxfId="2342" priority="2635" operator="containsText" text="Castanho">
      <formula>NOT(ISERROR(SEARCH("Castanho",M79)))</formula>
    </cfRule>
    <cfRule type="containsText" dxfId="2341" priority="2636" operator="containsText" text="Verde Água">
      <formula>NOT(ISERROR(SEARCH("Verde Água",M79)))</formula>
    </cfRule>
    <cfRule type="containsText" dxfId="2340" priority="2637" operator="containsText" text="Azul Petróleo">
      <formula>NOT(ISERROR(SEARCH("Azul Petróleo",M79)))</formula>
    </cfRule>
    <cfRule type="containsText" dxfId="2339" priority="2638" operator="containsText" text="Preto">
      <formula>NOT(ISERROR(SEARCH("Preto",M79)))</formula>
    </cfRule>
    <cfRule type="containsText" priority="2639" operator="containsText" text="Branco">
      <formula>NOT(ISERROR(SEARCH("Branco",M79)))</formula>
    </cfRule>
    <cfRule type="containsText" dxfId="2338" priority="2640" operator="containsText" text="Bege">
      <formula>NOT(ISERROR(SEARCH("Bege",M79)))</formula>
    </cfRule>
  </conditionalFormatting>
  <conditionalFormatting sqref="M79">
    <cfRule type="containsText" dxfId="2337" priority="2623" operator="containsText" text="Cinza">
      <formula>NOT(ISERROR(SEARCH("Cinza",M79)))</formula>
    </cfRule>
    <cfRule type="containsText" dxfId="2336" priority="2624" operator="containsText" text="Púrpura">
      <formula>NOT(ISERROR(SEARCH("Púrpura",M79)))</formula>
    </cfRule>
    <cfRule type="containsText" dxfId="2335" priority="2625" operator="containsText" text="Rosa">
      <formula>NOT(ISERROR(SEARCH("Rosa",M79)))</formula>
    </cfRule>
    <cfRule type="containsText" dxfId="2334" priority="2626" operator="containsText" text="Castanho">
      <formula>NOT(ISERROR(SEARCH("Castanho",M79)))</formula>
    </cfRule>
    <cfRule type="containsText" dxfId="2333" priority="2627" operator="containsText" text="Verde Água">
      <formula>NOT(ISERROR(SEARCH("Verde Água",M79)))</formula>
    </cfRule>
    <cfRule type="containsText" dxfId="2332" priority="2628" operator="containsText" text="Azul Petróleo">
      <formula>NOT(ISERROR(SEARCH("Azul Petróleo",M79)))</formula>
    </cfRule>
    <cfRule type="containsText" dxfId="2331" priority="2629" operator="containsText" text="Preto">
      <formula>NOT(ISERROR(SEARCH("Preto",M79)))</formula>
    </cfRule>
    <cfRule type="containsText" priority="2630" operator="containsText" text="Branco">
      <formula>NOT(ISERROR(SEARCH("Branco",M79)))</formula>
    </cfRule>
    <cfRule type="containsText" dxfId="2330" priority="2631" operator="containsText" text="Bege">
      <formula>NOT(ISERROR(SEARCH("Bege",M79)))</formula>
    </cfRule>
  </conditionalFormatting>
  <conditionalFormatting sqref="M79">
    <cfRule type="containsText" dxfId="2329" priority="2614" operator="containsText" text="Cinza">
      <formula>NOT(ISERROR(SEARCH("Cinza",M79)))</formula>
    </cfRule>
    <cfRule type="containsText" dxfId="2328" priority="2615" operator="containsText" text="Púrpura">
      <formula>NOT(ISERROR(SEARCH("Púrpura",M79)))</formula>
    </cfRule>
    <cfRule type="containsText" dxfId="2327" priority="2616" operator="containsText" text="Rosa">
      <formula>NOT(ISERROR(SEARCH("Rosa",M79)))</formula>
    </cfRule>
    <cfRule type="containsText" dxfId="2326" priority="2617" operator="containsText" text="Castanho">
      <formula>NOT(ISERROR(SEARCH("Castanho",M79)))</formula>
    </cfRule>
    <cfRule type="containsText" dxfId="2325" priority="2618" operator="containsText" text="Verde Água">
      <formula>NOT(ISERROR(SEARCH("Verde Água",M79)))</formula>
    </cfRule>
    <cfRule type="containsText" dxfId="2324" priority="2619" operator="containsText" text="Azul Petróleo">
      <formula>NOT(ISERROR(SEARCH("Azul Petróleo",M79)))</formula>
    </cfRule>
    <cfRule type="containsText" dxfId="2323" priority="2620" operator="containsText" text="Preto">
      <formula>NOT(ISERROR(SEARCH("Preto",M79)))</formula>
    </cfRule>
    <cfRule type="containsText" priority="2621" operator="containsText" text="Branco">
      <formula>NOT(ISERROR(SEARCH("Branco",M79)))</formula>
    </cfRule>
    <cfRule type="containsText" dxfId="2322" priority="2622" operator="containsText" text="Bege">
      <formula>NOT(ISERROR(SEARCH("Bege",M79)))</formula>
    </cfRule>
  </conditionalFormatting>
  <conditionalFormatting sqref="M79">
    <cfRule type="containsText" dxfId="2321" priority="2605" operator="containsText" text="Cinza">
      <formula>NOT(ISERROR(SEARCH("Cinza",M79)))</formula>
    </cfRule>
    <cfRule type="containsText" dxfId="2320" priority="2606" operator="containsText" text="Púrpura">
      <formula>NOT(ISERROR(SEARCH("Púrpura",M79)))</formula>
    </cfRule>
    <cfRule type="containsText" dxfId="2319" priority="2607" operator="containsText" text="Rosa">
      <formula>NOT(ISERROR(SEARCH("Rosa",M79)))</formula>
    </cfRule>
    <cfRule type="containsText" dxfId="2318" priority="2608" operator="containsText" text="Castanho">
      <formula>NOT(ISERROR(SEARCH("Castanho",M79)))</formula>
    </cfRule>
    <cfRule type="containsText" dxfId="2317" priority="2609" operator="containsText" text="Verde Água">
      <formula>NOT(ISERROR(SEARCH("Verde Água",M79)))</formula>
    </cfRule>
    <cfRule type="containsText" dxfId="2316" priority="2610" operator="containsText" text="Azul Petróleo">
      <formula>NOT(ISERROR(SEARCH("Azul Petróleo",M79)))</formula>
    </cfRule>
    <cfRule type="containsText" dxfId="2315" priority="2611" operator="containsText" text="Preto">
      <formula>NOT(ISERROR(SEARCH("Preto",M79)))</formula>
    </cfRule>
    <cfRule type="containsText" priority="2612" operator="containsText" text="Branco">
      <formula>NOT(ISERROR(SEARCH("Branco",M79)))</formula>
    </cfRule>
    <cfRule type="containsText" dxfId="2314" priority="2613" operator="containsText" text="Bege">
      <formula>NOT(ISERROR(SEARCH("Bege",M79)))</formula>
    </cfRule>
  </conditionalFormatting>
  <conditionalFormatting sqref="M79">
    <cfRule type="containsText" dxfId="2313" priority="2596" operator="containsText" text="Cinza">
      <formula>NOT(ISERROR(SEARCH("Cinza",M79)))</formula>
    </cfRule>
    <cfRule type="containsText" dxfId="2312" priority="2597" operator="containsText" text="Púrpura">
      <formula>NOT(ISERROR(SEARCH("Púrpura",M79)))</formula>
    </cfRule>
    <cfRule type="containsText" dxfId="2311" priority="2598" operator="containsText" text="Rosa">
      <formula>NOT(ISERROR(SEARCH("Rosa",M79)))</formula>
    </cfRule>
    <cfRule type="containsText" dxfId="2310" priority="2599" operator="containsText" text="Castanho">
      <formula>NOT(ISERROR(SEARCH("Castanho",M79)))</formula>
    </cfRule>
    <cfRule type="containsText" dxfId="2309" priority="2600" operator="containsText" text="Verde Água">
      <formula>NOT(ISERROR(SEARCH("Verde Água",M79)))</formula>
    </cfRule>
    <cfRule type="containsText" dxfId="2308" priority="2601" operator="containsText" text="Azul Petróleo">
      <formula>NOT(ISERROR(SEARCH("Azul Petróleo",M79)))</formula>
    </cfRule>
    <cfRule type="containsText" dxfId="2307" priority="2602" operator="containsText" text="Preto">
      <formula>NOT(ISERROR(SEARCH("Preto",M79)))</formula>
    </cfRule>
    <cfRule type="containsText" priority="2603" operator="containsText" text="Branco">
      <formula>NOT(ISERROR(SEARCH("Branco",M79)))</formula>
    </cfRule>
    <cfRule type="containsText" dxfId="2306" priority="2604" operator="containsText" text="Bege">
      <formula>NOT(ISERROR(SEARCH("Bege",M79)))</formula>
    </cfRule>
  </conditionalFormatting>
  <conditionalFormatting sqref="M79">
    <cfRule type="containsText" dxfId="2305" priority="2587" operator="containsText" text="Cinza">
      <formula>NOT(ISERROR(SEARCH("Cinza",M79)))</formula>
    </cfRule>
    <cfRule type="containsText" dxfId="2304" priority="2588" operator="containsText" text="Púrpura">
      <formula>NOT(ISERROR(SEARCH("Púrpura",M79)))</formula>
    </cfRule>
    <cfRule type="containsText" dxfId="2303" priority="2589" operator="containsText" text="Rosa">
      <formula>NOT(ISERROR(SEARCH("Rosa",M79)))</formula>
    </cfRule>
    <cfRule type="containsText" dxfId="2302" priority="2590" operator="containsText" text="Castanho">
      <formula>NOT(ISERROR(SEARCH("Castanho",M79)))</formula>
    </cfRule>
    <cfRule type="containsText" dxfId="2301" priority="2591" operator="containsText" text="Verde Água">
      <formula>NOT(ISERROR(SEARCH("Verde Água",M79)))</formula>
    </cfRule>
    <cfRule type="containsText" dxfId="2300" priority="2592" operator="containsText" text="Azul Petróleo">
      <formula>NOT(ISERROR(SEARCH("Azul Petróleo",M79)))</formula>
    </cfRule>
    <cfRule type="containsText" dxfId="2299" priority="2593" operator="containsText" text="Preto">
      <formula>NOT(ISERROR(SEARCH("Preto",M79)))</formula>
    </cfRule>
    <cfRule type="containsText" priority="2594" operator="containsText" text="Branco">
      <formula>NOT(ISERROR(SEARCH("Branco",M79)))</formula>
    </cfRule>
    <cfRule type="containsText" dxfId="2298" priority="2595" operator="containsText" text="Bege">
      <formula>NOT(ISERROR(SEARCH("Bege",M79)))</formula>
    </cfRule>
  </conditionalFormatting>
  <conditionalFormatting sqref="M79">
    <cfRule type="containsText" dxfId="2297" priority="2578" operator="containsText" text="Cinza">
      <formula>NOT(ISERROR(SEARCH("Cinza",M79)))</formula>
    </cfRule>
    <cfRule type="containsText" dxfId="2296" priority="2579" operator="containsText" text="Púrpura">
      <formula>NOT(ISERROR(SEARCH("Púrpura",M79)))</formula>
    </cfRule>
    <cfRule type="containsText" dxfId="2295" priority="2580" operator="containsText" text="Rosa">
      <formula>NOT(ISERROR(SEARCH("Rosa",M79)))</formula>
    </cfRule>
    <cfRule type="containsText" dxfId="2294" priority="2581" operator="containsText" text="Castanho">
      <formula>NOT(ISERROR(SEARCH("Castanho",M79)))</formula>
    </cfRule>
    <cfRule type="containsText" dxfId="2293" priority="2582" operator="containsText" text="Verde Água">
      <formula>NOT(ISERROR(SEARCH("Verde Água",M79)))</formula>
    </cfRule>
    <cfRule type="containsText" dxfId="2292" priority="2583" operator="containsText" text="Azul Petróleo">
      <formula>NOT(ISERROR(SEARCH("Azul Petróleo",M79)))</formula>
    </cfRule>
    <cfRule type="containsText" dxfId="2291" priority="2584" operator="containsText" text="Preto">
      <formula>NOT(ISERROR(SEARCH("Preto",M79)))</formula>
    </cfRule>
    <cfRule type="containsText" priority="2585" operator="containsText" text="Branco">
      <formula>NOT(ISERROR(SEARCH("Branco",M79)))</formula>
    </cfRule>
    <cfRule type="containsText" dxfId="2290" priority="2586" operator="containsText" text="Bege">
      <formula>NOT(ISERROR(SEARCH("Bege",M79)))</formula>
    </cfRule>
  </conditionalFormatting>
  <conditionalFormatting sqref="M79">
    <cfRule type="containsText" dxfId="2289" priority="2569" operator="containsText" text="Cinza">
      <formula>NOT(ISERROR(SEARCH("Cinza",M79)))</formula>
    </cfRule>
    <cfRule type="containsText" dxfId="2288" priority="2570" operator="containsText" text="Púrpura">
      <formula>NOT(ISERROR(SEARCH("Púrpura",M79)))</formula>
    </cfRule>
    <cfRule type="containsText" dxfId="2287" priority="2571" operator="containsText" text="Rosa">
      <formula>NOT(ISERROR(SEARCH("Rosa",M79)))</formula>
    </cfRule>
    <cfRule type="containsText" dxfId="2286" priority="2572" operator="containsText" text="Castanho">
      <formula>NOT(ISERROR(SEARCH("Castanho",M79)))</formula>
    </cfRule>
    <cfRule type="containsText" dxfId="2285" priority="2573" operator="containsText" text="Verde Água">
      <formula>NOT(ISERROR(SEARCH("Verde Água",M79)))</formula>
    </cfRule>
    <cfRule type="containsText" dxfId="2284" priority="2574" operator="containsText" text="Azul Petróleo">
      <formula>NOT(ISERROR(SEARCH("Azul Petróleo",M79)))</formula>
    </cfRule>
    <cfRule type="containsText" dxfId="2283" priority="2575" operator="containsText" text="Preto">
      <formula>NOT(ISERROR(SEARCH("Preto",M79)))</formula>
    </cfRule>
    <cfRule type="containsText" priority="2576" operator="containsText" text="Branco">
      <formula>NOT(ISERROR(SEARCH("Branco",M79)))</formula>
    </cfRule>
    <cfRule type="containsText" dxfId="2282" priority="2577" operator="containsText" text="Bege">
      <formula>NOT(ISERROR(SEARCH("Bege",M79)))</formula>
    </cfRule>
  </conditionalFormatting>
  <conditionalFormatting sqref="M79">
    <cfRule type="containsText" dxfId="2281" priority="2560" operator="containsText" text="Cinza">
      <formula>NOT(ISERROR(SEARCH("Cinza",M79)))</formula>
    </cfRule>
    <cfRule type="containsText" dxfId="2280" priority="2561" operator="containsText" text="Púrpura">
      <formula>NOT(ISERROR(SEARCH("Púrpura",M79)))</formula>
    </cfRule>
    <cfRule type="containsText" dxfId="2279" priority="2562" operator="containsText" text="Rosa">
      <formula>NOT(ISERROR(SEARCH("Rosa",M79)))</formula>
    </cfRule>
    <cfRule type="containsText" dxfId="2278" priority="2563" operator="containsText" text="Castanho">
      <formula>NOT(ISERROR(SEARCH("Castanho",M79)))</formula>
    </cfRule>
    <cfRule type="containsText" dxfId="2277" priority="2564" operator="containsText" text="Verde Água">
      <formula>NOT(ISERROR(SEARCH("Verde Água",M79)))</formula>
    </cfRule>
    <cfRule type="containsText" dxfId="2276" priority="2565" operator="containsText" text="Azul Petróleo">
      <formula>NOT(ISERROR(SEARCH("Azul Petróleo",M79)))</formula>
    </cfRule>
    <cfRule type="containsText" dxfId="2275" priority="2566" operator="containsText" text="Preto">
      <formula>NOT(ISERROR(SEARCH("Preto",M79)))</formula>
    </cfRule>
    <cfRule type="containsText" priority="2567" operator="containsText" text="Branco">
      <formula>NOT(ISERROR(SEARCH("Branco",M79)))</formula>
    </cfRule>
    <cfRule type="containsText" dxfId="2274" priority="2568" operator="containsText" text="Bege">
      <formula>NOT(ISERROR(SEARCH("Bege",M79)))</formula>
    </cfRule>
  </conditionalFormatting>
  <conditionalFormatting sqref="M79">
    <cfRule type="containsText" dxfId="2273" priority="2551" operator="containsText" text="Cinza">
      <formula>NOT(ISERROR(SEARCH("Cinza",M79)))</formula>
    </cfRule>
    <cfRule type="containsText" dxfId="2272" priority="2552" operator="containsText" text="Púrpura">
      <formula>NOT(ISERROR(SEARCH("Púrpura",M79)))</formula>
    </cfRule>
    <cfRule type="containsText" dxfId="2271" priority="2553" operator="containsText" text="Rosa">
      <formula>NOT(ISERROR(SEARCH("Rosa",M79)))</formula>
    </cfRule>
    <cfRule type="containsText" dxfId="2270" priority="2554" operator="containsText" text="Castanho">
      <formula>NOT(ISERROR(SEARCH("Castanho",M79)))</formula>
    </cfRule>
    <cfRule type="containsText" dxfId="2269" priority="2555" operator="containsText" text="Verde Água">
      <formula>NOT(ISERROR(SEARCH("Verde Água",M79)))</formula>
    </cfRule>
    <cfRule type="containsText" dxfId="2268" priority="2556" operator="containsText" text="Azul Petróleo">
      <formula>NOT(ISERROR(SEARCH("Azul Petróleo",M79)))</formula>
    </cfRule>
    <cfRule type="containsText" dxfId="2267" priority="2557" operator="containsText" text="Preto">
      <formula>NOT(ISERROR(SEARCH("Preto",M79)))</formula>
    </cfRule>
    <cfRule type="containsText" priority="2558" operator="containsText" text="Branco">
      <formula>NOT(ISERROR(SEARCH("Branco",M79)))</formula>
    </cfRule>
    <cfRule type="containsText" dxfId="2266" priority="2559" operator="containsText" text="Bege">
      <formula>NOT(ISERROR(SEARCH("Bege",M79)))</formula>
    </cfRule>
  </conditionalFormatting>
  <conditionalFormatting sqref="M79">
    <cfRule type="containsText" dxfId="2265" priority="2542" operator="containsText" text="Cinza">
      <formula>NOT(ISERROR(SEARCH("Cinza",M79)))</formula>
    </cfRule>
    <cfRule type="containsText" dxfId="2264" priority="2543" operator="containsText" text="Púrpura">
      <formula>NOT(ISERROR(SEARCH("Púrpura",M79)))</formula>
    </cfRule>
    <cfRule type="containsText" dxfId="2263" priority="2544" operator="containsText" text="Rosa">
      <formula>NOT(ISERROR(SEARCH("Rosa",M79)))</formula>
    </cfRule>
    <cfRule type="containsText" dxfId="2262" priority="2545" operator="containsText" text="Castanho">
      <formula>NOT(ISERROR(SEARCH("Castanho",M79)))</formula>
    </cfRule>
    <cfRule type="containsText" dxfId="2261" priority="2546" operator="containsText" text="Verde Água">
      <formula>NOT(ISERROR(SEARCH("Verde Água",M79)))</formula>
    </cfRule>
    <cfRule type="containsText" dxfId="2260" priority="2547" operator="containsText" text="Azul Petróleo">
      <formula>NOT(ISERROR(SEARCH("Azul Petróleo",M79)))</formula>
    </cfRule>
    <cfRule type="containsText" dxfId="2259" priority="2548" operator="containsText" text="Preto">
      <formula>NOT(ISERROR(SEARCH("Preto",M79)))</formula>
    </cfRule>
    <cfRule type="containsText" priority="2549" operator="containsText" text="Branco">
      <formula>NOT(ISERROR(SEARCH("Branco",M79)))</formula>
    </cfRule>
    <cfRule type="containsText" dxfId="2258" priority="2550" operator="containsText" text="Bege">
      <formula>NOT(ISERROR(SEARCH("Bege",M79)))</formula>
    </cfRule>
  </conditionalFormatting>
  <conditionalFormatting sqref="M79">
    <cfRule type="containsText" dxfId="2257" priority="2533" operator="containsText" text="Cinza">
      <formula>NOT(ISERROR(SEARCH("Cinza",M79)))</formula>
    </cfRule>
    <cfRule type="containsText" dxfId="2256" priority="2534" operator="containsText" text="Púrpura">
      <formula>NOT(ISERROR(SEARCH("Púrpura",M79)))</formula>
    </cfRule>
    <cfRule type="containsText" dxfId="2255" priority="2535" operator="containsText" text="Rosa">
      <formula>NOT(ISERROR(SEARCH("Rosa",M79)))</formula>
    </cfRule>
    <cfRule type="containsText" dxfId="2254" priority="2536" operator="containsText" text="Castanho">
      <formula>NOT(ISERROR(SEARCH("Castanho",M79)))</formula>
    </cfRule>
    <cfRule type="containsText" dxfId="2253" priority="2537" operator="containsText" text="Verde Água">
      <formula>NOT(ISERROR(SEARCH("Verde Água",M79)))</formula>
    </cfRule>
    <cfRule type="containsText" dxfId="2252" priority="2538" operator="containsText" text="Azul Petróleo">
      <formula>NOT(ISERROR(SEARCH("Azul Petróleo",M79)))</formula>
    </cfRule>
    <cfRule type="containsText" dxfId="2251" priority="2539" operator="containsText" text="Preto">
      <formula>NOT(ISERROR(SEARCH("Preto",M79)))</formula>
    </cfRule>
    <cfRule type="containsText" priority="2540" operator="containsText" text="Branco">
      <formula>NOT(ISERROR(SEARCH("Branco",M79)))</formula>
    </cfRule>
    <cfRule type="containsText" dxfId="2250" priority="2541" operator="containsText" text="Bege">
      <formula>NOT(ISERROR(SEARCH("Bege",M79)))</formula>
    </cfRule>
  </conditionalFormatting>
  <conditionalFormatting sqref="M79">
    <cfRule type="containsText" dxfId="2249" priority="2524" operator="containsText" text="Cinza">
      <formula>NOT(ISERROR(SEARCH("Cinza",M79)))</formula>
    </cfRule>
    <cfRule type="containsText" dxfId="2248" priority="2525" operator="containsText" text="Púrpura">
      <formula>NOT(ISERROR(SEARCH("Púrpura",M79)))</formula>
    </cfRule>
    <cfRule type="containsText" dxfId="2247" priority="2526" operator="containsText" text="Rosa">
      <formula>NOT(ISERROR(SEARCH("Rosa",M79)))</formula>
    </cfRule>
    <cfRule type="containsText" dxfId="2246" priority="2527" operator="containsText" text="Castanho">
      <formula>NOT(ISERROR(SEARCH("Castanho",M79)))</formula>
    </cfRule>
    <cfRule type="containsText" dxfId="2245" priority="2528" operator="containsText" text="Verde Água">
      <formula>NOT(ISERROR(SEARCH("Verde Água",M79)))</formula>
    </cfRule>
    <cfRule type="containsText" dxfId="2244" priority="2529" operator="containsText" text="Azul Petróleo">
      <formula>NOT(ISERROR(SEARCH("Azul Petróleo",M79)))</formula>
    </cfRule>
    <cfRule type="containsText" dxfId="2243" priority="2530" operator="containsText" text="Preto">
      <formula>NOT(ISERROR(SEARCH("Preto",M79)))</formula>
    </cfRule>
    <cfRule type="containsText" priority="2531" operator="containsText" text="Branco">
      <formula>NOT(ISERROR(SEARCH("Branco",M79)))</formula>
    </cfRule>
    <cfRule type="containsText" dxfId="2242" priority="2532" operator="containsText" text="Bege">
      <formula>NOT(ISERROR(SEARCH("Bege",M79)))</formula>
    </cfRule>
  </conditionalFormatting>
  <conditionalFormatting sqref="M79">
    <cfRule type="containsText" dxfId="2241" priority="2515" operator="containsText" text="Cinza">
      <formula>NOT(ISERROR(SEARCH("Cinza",M79)))</formula>
    </cfRule>
    <cfRule type="containsText" dxfId="2240" priority="2516" operator="containsText" text="Púrpura">
      <formula>NOT(ISERROR(SEARCH("Púrpura",M79)))</formula>
    </cfRule>
    <cfRule type="containsText" dxfId="2239" priority="2517" operator="containsText" text="Rosa">
      <formula>NOT(ISERROR(SEARCH("Rosa",M79)))</formula>
    </cfRule>
    <cfRule type="containsText" dxfId="2238" priority="2518" operator="containsText" text="Castanho">
      <formula>NOT(ISERROR(SEARCH("Castanho",M79)))</formula>
    </cfRule>
    <cfRule type="containsText" dxfId="2237" priority="2519" operator="containsText" text="Verde Água">
      <formula>NOT(ISERROR(SEARCH("Verde Água",M79)))</formula>
    </cfRule>
    <cfRule type="containsText" dxfId="2236" priority="2520" operator="containsText" text="Azul Petróleo">
      <formula>NOT(ISERROR(SEARCH("Azul Petróleo",M79)))</formula>
    </cfRule>
    <cfRule type="containsText" dxfId="2235" priority="2521" operator="containsText" text="Preto">
      <formula>NOT(ISERROR(SEARCH("Preto",M79)))</formula>
    </cfRule>
    <cfRule type="containsText" priority="2522" operator="containsText" text="Branco">
      <formula>NOT(ISERROR(SEARCH("Branco",M79)))</formula>
    </cfRule>
    <cfRule type="containsText" dxfId="2234" priority="2523" operator="containsText" text="Bege">
      <formula>NOT(ISERROR(SEARCH("Bege",M79)))</formula>
    </cfRule>
  </conditionalFormatting>
  <conditionalFormatting sqref="M79">
    <cfRule type="containsText" dxfId="2233" priority="2506" operator="containsText" text="Cinza">
      <formula>NOT(ISERROR(SEARCH("Cinza",M79)))</formula>
    </cfRule>
    <cfRule type="containsText" dxfId="2232" priority="2507" operator="containsText" text="Púrpura">
      <formula>NOT(ISERROR(SEARCH("Púrpura",M79)))</formula>
    </cfRule>
    <cfRule type="containsText" dxfId="2231" priority="2508" operator="containsText" text="Rosa">
      <formula>NOT(ISERROR(SEARCH("Rosa",M79)))</formula>
    </cfRule>
    <cfRule type="containsText" dxfId="2230" priority="2509" operator="containsText" text="Castanho">
      <formula>NOT(ISERROR(SEARCH("Castanho",M79)))</formula>
    </cfRule>
    <cfRule type="containsText" dxfId="2229" priority="2510" operator="containsText" text="Verde Água">
      <formula>NOT(ISERROR(SEARCH("Verde Água",M79)))</formula>
    </cfRule>
    <cfRule type="containsText" dxfId="2228" priority="2511" operator="containsText" text="Azul Petróleo">
      <formula>NOT(ISERROR(SEARCH("Azul Petróleo",M79)))</formula>
    </cfRule>
    <cfRule type="containsText" dxfId="2227" priority="2512" operator="containsText" text="Preto">
      <formula>NOT(ISERROR(SEARCH("Preto",M79)))</formula>
    </cfRule>
    <cfRule type="containsText" priority="2513" operator="containsText" text="Branco">
      <formula>NOT(ISERROR(SEARCH("Branco",M79)))</formula>
    </cfRule>
    <cfRule type="containsText" dxfId="2226" priority="2514" operator="containsText" text="Bege">
      <formula>NOT(ISERROR(SEARCH("Bege",M79)))</formula>
    </cfRule>
  </conditionalFormatting>
  <conditionalFormatting sqref="M79">
    <cfRule type="containsText" dxfId="2225" priority="2497" operator="containsText" text="Cinza">
      <formula>NOT(ISERROR(SEARCH("Cinza",M79)))</formula>
    </cfRule>
    <cfRule type="containsText" dxfId="2224" priority="2498" operator="containsText" text="Púrpura">
      <formula>NOT(ISERROR(SEARCH("Púrpura",M79)))</formula>
    </cfRule>
    <cfRule type="containsText" dxfId="2223" priority="2499" operator="containsText" text="Rosa">
      <formula>NOT(ISERROR(SEARCH("Rosa",M79)))</formula>
    </cfRule>
    <cfRule type="containsText" dxfId="2222" priority="2500" operator="containsText" text="Castanho">
      <formula>NOT(ISERROR(SEARCH("Castanho",M79)))</formula>
    </cfRule>
    <cfRule type="containsText" dxfId="2221" priority="2501" operator="containsText" text="Verde Água">
      <formula>NOT(ISERROR(SEARCH("Verde Água",M79)))</formula>
    </cfRule>
    <cfRule type="containsText" dxfId="2220" priority="2502" operator="containsText" text="Azul Petróleo">
      <formula>NOT(ISERROR(SEARCH("Azul Petróleo",M79)))</formula>
    </cfRule>
    <cfRule type="containsText" dxfId="2219" priority="2503" operator="containsText" text="Preto">
      <formula>NOT(ISERROR(SEARCH("Preto",M79)))</formula>
    </cfRule>
    <cfRule type="containsText" priority="2504" operator="containsText" text="Branco">
      <formula>NOT(ISERROR(SEARCH("Branco",M79)))</formula>
    </cfRule>
    <cfRule type="containsText" dxfId="2218" priority="2505" operator="containsText" text="Bege">
      <formula>NOT(ISERROR(SEARCH("Bege",M79)))</formula>
    </cfRule>
  </conditionalFormatting>
  <conditionalFormatting sqref="M79">
    <cfRule type="containsText" dxfId="2217" priority="2488" operator="containsText" text="Cinza">
      <formula>NOT(ISERROR(SEARCH("Cinza",M79)))</formula>
    </cfRule>
    <cfRule type="containsText" dxfId="2216" priority="2489" operator="containsText" text="Púrpura">
      <formula>NOT(ISERROR(SEARCH("Púrpura",M79)))</formula>
    </cfRule>
    <cfRule type="containsText" dxfId="2215" priority="2490" operator="containsText" text="Rosa">
      <formula>NOT(ISERROR(SEARCH("Rosa",M79)))</formula>
    </cfRule>
    <cfRule type="containsText" dxfId="2214" priority="2491" operator="containsText" text="Castanho">
      <formula>NOT(ISERROR(SEARCH("Castanho",M79)))</formula>
    </cfRule>
    <cfRule type="containsText" dxfId="2213" priority="2492" operator="containsText" text="Verde Água">
      <formula>NOT(ISERROR(SEARCH("Verde Água",M79)))</formula>
    </cfRule>
    <cfRule type="containsText" dxfId="2212" priority="2493" operator="containsText" text="Azul Petróleo">
      <formula>NOT(ISERROR(SEARCH("Azul Petróleo",M79)))</formula>
    </cfRule>
    <cfRule type="containsText" dxfId="2211" priority="2494" operator="containsText" text="Preto">
      <formula>NOT(ISERROR(SEARCH("Preto",M79)))</formula>
    </cfRule>
    <cfRule type="containsText" priority="2495" operator="containsText" text="Branco">
      <formula>NOT(ISERROR(SEARCH("Branco",M79)))</formula>
    </cfRule>
    <cfRule type="containsText" dxfId="2210" priority="2496" operator="containsText" text="Bege">
      <formula>NOT(ISERROR(SEARCH("Bege",M79)))</formula>
    </cfRule>
  </conditionalFormatting>
  <conditionalFormatting sqref="M79">
    <cfRule type="containsText" dxfId="2209" priority="2479" operator="containsText" text="Cinza">
      <formula>NOT(ISERROR(SEARCH("Cinza",M79)))</formula>
    </cfRule>
    <cfRule type="containsText" dxfId="2208" priority="2480" operator="containsText" text="Púrpura">
      <formula>NOT(ISERROR(SEARCH("Púrpura",M79)))</formula>
    </cfRule>
    <cfRule type="containsText" dxfId="2207" priority="2481" operator="containsText" text="Rosa">
      <formula>NOT(ISERROR(SEARCH("Rosa",M79)))</formula>
    </cfRule>
    <cfRule type="containsText" dxfId="2206" priority="2482" operator="containsText" text="Castanho">
      <formula>NOT(ISERROR(SEARCH("Castanho",M79)))</formula>
    </cfRule>
    <cfRule type="containsText" dxfId="2205" priority="2483" operator="containsText" text="Verde Água">
      <formula>NOT(ISERROR(SEARCH("Verde Água",M79)))</formula>
    </cfRule>
    <cfRule type="containsText" dxfId="2204" priority="2484" operator="containsText" text="Azul Petróleo">
      <formula>NOT(ISERROR(SEARCH("Azul Petróleo",M79)))</formula>
    </cfRule>
    <cfRule type="containsText" dxfId="2203" priority="2485" operator="containsText" text="Preto">
      <formula>NOT(ISERROR(SEARCH("Preto",M79)))</formula>
    </cfRule>
    <cfRule type="containsText" priority="2486" operator="containsText" text="Branco">
      <formula>NOT(ISERROR(SEARCH("Branco",M79)))</formula>
    </cfRule>
    <cfRule type="containsText" dxfId="2202" priority="2487" operator="containsText" text="Bege">
      <formula>NOT(ISERROR(SEARCH("Bege",M79)))</formula>
    </cfRule>
  </conditionalFormatting>
  <conditionalFormatting sqref="M79">
    <cfRule type="containsText" dxfId="2201" priority="2470" operator="containsText" text="Cinza">
      <formula>NOT(ISERROR(SEARCH("Cinza",M79)))</formula>
    </cfRule>
    <cfRule type="containsText" dxfId="2200" priority="2471" operator="containsText" text="Púrpura">
      <formula>NOT(ISERROR(SEARCH("Púrpura",M79)))</formula>
    </cfRule>
    <cfRule type="containsText" dxfId="2199" priority="2472" operator="containsText" text="Rosa">
      <formula>NOT(ISERROR(SEARCH("Rosa",M79)))</formula>
    </cfRule>
    <cfRule type="containsText" dxfId="2198" priority="2473" operator="containsText" text="Castanho">
      <formula>NOT(ISERROR(SEARCH("Castanho",M79)))</formula>
    </cfRule>
    <cfRule type="containsText" dxfId="2197" priority="2474" operator="containsText" text="Verde Água">
      <formula>NOT(ISERROR(SEARCH("Verde Água",M79)))</formula>
    </cfRule>
    <cfRule type="containsText" dxfId="2196" priority="2475" operator="containsText" text="Azul Petróleo">
      <formula>NOT(ISERROR(SEARCH("Azul Petróleo",M79)))</formula>
    </cfRule>
    <cfRule type="containsText" dxfId="2195" priority="2476" operator="containsText" text="Preto">
      <formula>NOT(ISERROR(SEARCH("Preto",M79)))</formula>
    </cfRule>
    <cfRule type="containsText" priority="2477" operator="containsText" text="Branco">
      <formula>NOT(ISERROR(SEARCH("Branco",M79)))</formula>
    </cfRule>
    <cfRule type="containsText" dxfId="2194" priority="2478" operator="containsText" text="Bege">
      <formula>NOT(ISERROR(SEARCH("Bege",M79)))</formula>
    </cfRule>
  </conditionalFormatting>
  <conditionalFormatting sqref="M79">
    <cfRule type="containsText" dxfId="2193" priority="2461" operator="containsText" text="Cinza">
      <formula>NOT(ISERROR(SEARCH("Cinza",M79)))</formula>
    </cfRule>
    <cfRule type="containsText" dxfId="2192" priority="2462" operator="containsText" text="Púrpura">
      <formula>NOT(ISERROR(SEARCH("Púrpura",M79)))</formula>
    </cfRule>
    <cfRule type="containsText" dxfId="2191" priority="2463" operator="containsText" text="Rosa">
      <formula>NOT(ISERROR(SEARCH("Rosa",M79)))</formula>
    </cfRule>
    <cfRule type="containsText" dxfId="2190" priority="2464" operator="containsText" text="Castanho">
      <formula>NOT(ISERROR(SEARCH("Castanho",M79)))</formula>
    </cfRule>
    <cfRule type="containsText" dxfId="2189" priority="2465" operator="containsText" text="Verde Água">
      <formula>NOT(ISERROR(SEARCH("Verde Água",M79)))</formula>
    </cfRule>
    <cfRule type="containsText" dxfId="2188" priority="2466" operator="containsText" text="Azul Petróleo">
      <formula>NOT(ISERROR(SEARCH("Azul Petróleo",M79)))</formula>
    </cfRule>
    <cfRule type="containsText" dxfId="2187" priority="2467" operator="containsText" text="Preto">
      <formula>NOT(ISERROR(SEARCH("Preto",M79)))</formula>
    </cfRule>
    <cfRule type="containsText" priority="2468" operator="containsText" text="Branco">
      <formula>NOT(ISERROR(SEARCH("Branco",M79)))</formula>
    </cfRule>
    <cfRule type="containsText" dxfId="2186" priority="2469" operator="containsText" text="Bege">
      <formula>NOT(ISERROR(SEARCH("Bege",M79)))</formula>
    </cfRule>
  </conditionalFormatting>
  <conditionalFormatting sqref="M79">
    <cfRule type="containsText" dxfId="2185" priority="2452" operator="containsText" text="Cinza">
      <formula>NOT(ISERROR(SEARCH("Cinza",M79)))</formula>
    </cfRule>
    <cfRule type="containsText" dxfId="2184" priority="2453" operator="containsText" text="Púrpura">
      <formula>NOT(ISERROR(SEARCH("Púrpura",M79)))</formula>
    </cfRule>
    <cfRule type="containsText" dxfId="2183" priority="2454" operator="containsText" text="Rosa">
      <formula>NOT(ISERROR(SEARCH("Rosa",M79)))</formula>
    </cfRule>
    <cfRule type="containsText" dxfId="2182" priority="2455" operator="containsText" text="Castanho">
      <formula>NOT(ISERROR(SEARCH("Castanho",M79)))</formula>
    </cfRule>
    <cfRule type="containsText" dxfId="2181" priority="2456" operator="containsText" text="Verde Água">
      <formula>NOT(ISERROR(SEARCH("Verde Água",M79)))</formula>
    </cfRule>
    <cfRule type="containsText" dxfId="2180" priority="2457" operator="containsText" text="Azul Petróleo">
      <formula>NOT(ISERROR(SEARCH("Azul Petróleo",M79)))</formula>
    </cfRule>
    <cfRule type="containsText" dxfId="2179" priority="2458" operator="containsText" text="Preto">
      <formula>NOT(ISERROR(SEARCH("Preto",M79)))</formula>
    </cfRule>
    <cfRule type="containsText" priority="2459" operator="containsText" text="Branco">
      <formula>NOT(ISERROR(SEARCH("Branco",M79)))</formula>
    </cfRule>
    <cfRule type="containsText" dxfId="2178" priority="2460" operator="containsText" text="Bege">
      <formula>NOT(ISERROR(SEARCH("Bege",M79)))</formula>
    </cfRule>
  </conditionalFormatting>
  <conditionalFormatting sqref="M79">
    <cfRule type="containsText" dxfId="2177" priority="2443" operator="containsText" text="Cinza">
      <formula>NOT(ISERROR(SEARCH("Cinza",M79)))</formula>
    </cfRule>
    <cfRule type="containsText" dxfId="2176" priority="2444" operator="containsText" text="Púrpura">
      <formula>NOT(ISERROR(SEARCH("Púrpura",M79)))</formula>
    </cfRule>
    <cfRule type="containsText" dxfId="2175" priority="2445" operator="containsText" text="Rosa">
      <formula>NOT(ISERROR(SEARCH("Rosa",M79)))</formula>
    </cfRule>
    <cfRule type="containsText" dxfId="2174" priority="2446" operator="containsText" text="Castanho">
      <formula>NOT(ISERROR(SEARCH("Castanho",M79)))</formula>
    </cfRule>
    <cfRule type="containsText" dxfId="2173" priority="2447" operator="containsText" text="Verde Água">
      <formula>NOT(ISERROR(SEARCH("Verde Água",M79)))</formula>
    </cfRule>
    <cfRule type="containsText" dxfId="2172" priority="2448" operator="containsText" text="Azul Petróleo">
      <formula>NOT(ISERROR(SEARCH("Azul Petróleo",M79)))</formula>
    </cfRule>
    <cfRule type="containsText" dxfId="2171" priority="2449" operator="containsText" text="Preto">
      <formula>NOT(ISERROR(SEARCH("Preto",M79)))</formula>
    </cfRule>
    <cfRule type="containsText" priority="2450" operator="containsText" text="Branco">
      <formula>NOT(ISERROR(SEARCH("Branco",M79)))</formula>
    </cfRule>
    <cfRule type="containsText" dxfId="2170" priority="2451" operator="containsText" text="Bege">
      <formula>NOT(ISERROR(SEARCH("Bege",M79)))</formula>
    </cfRule>
  </conditionalFormatting>
  <conditionalFormatting sqref="M79">
    <cfRule type="containsText" dxfId="2169" priority="2434" operator="containsText" text="Cinza">
      <formula>NOT(ISERROR(SEARCH("Cinza",M79)))</formula>
    </cfRule>
    <cfRule type="containsText" dxfId="2168" priority="2435" operator="containsText" text="Púrpura">
      <formula>NOT(ISERROR(SEARCH("Púrpura",M79)))</formula>
    </cfRule>
    <cfRule type="containsText" dxfId="2167" priority="2436" operator="containsText" text="Rosa">
      <formula>NOT(ISERROR(SEARCH("Rosa",M79)))</formula>
    </cfRule>
    <cfRule type="containsText" dxfId="2166" priority="2437" operator="containsText" text="Castanho">
      <formula>NOT(ISERROR(SEARCH("Castanho",M79)))</formula>
    </cfRule>
    <cfRule type="containsText" dxfId="2165" priority="2438" operator="containsText" text="Verde Água">
      <formula>NOT(ISERROR(SEARCH("Verde Água",M79)))</formula>
    </cfRule>
    <cfRule type="containsText" dxfId="2164" priority="2439" operator="containsText" text="Azul Petróleo">
      <formula>NOT(ISERROR(SEARCH("Azul Petróleo",M79)))</formula>
    </cfRule>
    <cfRule type="containsText" dxfId="2163" priority="2440" operator="containsText" text="Preto">
      <formula>NOT(ISERROR(SEARCH("Preto",M79)))</formula>
    </cfRule>
    <cfRule type="containsText" priority="2441" operator="containsText" text="Branco">
      <formula>NOT(ISERROR(SEARCH("Branco",M79)))</formula>
    </cfRule>
    <cfRule type="containsText" dxfId="2162" priority="2442" operator="containsText" text="Bege">
      <formula>NOT(ISERROR(SEARCH("Bege",M79)))</formula>
    </cfRule>
  </conditionalFormatting>
  <conditionalFormatting sqref="M79">
    <cfRule type="containsText" dxfId="2161" priority="2425" operator="containsText" text="Cinza">
      <formula>NOT(ISERROR(SEARCH("Cinza",M79)))</formula>
    </cfRule>
    <cfRule type="containsText" dxfId="2160" priority="2426" operator="containsText" text="Púrpura">
      <formula>NOT(ISERROR(SEARCH("Púrpura",M79)))</formula>
    </cfRule>
    <cfRule type="containsText" dxfId="2159" priority="2427" operator="containsText" text="Rosa">
      <formula>NOT(ISERROR(SEARCH("Rosa",M79)))</formula>
    </cfRule>
    <cfRule type="containsText" dxfId="2158" priority="2428" operator="containsText" text="Castanho">
      <formula>NOT(ISERROR(SEARCH("Castanho",M79)))</formula>
    </cfRule>
    <cfRule type="containsText" dxfId="2157" priority="2429" operator="containsText" text="Verde Água">
      <formula>NOT(ISERROR(SEARCH("Verde Água",M79)))</formula>
    </cfRule>
    <cfRule type="containsText" dxfId="2156" priority="2430" operator="containsText" text="Azul Petróleo">
      <formula>NOT(ISERROR(SEARCH("Azul Petróleo",M79)))</formula>
    </cfRule>
    <cfRule type="containsText" dxfId="2155" priority="2431" operator="containsText" text="Preto">
      <formula>NOT(ISERROR(SEARCH("Preto",M79)))</formula>
    </cfRule>
    <cfRule type="containsText" priority="2432" operator="containsText" text="Branco">
      <formula>NOT(ISERROR(SEARCH("Branco",M79)))</formula>
    </cfRule>
    <cfRule type="containsText" dxfId="2154" priority="2433" operator="containsText" text="Bege">
      <formula>NOT(ISERROR(SEARCH("Bege",M79)))</formula>
    </cfRule>
  </conditionalFormatting>
  <conditionalFormatting sqref="M79">
    <cfRule type="containsText" dxfId="2153" priority="2416" operator="containsText" text="Cinza">
      <formula>NOT(ISERROR(SEARCH("Cinza",M79)))</formula>
    </cfRule>
    <cfRule type="containsText" dxfId="2152" priority="2417" operator="containsText" text="Púrpura">
      <formula>NOT(ISERROR(SEARCH("Púrpura",M79)))</formula>
    </cfRule>
    <cfRule type="containsText" dxfId="2151" priority="2418" operator="containsText" text="Rosa">
      <formula>NOT(ISERROR(SEARCH("Rosa",M79)))</formula>
    </cfRule>
    <cfRule type="containsText" dxfId="2150" priority="2419" operator="containsText" text="Castanho">
      <formula>NOT(ISERROR(SEARCH("Castanho",M79)))</formula>
    </cfRule>
    <cfRule type="containsText" dxfId="2149" priority="2420" operator="containsText" text="Verde Água">
      <formula>NOT(ISERROR(SEARCH("Verde Água",M79)))</formula>
    </cfRule>
    <cfRule type="containsText" dxfId="2148" priority="2421" operator="containsText" text="Azul Petróleo">
      <formula>NOT(ISERROR(SEARCH("Azul Petróleo",M79)))</formula>
    </cfRule>
    <cfRule type="containsText" dxfId="2147" priority="2422" operator="containsText" text="Preto">
      <formula>NOT(ISERROR(SEARCH("Preto",M79)))</formula>
    </cfRule>
    <cfRule type="containsText" priority="2423" operator="containsText" text="Branco">
      <formula>NOT(ISERROR(SEARCH("Branco",M79)))</formula>
    </cfRule>
    <cfRule type="containsText" dxfId="2146" priority="2424" operator="containsText" text="Bege">
      <formula>NOT(ISERROR(SEARCH("Bege",M79)))</formula>
    </cfRule>
  </conditionalFormatting>
  <conditionalFormatting sqref="M79">
    <cfRule type="containsText" dxfId="2145" priority="2407" operator="containsText" text="Cinza">
      <formula>NOT(ISERROR(SEARCH("Cinza",M79)))</formula>
    </cfRule>
    <cfRule type="containsText" dxfId="2144" priority="2408" operator="containsText" text="Púrpura">
      <formula>NOT(ISERROR(SEARCH("Púrpura",M79)))</formula>
    </cfRule>
    <cfRule type="containsText" dxfId="2143" priority="2409" operator="containsText" text="Rosa">
      <formula>NOT(ISERROR(SEARCH("Rosa",M79)))</formula>
    </cfRule>
    <cfRule type="containsText" dxfId="2142" priority="2410" operator="containsText" text="Castanho">
      <formula>NOT(ISERROR(SEARCH("Castanho",M79)))</formula>
    </cfRule>
    <cfRule type="containsText" dxfId="2141" priority="2411" operator="containsText" text="Verde Água">
      <formula>NOT(ISERROR(SEARCH("Verde Água",M79)))</formula>
    </cfRule>
    <cfRule type="containsText" dxfId="2140" priority="2412" operator="containsText" text="Azul Petróleo">
      <formula>NOT(ISERROR(SEARCH("Azul Petróleo",M79)))</formula>
    </cfRule>
    <cfRule type="containsText" dxfId="2139" priority="2413" operator="containsText" text="Preto">
      <formula>NOT(ISERROR(SEARCH("Preto",M79)))</formula>
    </cfRule>
    <cfRule type="containsText" priority="2414" operator="containsText" text="Branco">
      <formula>NOT(ISERROR(SEARCH("Branco",M79)))</formula>
    </cfRule>
    <cfRule type="containsText" dxfId="2138" priority="2415" operator="containsText" text="Bege">
      <formula>NOT(ISERROR(SEARCH("Bege",M79)))</formula>
    </cfRule>
  </conditionalFormatting>
  <conditionalFormatting sqref="M79">
    <cfRule type="containsText" dxfId="2137" priority="2398" operator="containsText" text="Cinza">
      <formula>NOT(ISERROR(SEARCH("Cinza",M79)))</formula>
    </cfRule>
    <cfRule type="containsText" dxfId="2136" priority="2399" operator="containsText" text="Púrpura">
      <formula>NOT(ISERROR(SEARCH("Púrpura",M79)))</formula>
    </cfRule>
    <cfRule type="containsText" dxfId="2135" priority="2400" operator="containsText" text="Rosa">
      <formula>NOT(ISERROR(SEARCH("Rosa",M79)))</formula>
    </cfRule>
    <cfRule type="containsText" dxfId="2134" priority="2401" operator="containsText" text="Castanho">
      <formula>NOT(ISERROR(SEARCH("Castanho",M79)))</formula>
    </cfRule>
    <cfRule type="containsText" dxfId="2133" priority="2402" operator="containsText" text="Verde Água">
      <formula>NOT(ISERROR(SEARCH("Verde Água",M79)))</formula>
    </cfRule>
    <cfRule type="containsText" dxfId="2132" priority="2403" operator="containsText" text="Azul Petróleo">
      <formula>NOT(ISERROR(SEARCH("Azul Petróleo",M79)))</formula>
    </cfRule>
    <cfRule type="containsText" dxfId="2131" priority="2404" operator="containsText" text="Preto">
      <formula>NOT(ISERROR(SEARCH("Preto",M79)))</formula>
    </cfRule>
    <cfRule type="containsText" priority="2405" operator="containsText" text="Branco">
      <formula>NOT(ISERROR(SEARCH("Branco",M79)))</formula>
    </cfRule>
    <cfRule type="containsText" dxfId="2130" priority="2406" operator="containsText" text="Bege">
      <formula>NOT(ISERROR(SEARCH("Bege",M79)))</formula>
    </cfRule>
  </conditionalFormatting>
  <conditionalFormatting sqref="M79">
    <cfRule type="containsText" dxfId="2129" priority="2389" operator="containsText" text="Escuro">
      <formula>NOT(ISERROR(SEARCH("Escuro",M79)))</formula>
    </cfRule>
    <cfRule type="containsText" dxfId="2128" priority="2390" operator="containsText" text="Cinza">
      <formula>NOT(ISERROR(SEARCH("Cinza",M79)))</formula>
    </cfRule>
    <cfRule type="containsText" dxfId="2127" priority="2391" operator="containsText" text="Púrpura">
      <formula>NOT(ISERROR(SEARCH("Púrpura",M79)))</formula>
    </cfRule>
    <cfRule type="containsText" dxfId="2126" priority="2392" operator="containsText" text="Rosa">
      <formula>NOT(ISERROR(SEARCH("Rosa",M79)))</formula>
    </cfRule>
    <cfRule type="containsText" dxfId="2125" priority="2393" operator="containsText" text="Castanho">
      <formula>NOT(ISERROR(SEARCH("Castanho",M79)))</formula>
    </cfRule>
    <cfRule type="containsText" dxfId="2124" priority="2394" operator="containsText" text="Verde Água">
      <formula>NOT(ISERROR(SEARCH("Verde Água",M79)))</formula>
    </cfRule>
    <cfRule type="containsText" dxfId="2123" priority="2395" operator="containsText" text="Azul Petróleo">
      <formula>NOT(ISERROR(SEARCH("Azul Petróleo",M79)))</formula>
    </cfRule>
    <cfRule type="containsText" dxfId="2122" priority="2396" operator="containsText" text="Preto">
      <formula>NOT(ISERROR(SEARCH("Preto",M79)))</formula>
    </cfRule>
    <cfRule type="containsText" priority="2397" operator="containsText" text="Branco">
      <formula>NOT(ISERROR(SEARCH("Branco",M79)))</formula>
    </cfRule>
  </conditionalFormatting>
  <conditionalFormatting sqref="M79">
    <cfRule type="containsText" dxfId="2121" priority="2379" operator="containsText" text="Escuro">
      <formula>NOT(ISERROR(SEARCH("Escuro",M79)))</formula>
    </cfRule>
    <cfRule type="containsText" dxfId="2120" priority="2380" operator="containsText" text="Cinza">
      <formula>NOT(ISERROR(SEARCH("Cinza",M79)))</formula>
    </cfRule>
    <cfRule type="containsText" dxfId="2119" priority="2381" operator="containsText" text="Púrpura">
      <formula>NOT(ISERROR(SEARCH("Púrpura",M79)))</formula>
    </cfRule>
    <cfRule type="containsText" dxfId="2118" priority="2382" operator="containsText" text="Rosa">
      <formula>NOT(ISERROR(SEARCH("Rosa",M79)))</formula>
    </cfRule>
    <cfRule type="containsText" dxfId="2117" priority="2383" operator="containsText" text="Castanho">
      <formula>NOT(ISERROR(SEARCH("Castanho",M79)))</formula>
    </cfRule>
    <cfRule type="containsText" dxfId="2116" priority="2384" operator="containsText" text="Verde Água">
      <formula>NOT(ISERROR(SEARCH("Verde Água",M79)))</formula>
    </cfRule>
    <cfRule type="containsText" dxfId="2115" priority="2385" operator="containsText" text="Azul Petróleo">
      <formula>NOT(ISERROR(SEARCH("Azul Petróleo",M79)))</formula>
    </cfRule>
    <cfRule type="containsText" dxfId="2114" priority="2386" operator="containsText" text="Preto">
      <formula>NOT(ISERROR(SEARCH("Preto",M79)))</formula>
    </cfRule>
    <cfRule type="containsText" priority="2387" operator="containsText" text="Branco">
      <formula>NOT(ISERROR(SEARCH("Branco",M79)))</formula>
    </cfRule>
    <cfRule type="containsText" dxfId="2113" priority="2388" operator="containsText" text="Bege">
      <formula>NOT(ISERROR(SEARCH("Bege",M79)))</formula>
    </cfRule>
  </conditionalFormatting>
  <conditionalFormatting sqref="M79">
    <cfRule type="containsText" dxfId="2112" priority="2370" operator="containsText" text="Cinza">
      <formula>NOT(ISERROR(SEARCH("Cinza",M79)))</formula>
    </cfRule>
    <cfRule type="containsText" dxfId="2111" priority="2371" operator="containsText" text="Púrpura">
      <formula>NOT(ISERROR(SEARCH("Púrpura",M79)))</formula>
    </cfRule>
    <cfRule type="containsText" dxfId="2110" priority="2372" operator="containsText" text="Rosa">
      <formula>NOT(ISERROR(SEARCH("Rosa",M79)))</formula>
    </cfRule>
    <cfRule type="containsText" dxfId="2109" priority="2373" operator="containsText" text="Castanho">
      <formula>NOT(ISERROR(SEARCH("Castanho",M79)))</formula>
    </cfRule>
    <cfRule type="containsText" dxfId="2108" priority="2374" operator="containsText" text="Verde Água">
      <formula>NOT(ISERROR(SEARCH("Verde Água",M79)))</formula>
    </cfRule>
    <cfRule type="containsText" dxfId="2107" priority="2375" operator="containsText" text="Azul Petróleo">
      <formula>NOT(ISERROR(SEARCH("Azul Petróleo",M79)))</formula>
    </cfRule>
    <cfRule type="containsText" dxfId="2106" priority="2376" operator="containsText" text="Preto">
      <formula>NOT(ISERROR(SEARCH("Preto",M79)))</formula>
    </cfRule>
    <cfRule type="containsText" priority="2377" operator="containsText" text="Branco">
      <formula>NOT(ISERROR(SEARCH("Branco",M79)))</formula>
    </cfRule>
    <cfRule type="containsText" dxfId="2105" priority="2378" operator="containsText" text="Bege">
      <formula>NOT(ISERROR(SEARCH("Bege",M79)))</formula>
    </cfRule>
  </conditionalFormatting>
  <conditionalFormatting sqref="M79">
    <cfRule type="containsText" dxfId="2104" priority="2361" operator="containsText" text="Cinza">
      <formula>NOT(ISERROR(SEARCH("Cinza",M79)))</formula>
    </cfRule>
    <cfRule type="containsText" dxfId="2103" priority="2362" operator="containsText" text="Púrpura">
      <formula>NOT(ISERROR(SEARCH("Púrpura",M79)))</formula>
    </cfRule>
    <cfRule type="containsText" dxfId="2102" priority="2363" operator="containsText" text="Rosa">
      <formula>NOT(ISERROR(SEARCH("Rosa",M79)))</formula>
    </cfRule>
    <cfRule type="containsText" dxfId="2101" priority="2364" operator="containsText" text="Castanho">
      <formula>NOT(ISERROR(SEARCH("Castanho",M79)))</formula>
    </cfRule>
    <cfRule type="containsText" dxfId="2100" priority="2365" operator="containsText" text="Verde Água">
      <formula>NOT(ISERROR(SEARCH("Verde Água",M79)))</formula>
    </cfRule>
    <cfRule type="containsText" dxfId="2099" priority="2366" operator="containsText" text="Azul Petróleo">
      <formula>NOT(ISERROR(SEARCH("Azul Petróleo",M79)))</formula>
    </cfRule>
    <cfRule type="containsText" dxfId="2098" priority="2367" operator="containsText" text="Preto">
      <formula>NOT(ISERROR(SEARCH("Preto",M79)))</formula>
    </cfRule>
    <cfRule type="containsText" priority="2368" operator="containsText" text="Branco">
      <formula>NOT(ISERROR(SEARCH("Branco",M79)))</formula>
    </cfRule>
    <cfRule type="containsText" dxfId="2097" priority="2369" operator="containsText" text="Bege">
      <formula>NOT(ISERROR(SEARCH("Bege",M79)))</formula>
    </cfRule>
  </conditionalFormatting>
  <conditionalFormatting sqref="M79">
    <cfRule type="containsText" dxfId="2096" priority="2352" operator="containsText" text="Cinza">
      <formula>NOT(ISERROR(SEARCH("Cinza",M79)))</formula>
    </cfRule>
    <cfRule type="containsText" dxfId="2095" priority="2353" operator="containsText" text="Púrpura">
      <formula>NOT(ISERROR(SEARCH("Púrpura",M79)))</formula>
    </cfRule>
    <cfRule type="containsText" dxfId="2094" priority="2354" operator="containsText" text="Rosa">
      <formula>NOT(ISERROR(SEARCH("Rosa",M79)))</formula>
    </cfRule>
    <cfRule type="containsText" dxfId="2093" priority="2355" operator="containsText" text="Castanho">
      <formula>NOT(ISERROR(SEARCH("Castanho",M79)))</formula>
    </cfRule>
    <cfRule type="containsText" dxfId="2092" priority="2356" operator="containsText" text="Verde Água">
      <formula>NOT(ISERROR(SEARCH("Verde Água",M79)))</formula>
    </cfRule>
    <cfRule type="containsText" dxfId="2091" priority="2357" operator="containsText" text="Azul Petróleo">
      <formula>NOT(ISERROR(SEARCH("Azul Petróleo",M79)))</formula>
    </cfRule>
    <cfRule type="containsText" dxfId="2090" priority="2358" operator="containsText" text="Preto">
      <formula>NOT(ISERROR(SEARCH("Preto",M79)))</formula>
    </cfRule>
    <cfRule type="containsText" priority="2359" operator="containsText" text="Branco">
      <formula>NOT(ISERROR(SEARCH("Branco",M79)))</formula>
    </cfRule>
    <cfRule type="containsText" dxfId="2089" priority="2360" operator="containsText" text="Bege">
      <formula>NOT(ISERROR(SEARCH("Bege",M79)))</formula>
    </cfRule>
  </conditionalFormatting>
  <conditionalFormatting sqref="M79">
    <cfRule type="containsText" dxfId="2088" priority="2343" operator="containsText" text="Cinza">
      <formula>NOT(ISERROR(SEARCH("Cinza",M79)))</formula>
    </cfRule>
    <cfRule type="containsText" dxfId="2087" priority="2344" operator="containsText" text="Púrpura">
      <formula>NOT(ISERROR(SEARCH("Púrpura",M79)))</formula>
    </cfRule>
    <cfRule type="containsText" dxfId="2086" priority="2345" operator="containsText" text="Rosa">
      <formula>NOT(ISERROR(SEARCH("Rosa",M79)))</formula>
    </cfRule>
    <cfRule type="containsText" dxfId="2085" priority="2346" operator="containsText" text="Castanho">
      <formula>NOT(ISERROR(SEARCH("Castanho",M79)))</formula>
    </cfRule>
    <cfRule type="containsText" dxfId="2084" priority="2347" operator="containsText" text="Verde Água">
      <formula>NOT(ISERROR(SEARCH("Verde Água",M79)))</formula>
    </cfRule>
    <cfRule type="containsText" dxfId="2083" priority="2348" operator="containsText" text="Azul Petróleo">
      <formula>NOT(ISERROR(SEARCH("Azul Petróleo",M79)))</formula>
    </cfRule>
    <cfRule type="containsText" dxfId="2082" priority="2349" operator="containsText" text="Preto">
      <formula>NOT(ISERROR(SEARCH("Preto",M79)))</formula>
    </cfRule>
    <cfRule type="containsText" priority="2350" operator="containsText" text="Branco">
      <formula>NOT(ISERROR(SEARCH("Branco",M79)))</formula>
    </cfRule>
    <cfRule type="containsText" dxfId="2081" priority="2351" operator="containsText" text="Bege">
      <formula>NOT(ISERROR(SEARCH("Bege",M79)))</formula>
    </cfRule>
  </conditionalFormatting>
  <conditionalFormatting sqref="M79">
    <cfRule type="containsText" dxfId="2080" priority="2334" operator="containsText" text="Cinza">
      <formula>NOT(ISERROR(SEARCH("Cinza",M79)))</formula>
    </cfRule>
    <cfRule type="containsText" dxfId="2079" priority="2335" operator="containsText" text="Púrpura">
      <formula>NOT(ISERROR(SEARCH("Púrpura",M79)))</formula>
    </cfRule>
    <cfRule type="containsText" dxfId="2078" priority="2336" operator="containsText" text="Rosa">
      <formula>NOT(ISERROR(SEARCH("Rosa",M79)))</formula>
    </cfRule>
    <cfRule type="containsText" dxfId="2077" priority="2337" operator="containsText" text="Castanho">
      <formula>NOT(ISERROR(SEARCH("Castanho",M79)))</formula>
    </cfRule>
    <cfRule type="containsText" dxfId="2076" priority="2338" operator="containsText" text="Verde Água">
      <formula>NOT(ISERROR(SEARCH("Verde Água",M79)))</formula>
    </cfRule>
    <cfRule type="containsText" dxfId="2075" priority="2339" operator="containsText" text="Azul Petróleo">
      <formula>NOT(ISERROR(SEARCH("Azul Petróleo",M79)))</formula>
    </cfRule>
    <cfRule type="containsText" dxfId="2074" priority="2340" operator="containsText" text="Preto">
      <formula>NOT(ISERROR(SEARCH("Preto",M79)))</formula>
    </cfRule>
    <cfRule type="containsText" priority="2341" operator="containsText" text="Branco">
      <formula>NOT(ISERROR(SEARCH("Branco",M79)))</formula>
    </cfRule>
    <cfRule type="containsText" dxfId="2073" priority="2342" operator="containsText" text="Bege">
      <formula>NOT(ISERROR(SEARCH("Bege",M79)))</formula>
    </cfRule>
  </conditionalFormatting>
  <conditionalFormatting sqref="M79">
    <cfRule type="containsText" dxfId="2072" priority="2325" operator="containsText" text="Cinza">
      <formula>NOT(ISERROR(SEARCH("Cinza",M79)))</formula>
    </cfRule>
    <cfRule type="containsText" dxfId="2071" priority="2326" operator="containsText" text="Púrpura">
      <formula>NOT(ISERROR(SEARCH("Púrpura",M79)))</formula>
    </cfRule>
    <cfRule type="containsText" dxfId="2070" priority="2327" operator="containsText" text="Rosa">
      <formula>NOT(ISERROR(SEARCH("Rosa",M79)))</formula>
    </cfRule>
    <cfRule type="containsText" dxfId="2069" priority="2328" operator="containsText" text="Castanho">
      <formula>NOT(ISERROR(SEARCH("Castanho",M79)))</formula>
    </cfRule>
    <cfRule type="containsText" dxfId="2068" priority="2329" operator="containsText" text="Verde Água">
      <formula>NOT(ISERROR(SEARCH("Verde Água",M79)))</formula>
    </cfRule>
    <cfRule type="containsText" dxfId="2067" priority="2330" operator="containsText" text="Azul Petróleo">
      <formula>NOT(ISERROR(SEARCH("Azul Petróleo",M79)))</formula>
    </cfRule>
    <cfRule type="containsText" dxfId="2066" priority="2331" operator="containsText" text="Preto">
      <formula>NOT(ISERROR(SEARCH("Preto",M79)))</formula>
    </cfRule>
    <cfRule type="containsText" priority="2332" operator="containsText" text="Branco">
      <formula>NOT(ISERROR(SEARCH("Branco",M79)))</formula>
    </cfRule>
    <cfRule type="containsText" dxfId="2065" priority="2333" operator="containsText" text="Bege">
      <formula>NOT(ISERROR(SEARCH("Bege",M79)))</formula>
    </cfRule>
  </conditionalFormatting>
  <conditionalFormatting sqref="M79">
    <cfRule type="containsText" dxfId="2064" priority="2316" operator="containsText" text="Cinza">
      <formula>NOT(ISERROR(SEARCH("Cinza",M79)))</formula>
    </cfRule>
    <cfRule type="containsText" dxfId="2063" priority="2317" operator="containsText" text="Púrpura">
      <formula>NOT(ISERROR(SEARCH("Púrpura",M79)))</formula>
    </cfRule>
    <cfRule type="containsText" dxfId="2062" priority="2318" operator="containsText" text="Rosa">
      <formula>NOT(ISERROR(SEARCH("Rosa",M79)))</formula>
    </cfRule>
    <cfRule type="containsText" dxfId="2061" priority="2319" operator="containsText" text="Castanho">
      <formula>NOT(ISERROR(SEARCH("Castanho",M79)))</formula>
    </cfRule>
    <cfRule type="containsText" dxfId="2060" priority="2320" operator="containsText" text="Verde Água">
      <formula>NOT(ISERROR(SEARCH("Verde Água",M79)))</formula>
    </cfRule>
    <cfRule type="containsText" dxfId="2059" priority="2321" operator="containsText" text="Azul Petróleo">
      <formula>NOT(ISERROR(SEARCH("Azul Petróleo",M79)))</formula>
    </cfRule>
    <cfRule type="containsText" dxfId="2058" priority="2322" operator="containsText" text="Preto">
      <formula>NOT(ISERROR(SEARCH("Preto",M79)))</formula>
    </cfRule>
    <cfRule type="containsText" priority="2323" operator="containsText" text="Branco">
      <formula>NOT(ISERROR(SEARCH("Branco",M79)))</formula>
    </cfRule>
    <cfRule type="containsText" dxfId="2057" priority="2324" operator="containsText" text="Bege">
      <formula>NOT(ISERROR(SEARCH("Bege",M79)))</formula>
    </cfRule>
  </conditionalFormatting>
  <conditionalFormatting sqref="M79">
    <cfRule type="containsText" dxfId="2056" priority="2307" operator="containsText" text="Cinza">
      <formula>NOT(ISERROR(SEARCH("Cinza",M79)))</formula>
    </cfRule>
    <cfRule type="containsText" dxfId="2055" priority="2308" operator="containsText" text="Púrpura">
      <formula>NOT(ISERROR(SEARCH("Púrpura",M79)))</formula>
    </cfRule>
    <cfRule type="containsText" dxfId="2054" priority="2309" operator="containsText" text="Rosa">
      <formula>NOT(ISERROR(SEARCH("Rosa",M79)))</formula>
    </cfRule>
    <cfRule type="containsText" dxfId="2053" priority="2310" operator="containsText" text="Castanho">
      <formula>NOT(ISERROR(SEARCH("Castanho",M79)))</formula>
    </cfRule>
    <cfRule type="containsText" dxfId="2052" priority="2311" operator="containsText" text="Verde Água">
      <formula>NOT(ISERROR(SEARCH("Verde Água",M79)))</formula>
    </cfRule>
    <cfRule type="containsText" dxfId="2051" priority="2312" operator="containsText" text="Azul Petróleo">
      <formula>NOT(ISERROR(SEARCH("Azul Petróleo",M79)))</formula>
    </cfRule>
    <cfRule type="containsText" dxfId="2050" priority="2313" operator="containsText" text="Preto">
      <formula>NOT(ISERROR(SEARCH("Preto",M79)))</formula>
    </cfRule>
    <cfRule type="containsText" priority="2314" operator="containsText" text="Branco">
      <formula>NOT(ISERROR(SEARCH("Branco",M79)))</formula>
    </cfRule>
    <cfRule type="containsText" dxfId="2049" priority="2315" operator="containsText" text="Bege">
      <formula>NOT(ISERROR(SEARCH("Bege",M79)))</formula>
    </cfRule>
  </conditionalFormatting>
  <conditionalFormatting sqref="M79">
    <cfRule type="containsText" dxfId="2048" priority="2298" operator="containsText" text="Cinza">
      <formula>NOT(ISERROR(SEARCH("Cinza",M79)))</formula>
    </cfRule>
    <cfRule type="containsText" dxfId="2047" priority="2299" operator="containsText" text="Púrpura">
      <formula>NOT(ISERROR(SEARCH("Púrpura",M79)))</formula>
    </cfRule>
    <cfRule type="containsText" dxfId="2046" priority="2300" operator="containsText" text="Rosa">
      <formula>NOT(ISERROR(SEARCH("Rosa",M79)))</formula>
    </cfRule>
    <cfRule type="containsText" dxfId="2045" priority="2301" operator="containsText" text="Castanho">
      <formula>NOT(ISERROR(SEARCH("Castanho",M79)))</formula>
    </cfRule>
    <cfRule type="containsText" dxfId="2044" priority="2302" operator="containsText" text="Verde Água">
      <formula>NOT(ISERROR(SEARCH("Verde Água",M79)))</formula>
    </cfRule>
    <cfRule type="containsText" dxfId="2043" priority="2303" operator="containsText" text="Azul Petróleo">
      <formula>NOT(ISERROR(SEARCH("Azul Petróleo",M79)))</formula>
    </cfRule>
    <cfRule type="containsText" dxfId="2042" priority="2304" operator="containsText" text="Preto">
      <formula>NOT(ISERROR(SEARCH("Preto",M79)))</formula>
    </cfRule>
    <cfRule type="containsText" priority="2305" operator="containsText" text="Branco">
      <formula>NOT(ISERROR(SEARCH("Branco",M79)))</formula>
    </cfRule>
    <cfRule type="containsText" dxfId="2041" priority="2306" operator="containsText" text="Bege">
      <formula>NOT(ISERROR(SEARCH("Bege",M79)))</formula>
    </cfRule>
  </conditionalFormatting>
  <conditionalFormatting sqref="M79">
    <cfRule type="containsText" dxfId="2040" priority="2289" operator="containsText" text="Cinza">
      <formula>NOT(ISERROR(SEARCH("Cinza",M79)))</formula>
    </cfRule>
    <cfRule type="containsText" dxfId="2039" priority="2290" operator="containsText" text="Púrpura">
      <formula>NOT(ISERROR(SEARCH("Púrpura",M79)))</formula>
    </cfRule>
    <cfRule type="containsText" dxfId="2038" priority="2291" operator="containsText" text="Rosa">
      <formula>NOT(ISERROR(SEARCH("Rosa",M79)))</formula>
    </cfRule>
    <cfRule type="containsText" dxfId="2037" priority="2292" operator="containsText" text="Castanho">
      <formula>NOT(ISERROR(SEARCH("Castanho",M79)))</formula>
    </cfRule>
    <cfRule type="containsText" dxfId="2036" priority="2293" operator="containsText" text="Verde Água">
      <formula>NOT(ISERROR(SEARCH("Verde Água",M79)))</formula>
    </cfRule>
    <cfRule type="containsText" dxfId="2035" priority="2294" operator="containsText" text="Azul Petróleo">
      <formula>NOT(ISERROR(SEARCH("Azul Petróleo",M79)))</formula>
    </cfRule>
    <cfRule type="containsText" dxfId="2034" priority="2295" operator="containsText" text="Preto">
      <formula>NOT(ISERROR(SEARCH("Preto",M79)))</formula>
    </cfRule>
    <cfRule type="containsText" priority="2296" operator="containsText" text="Branco">
      <formula>NOT(ISERROR(SEARCH("Branco",M79)))</formula>
    </cfRule>
    <cfRule type="containsText" dxfId="2033" priority="2297" operator="containsText" text="Bege">
      <formula>NOT(ISERROR(SEARCH("Bege",M79)))</formula>
    </cfRule>
  </conditionalFormatting>
  <conditionalFormatting sqref="M79">
    <cfRule type="containsText" dxfId="2032" priority="2280" operator="containsText" text="Cinza">
      <formula>NOT(ISERROR(SEARCH("Cinza",M79)))</formula>
    </cfRule>
    <cfRule type="containsText" dxfId="2031" priority="2281" operator="containsText" text="Púrpura">
      <formula>NOT(ISERROR(SEARCH("Púrpura",M79)))</formula>
    </cfRule>
    <cfRule type="containsText" dxfId="2030" priority="2282" operator="containsText" text="Rosa">
      <formula>NOT(ISERROR(SEARCH("Rosa",M79)))</formula>
    </cfRule>
    <cfRule type="containsText" dxfId="2029" priority="2283" operator="containsText" text="Castanho">
      <formula>NOT(ISERROR(SEARCH("Castanho",M79)))</formula>
    </cfRule>
    <cfRule type="containsText" dxfId="2028" priority="2284" operator="containsText" text="Verde Água">
      <formula>NOT(ISERROR(SEARCH("Verde Água",M79)))</formula>
    </cfRule>
    <cfRule type="containsText" dxfId="2027" priority="2285" operator="containsText" text="Azul Petróleo">
      <formula>NOT(ISERROR(SEARCH("Azul Petróleo",M79)))</formula>
    </cfRule>
    <cfRule type="containsText" dxfId="2026" priority="2286" operator="containsText" text="Preto">
      <formula>NOT(ISERROR(SEARCH("Preto",M79)))</formula>
    </cfRule>
    <cfRule type="containsText" priority="2287" operator="containsText" text="Branco">
      <formula>NOT(ISERROR(SEARCH("Branco",M79)))</formula>
    </cfRule>
    <cfRule type="containsText" dxfId="2025" priority="2288" operator="containsText" text="Bege">
      <formula>NOT(ISERROR(SEARCH("Bege",M79)))</formula>
    </cfRule>
  </conditionalFormatting>
  <conditionalFormatting sqref="M79">
    <cfRule type="containsText" dxfId="2024" priority="2271" operator="containsText" text="Cinza">
      <formula>NOT(ISERROR(SEARCH("Cinza",M79)))</formula>
    </cfRule>
    <cfRule type="containsText" dxfId="2023" priority="2272" operator="containsText" text="Púrpura">
      <formula>NOT(ISERROR(SEARCH("Púrpura",M79)))</formula>
    </cfRule>
    <cfRule type="containsText" dxfId="2022" priority="2273" operator="containsText" text="Rosa">
      <formula>NOT(ISERROR(SEARCH("Rosa",M79)))</formula>
    </cfRule>
    <cfRule type="containsText" dxfId="2021" priority="2274" operator="containsText" text="Castanho">
      <formula>NOT(ISERROR(SEARCH("Castanho",M79)))</formula>
    </cfRule>
    <cfRule type="containsText" dxfId="2020" priority="2275" operator="containsText" text="Verde Água">
      <formula>NOT(ISERROR(SEARCH("Verde Água",M79)))</formula>
    </cfRule>
    <cfRule type="containsText" dxfId="2019" priority="2276" operator="containsText" text="Azul Petróleo">
      <formula>NOT(ISERROR(SEARCH("Azul Petróleo",M79)))</formula>
    </cfRule>
    <cfRule type="containsText" dxfId="2018" priority="2277" operator="containsText" text="Preto">
      <formula>NOT(ISERROR(SEARCH("Preto",M79)))</formula>
    </cfRule>
    <cfRule type="containsText" priority="2278" operator="containsText" text="Branco">
      <formula>NOT(ISERROR(SEARCH("Branco",M79)))</formula>
    </cfRule>
    <cfRule type="containsText" dxfId="2017" priority="2279" operator="containsText" text="Bege">
      <formula>NOT(ISERROR(SEARCH("Bege",M79)))</formula>
    </cfRule>
  </conditionalFormatting>
  <conditionalFormatting sqref="M79">
    <cfRule type="containsText" dxfId="2016" priority="2262" operator="containsText" text="Cinza">
      <formula>NOT(ISERROR(SEARCH("Cinza",M79)))</formula>
    </cfRule>
    <cfRule type="containsText" dxfId="2015" priority="2263" operator="containsText" text="Púrpura">
      <formula>NOT(ISERROR(SEARCH("Púrpura",M79)))</formula>
    </cfRule>
    <cfRule type="containsText" dxfId="2014" priority="2264" operator="containsText" text="Rosa">
      <formula>NOT(ISERROR(SEARCH("Rosa",M79)))</formula>
    </cfRule>
    <cfRule type="containsText" dxfId="2013" priority="2265" operator="containsText" text="Castanho">
      <formula>NOT(ISERROR(SEARCH("Castanho",M79)))</formula>
    </cfRule>
    <cfRule type="containsText" dxfId="2012" priority="2266" operator="containsText" text="Verde Água">
      <formula>NOT(ISERROR(SEARCH("Verde Água",M79)))</formula>
    </cfRule>
    <cfRule type="containsText" dxfId="2011" priority="2267" operator="containsText" text="Azul Petróleo">
      <formula>NOT(ISERROR(SEARCH("Azul Petróleo",M79)))</formula>
    </cfRule>
    <cfRule type="containsText" dxfId="2010" priority="2268" operator="containsText" text="Preto">
      <formula>NOT(ISERROR(SEARCH("Preto",M79)))</formula>
    </cfRule>
    <cfRule type="containsText" priority="2269" operator="containsText" text="Branco">
      <formula>NOT(ISERROR(SEARCH("Branco",M79)))</formula>
    </cfRule>
    <cfRule type="containsText" dxfId="2009" priority="2270" operator="containsText" text="Bege">
      <formula>NOT(ISERROR(SEARCH("Bege",M79)))</formula>
    </cfRule>
  </conditionalFormatting>
  <conditionalFormatting sqref="M79">
    <cfRule type="containsText" dxfId="2008" priority="2253" operator="containsText" text="Cinza">
      <formula>NOT(ISERROR(SEARCH("Cinza",M79)))</formula>
    </cfRule>
    <cfRule type="containsText" dxfId="2007" priority="2254" operator="containsText" text="Púrpura">
      <formula>NOT(ISERROR(SEARCH("Púrpura",M79)))</formula>
    </cfRule>
    <cfRule type="containsText" dxfId="2006" priority="2255" operator="containsText" text="Rosa">
      <formula>NOT(ISERROR(SEARCH("Rosa",M79)))</formula>
    </cfRule>
    <cfRule type="containsText" dxfId="2005" priority="2256" operator="containsText" text="Castanho">
      <formula>NOT(ISERROR(SEARCH("Castanho",M79)))</formula>
    </cfRule>
    <cfRule type="containsText" dxfId="2004" priority="2257" operator="containsText" text="Verde Água">
      <formula>NOT(ISERROR(SEARCH("Verde Água",M79)))</formula>
    </cfRule>
    <cfRule type="containsText" dxfId="2003" priority="2258" operator="containsText" text="Azul Petróleo">
      <formula>NOT(ISERROR(SEARCH("Azul Petróleo",M79)))</formula>
    </cfRule>
    <cfRule type="containsText" dxfId="2002" priority="2259" operator="containsText" text="Preto">
      <formula>NOT(ISERROR(SEARCH("Preto",M79)))</formula>
    </cfRule>
    <cfRule type="containsText" priority="2260" operator="containsText" text="Branco">
      <formula>NOT(ISERROR(SEARCH("Branco",M79)))</formula>
    </cfRule>
    <cfRule type="containsText" dxfId="2001" priority="2261" operator="containsText" text="Bege">
      <formula>NOT(ISERROR(SEARCH("Bege",M79)))</formula>
    </cfRule>
  </conditionalFormatting>
  <conditionalFormatting sqref="M79">
    <cfRule type="containsText" dxfId="2000" priority="2244" operator="containsText" text="Cinza">
      <formula>NOT(ISERROR(SEARCH("Cinza",M79)))</formula>
    </cfRule>
    <cfRule type="containsText" dxfId="1999" priority="2245" operator="containsText" text="Púrpura">
      <formula>NOT(ISERROR(SEARCH("Púrpura",M79)))</formula>
    </cfRule>
    <cfRule type="containsText" dxfId="1998" priority="2246" operator="containsText" text="Rosa">
      <formula>NOT(ISERROR(SEARCH("Rosa",M79)))</formula>
    </cfRule>
    <cfRule type="containsText" dxfId="1997" priority="2247" operator="containsText" text="Castanho">
      <formula>NOT(ISERROR(SEARCH("Castanho",M79)))</formula>
    </cfRule>
    <cfRule type="containsText" dxfId="1996" priority="2248" operator="containsText" text="Verde Água">
      <formula>NOT(ISERROR(SEARCH("Verde Água",M79)))</formula>
    </cfRule>
    <cfRule type="containsText" dxfId="1995" priority="2249" operator="containsText" text="Azul Petróleo">
      <formula>NOT(ISERROR(SEARCH("Azul Petróleo",M79)))</formula>
    </cfRule>
    <cfRule type="containsText" dxfId="1994" priority="2250" operator="containsText" text="Preto">
      <formula>NOT(ISERROR(SEARCH("Preto",M79)))</formula>
    </cfRule>
    <cfRule type="containsText" priority="2251" operator="containsText" text="Branco">
      <formula>NOT(ISERROR(SEARCH("Branco",M79)))</formula>
    </cfRule>
    <cfRule type="containsText" dxfId="1993" priority="2252" operator="containsText" text="Bege">
      <formula>NOT(ISERROR(SEARCH("Bege",M79)))</formula>
    </cfRule>
  </conditionalFormatting>
  <conditionalFormatting sqref="M79">
    <cfRule type="containsText" dxfId="1992" priority="2235" operator="containsText" text="Cinza">
      <formula>NOT(ISERROR(SEARCH("Cinza",M79)))</formula>
    </cfRule>
    <cfRule type="containsText" dxfId="1991" priority="2236" operator="containsText" text="Púrpura">
      <formula>NOT(ISERROR(SEARCH("Púrpura",M79)))</formula>
    </cfRule>
    <cfRule type="containsText" dxfId="1990" priority="2237" operator="containsText" text="Rosa">
      <formula>NOT(ISERROR(SEARCH("Rosa",M79)))</formula>
    </cfRule>
    <cfRule type="containsText" dxfId="1989" priority="2238" operator="containsText" text="Castanho">
      <formula>NOT(ISERROR(SEARCH("Castanho",M79)))</formula>
    </cfRule>
    <cfRule type="containsText" dxfId="1988" priority="2239" operator="containsText" text="Verde Água">
      <formula>NOT(ISERROR(SEARCH("Verde Água",M79)))</formula>
    </cfRule>
    <cfRule type="containsText" dxfId="1987" priority="2240" operator="containsText" text="Azul Petróleo">
      <formula>NOT(ISERROR(SEARCH("Azul Petróleo",M79)))</formula>
    </cfRule>
    <cfRule type="containsText" dxfId="1986" priority="2241" operator="containsText" text="Preto">
      <formula>NOT(ISERROR(SEARCH("Preto",M79)))</formula>
    </cfRule>
    <cfRule type="containsText" priority="2242" operator="containsText" text="Branco">
      <formula>NOT(ISERROR(SEARCH("Branco",M79)))</formula>
    </cfRule>
    <cfRule type="containsText" dxfId="1985" priority="2243" operator="containsText" text="Bege">
      <formula>NOT(ISERROR(SEARCH("Bege",M79)))</formula>
    </cfRule>
  </conditionalFormatting>
  <conditionalFormatting sqref="M79">
    <cfRule type="containsText" dxfId="1984" priority="2226" operator="containsText" text="Cinza">
      <formula>NOT(ISERROR(SEARCH("Cinza",M79)))</formula>
    </cfRule>
    <cfRule type="containsText" dxfId="1983" priority="2227" operator="containsText" text="Púrpura">
      <formula>NOT(ISERROR(SEARCH("Púrpura",M79)))</formula>
    </cfRule>
    <cfRule type="containsText" dxfId="1982" priority="2228" operator="containsText" text="Rosa">
      <formula>NOT(ISERROR(SEARCH("Rosa",M79)))</formula>
    </cfRule>
    <cfRule type="containsText" dxfId="1981" priority="2229" operator="containsText" text="Castanho">
      <formula>NOT(ISERROR(SEARCH("Castanho",M79)))</formula>
    </cfRule>
    <cfRule type="containsText" dxfId="1980" priority="2230" operator="containsText" text="Verde Água">
      <formula>NOT(ISERROR(SEARCH("Verde Água",M79)))</formula>
    </cfRule>
    <cfRule type="containsText" dxfId="1979" priority="2231" operator="containsText" text="Azul Petróleo">
      <formula>NOT(ISERROR(SEARCH("Azul Petróleo",M79)))</formula>
    </cfRule>
    <cfRule type="containsText" dxfId="1978" priority="2232" operator="containsText" text="Preto">
      <formula>NOT(ISERROR(SEARCH("Preto",M79)))</formula>
    </cfRule>
    <cfRule type="containsText" priority="2233" operator="containsText" text="Branco">
      <formula>NOT(ISERROR(SEARCH("Branco",M79)))</formula>
    </cfRule>
    <cfRule type="containsText" dxfId="1977" priority="2234" operator="containsText" text="Bege">
      <formula>NOT(ISERROR(SEARCH("Bege",M79)))</formula>
    </cfRule>
  </conditionalFormatting>
  <conditionalFormatting sqref="M79">
    <cfRule type="containsText" dxfId="1976" priority="2217" operator="containsText" text="Cinza">
      <formula>NOT(ISERROR(SEARCH("Cinza",M79)))</formula>
    </cfRule>
    <cfRule type="containsText" dxfId="1975" priority="2218" operator="containsText" text="Púrpura">
      <formula>NOT(ISERROR(SEARCH("Púrpura",M79)))</formula>
    </cfRule>
    <cfRule type="containsText" dxfId="1974" priority="2219" operator="containsText" text="Rosa">
      <formula>NOT(ISERROR(SEARCH("Rosa",M79)))</formula>
    </cfRule>
    <cfRule type="containsText" dxfId="1973" priority="2220" operator="containsText" text="Castanho">
      <formula>NOT(ISERROR(SEARCH("Castanho",M79)))</formula>
    </cfRule>
    <cfRule type="containsText" dxfId="1972" priority="2221" operator="containsText" text="Verde Água">
      <formula>NOT(ISERROR(SEARCH("Verde Água",M79)))</formula>
    </cfRule>
    <cfRule type="containsText" dxfId="1971" priority="2222" operator="containsText" text="Azul Petróleo">
      <formula>NOT(ISERROR(SEARCH("Azul Petróleo",M79)))</formula>
    </cfRule>
    <cfRule type="containsText" dxfId="1970" priority="2223" operator="containsText" text="Preto">
      <formula>NOT(ISERROR(SEARCH("Preto",M79)))</formula>
    </cfRule>
    <cfRule type="containsText" priority="2224" operator="containsText" text="Branco">
      <formula>NOT(ISERROR(SEARCH("Branco",M79)))</formula>
    </cfRule>
    <cfRule type="containsText" dxfId="1969" priority="2225" operator="containsText" text="Bege">
      <formula>NOT(ISERROR(SEARCH("Bege",M79)))</formula>
    </cfRule>
  </conditionalFormatting>
  <conditionalFormatting sqref="M79">
    <cfRule type="containsText" dxfId="1968" priority="2208" operator="containsText" text="Cinza">
      <formula>NOT(ISERROR(SEARCH("Cinza",M79)))</formula>
    </cfRule>
    <cfRule type="containsText" dxfId="1967" priority="2209" operator="containsText" text="Púrpura">
      <formula>NOT(ISERROR(SEARCH("Púrpura",M79)))</formula>
    </cfRule>
    <cfRule type="containsText" dxfId="1966" priority="2210" operator="containsText" text="Rosa">
      <formula>NOT(ISERROR(SEARCH("Rosa",M79)))</formula>
    </cfRule>
    <cfRule type="containsText" dxfId="1965" priority="2211" operator="containsText" text="Castanho">
      <formula>NOT(ISERROR(SEARCH("Castanho",M79)))</formula>
    </cfRule>
    <cfRule type="containsText" dxfId="1964" priority="2212" operator="containsText" text="Verde Água">
      <formula>NOT(ISERROR(SEARCH("Verde Água",M79)))</formula>
    </cfRule>
    <cfRule type="containsText" dxfId="1963" priority="2213" operator="containsText" text="Azul Petróleo">
      <formula>NOT(ISERROR(SEARCH("Azul Petróleo",M79)))</formula>
    </cfRule>
    <cfRule type="containsText" dxfId="1962" priority="2214" operator="containsText" text="Preto">
      <formula>NOT(ISERROR(SEARCH("Preto",M79)))</formula>
    </cfRule>
    <cfRule type="containsText" priority="2215" operator="containsText" text="Branco">
      <formula>NOT(ISERROR(SEARCH("Branco",M79)))</formula>
    </cfRule>
    <cfRule type="containsText" dxfId="1961" priority="2216" operator="containsText" text="Bege">
      <formula>NOT(ISERROR(SEARCH("Bege",M79)))</formula>
    </cfRule>
  </conditionalFormatting>
  <conditionalFormatting sqref="M79">
    <cfRule type="containsText" dxfId="1960" priority="2199" operator="containsText" text="Cinza">
      <formula>NOT(ISERROR(SEARCH("Cinza",M79)))</formula>
    </cfRule>
    <cfRule type="containsText" dxfId="1959" priority="2200" operator="containsText" text="Púrpura">
      <formula>NOT(ISERROR(SEARCH("Púrpura",M79)))</formula>
    </cfRule>
    <cfRule type="containsText" dxfId="1958" priority="2201" operator="containsText" text="Rosa">
      <formula>NOT(ISERROR(SEARCH("Rosa",M79)))</formula>
    </cfRule>
    <cfRule type="containsText" dxfId="1957" priority="2202" operator="containsText" text="Castanho">
      <formula>NOT(ISERROR(SEARCH("Castanho",M79)))</formula>
    </cfRule>
    <cfRule type="containsText" dxfId="1956" priority="2203" operator="containsText" text="Verde Água">
      <formula>NOT(ISERROR(SEARCH("Verde Água",M79)))</formula>
    </cfRule>
    <cfRule type="containsText" dxfId="1955" priority="2204" operator="containsText" text="Azul Petróleo">
      <formula>NOT(ISERROR(SEARCH("Azul Petróleo",M79)))</formula>
    </cfRule>
    <cfRule type="containsText" dxfId="1954" priority="2205" operator="containsText" text="Preto">
      <formula>NOT(ISERROR(SEARCH("Preto",M79)))</formula>
    </cfRule>
    <cfRule type="containsText" priority="2206" operator="containsText" text="Branco">
      <formula>NOT(ISERROR(SEARCH("Branco",M79)))</formula>
    </cfRule>
    <cfRule type="containsText" dxfId="1953" priority="2207" operator="containsText" text="Bege">
      <formula>NOT(ISERROR(SEARCH("Bege",M79)))</formula>
    </cfRule>
  </conditionalFormatting>
  <conditionalFormatting sqref="M79">
    <cfRule type="containsText" dxfId="1952" priority="2190" operator="containsText" text="Cinza">
      <formula>NOT(ISERROR(SEARCH("Cinza",M79)))</formula>
    </cfRule>
    <cfRule type="containsText" dxfId="1951" priority="2191" operator="containsText" text="Púrpura">
      <formula>NOT(ISERROR(SEARCH("Púrpura",M79)))</formula>
    </cfRule>
    <cfRule type="containsText" dxfId="1950" priority="2192" operator="containsText" text="Rosa">
      <formula>NOT(ISERROR(SEARCH("Rosa",M79)))</formula>
    </cfRule>
    <cfRule type="containsText" dxfId="1949" priority="2193" operator="containsText" text="Castanho">
      <formula>NOT(ISERROR(SEARCH("Castanho",M79)))</formula>
    </cfRule>
    <cfRule type="containsText" dxfId="1948" priority="2194" operator="containsText" text="Verde Água">
      <formula>NOT(ISERROR(SEARCH("Verde Água",M79)))</formula>
    </cfRule>
    <cfRule type="containsText" dxfId="1947" priority="2195" operator="containsText" text="Azul Petróleo">
      <formula>NOT(ISERROR(SEARCH("Azul Petróleo",M79)))</formula>
    </cfRule>
    <cfRule type="containsText" dxfId="1946" priority="2196" operator="containsText" text="Preto">
      <formula>NOT(ISERROR(SEARCH("Preto",M79)))</formula>
    </cfRule>
    <cfRule type="containsText" priority="2197" operator="containsText" text="Branco">
      <formula>NOT(ISERROR(SEARCH("Branco",M79)))</formula>
    </cfRule>
    <cfRule type="containsText" dxfId="1945" priority="2198" operator="containsText" text="Bege">
      <formula>NOT(ISERROR(SEARCH("Bege",M79)))</formula>
    </cfRule>
  </conditionalFormatting>
  <conditionalFormatting sqref="M79">
    <cfRule type="containsText" dxfId="1944" priority="2181" operator="containsText" text="Cinza">
      <formula>NOT(ISERROR(SEARCH("Cinza",M79)))</formula>
    </cfRule>
    <cfRule type="containsText" dxfId="1943" priority="2182" operator="containsText" text="Púrpura">
      <formula>NOT(ISERROR(SEARCH("Púrpura",M79)))</formula>
    </cfRule>
    <cfRule type="containsText" dxfId="1942" priority="2183" operator="containsText" text="Rosa">
      <formula>NOT(ISERROR(SEARCH("Rosa",M79)))</formula>
    </cfRule>
    <cfRule type="containsText" dxfId="1941" priority="2184" operator="containsText" text="Castanho">
      <formula>NOT(ISERROR(SEARCH("Castanho",M79)))</formula>
    </cfRule>
    <cfRule type="containsText" dxfId="1940" priority="2185" operator="containsText" text="Verde Água">
      <formula>NOT(ISERROR(SEARCH("Verde Água",M79)))</formula>
    </cfRule>
    <cfRule type="containsText" dxfId="1939" priority="2186" operator="containsText" text="Azul Petróleo">
      <formula>NOT(ISERROR(SEARCH("Azul Petróleo",M79)))</formula>
    </cfRule>
    <cfRule type="containsText" dxfId="1938" priority="2187" operator="containsText" text="Preto">
      <formula>NOT(ISERROR(SEARCH("Preto",M79)))</formula>
    </cfRule>
    <cfRule type="containsText" priority="2188" operator="containsText" text="Branco">
      <formula>NOT(ISERROR(SEARCH("Branco",M79)))</formula>
    </cfRule>
    <cfRule type="containsText" dxfId="1937" priority="2189" operator="containsText" text="Bege">
      <formula>NOT(ISERROR(SEARCH("Bege",M79)))</formula>
    </cfRule>
  </conditionalFormatting>
  <conditionalFormatting sqref="M79">
    <cfRule type="containsText" dxfId="1936" priority="2172" operator="containsText" text="Cinza">
      <formula>NOT(ISERROR(SEARCH("Cinza",M79)))</formula>
    </cfRule>
    <cfRule type="containsText" dxfId="1935" priority="2173" operator="containsText" text="Púrpura">
      <formula>NOT(ISERROR(SEARCH("Púrpura",M79)))</formula>
    </cfRule>
    <cfRule type="containsText" dxfId="1934" priority="2174" operator="containsText" text="Rosa">
      <formula>NOT(ISERROR(SEARCH("Rosa",M79)))</formula>
    </cfRule>
    <cfRule type="containsText" dxfId="1933" priority="2175" operator="containsText" text="Castanho">
      <formula>NOT(ISERROR(SEARCH("Castanho",M79)))</formula>
    </cfRule>
    <cfRule type="containsText" dxfId="1932" priority="2176" operator="containsText" text="Verde Água">
      <formula>NOT(ISERROR(SEARCH("Verde Água",M79)))</formula>
    </cfRule>
    <cfRule type="containsText" dxfId="1931" priority="2177" operator="containsText" text="Azul Petróleo">
      <formula>NOT(ISERROR(SEARCH("Azul Petróleo",M79)))</formula>
    </cfRule>
    <cfRule type="containsText" dxfId="1930" priority="2178" operator="containsText" text="Preto">
      <formula>NOT(ISERROR(SEARCH("Preto",M79)))</formula>
    </cfRule>
    <cfRule type="containsText" priority="2179" operator="containsText" text="Branco">
      <formula>NOT(ISERROR(SEARCH("Branco",M79)))</formula>
    </cfRule>
    <cfRule type="containsText" dxfId="1929" priority="2180" operator="containsText" text="Bege">
      <formula>NOT(ISERROR(SEARCH("Bege",M79)))</formula>
    </cfRule>
  </conditionalFormatting>
  <conditionalFormatting sqref="M79">
    <cfRule type="containsText" dxfId="1928" priority="2163" operator="containsText" text="Cinza">
      <formula>NOT(ISERROR(SEARCH("Cinza",M79)))</formula>
    </cfRule>
    <cfRule type="containsText" dxfId="1927" priority="2164" operator="containsText" text="Púrpura">
      <formula>NOT(ISERROR(SEARCH("Púrpura",M79)))</formula>
    </cfRule>
    <cfRule type="containsText" dxfId="1926" priority="2165" operator="containsText" text="Rosa">
      <formula>NOT(ISERROR(SEARCH("Rosa",M79)))</formula>
    </cfRule>
    <cfRule type="containsText" dxfId="1925" priority="2166" operator="containsText" text="Castanho">
      <formula>NOT(ISERROR(SEARCH("Castanho",M79)))</formula>
    </cfRule>
    <cfRule type="containsText" dxfId="1924" priority="2167" operator="containsText" text="Verde Água">
      <formula>NOT(ISERROR(SEARCH("Verde Água",M79)))</formula>
    </cfRule>
    <cfRule type="containsText" dxfId="1923" priority="2168" operator="containsText" text="Azul Petróleo">
      <formula>NOT(ISERROR(SEARCH("Azul Petróleo",M79)))</formula>
    </cfRule>
    <cfRule type="containsText" dxfId="1922" priority="2169" operator="containsText" text="Preto">
      <formula>NOT(ISERROR(SEARCH("Preto",M79)))</formula>
    </cfRule>
    <cfRule type="containsText" priority="2170" operator="containsText" text="Branco">
      <formula>NOT(ISERROR(SEARCH("Branco",M79)))</formula>
    </cfRule>
    <cfRule type="containsText" dxfId="1921" priority="2171" operator="containsText" text="Bege">
      <formula>NOT(ISERROR(SEARCH("Bege",M79)))</formula>
    </cfRule>
  </conditionalFormatting>
  <conditionalFormatting sqref="M79">
    <cfRule type="containsText" dxfId="1920" priority="2154" operator="containsText" text="Cinza">
      <formula>NOT(ISERROR(SEARCH("Cinza",M79)))</formula>
    </cfRule>
    <cfRule type="containsText" dxfId="1919" priority="2155" operator="containsText" text="Púrpura">
      <formula>NOT(ISERROR(SEARCH("Púrpura",M79)))</formula>
    </cfRule>
    <cfRule type="containsText" dxfId="1918" priority="2156" operator="containsText" text="Rosa">
      <formula>NOT(ISERROR(SEARCH("Rosa",M79)))</formula>
    </cfRule>
    <cfRule type="containsText" dxfId="1917" priority="2157" operator="containsText" text="Castanho">
      <formula>NOT(ISERROR(SEARCH("Castanho",M79)))</formula>
    </cfRule>
    <cfRule type="containsText" dxfId="1916" priority="2158" operator="containsText" text="Verde Água">
      <formula>NOT(ISERROR(SEARCH("Verde Água",M79)))</formula>
    </cfRule>
    <cfRule type="containsText" dxfId="1915" priority="2159" operator="containsText" text="Azul Petróleo">
      <formula>NOT(ISERROR(SEARCH("Azul Petróleo",M79)))</formula>
    </cfRule>
    <cfRule type="containsText" dxfId="1914" priority="2160" operator="containsText" text="Preto">
      <formula>NOT(ISERROR(SEARCH("Preto",M79)))</formula>
    </cfRule>
    <cfRule type="containsText" priority="2161" operator="containsText" text="Branco">
      <formula>NOT(ISERROR(SEARCH("Branco",M79)))</formula>
    </cfRule>
    <cfRule type="containsText" dxfId="1913" priority="2162" operator="containsText" text="Bege">
      <formula>NOT(ISERROR(SEARCH("Bege",M79)))</formula>
    </cfRule>
  </conditionalFormatting>
  <conditionalFormatting sqref="M79">
    <cfRule type="containsText" dxfId="1912" priority="2145" operator="containsText" text="Cinza">
      <formula>NOT(ISERROR(SEARCH("Cinza",M79)))</formula>
    </cfRule>
    <cfRule type="containsText" dxfId="1911" priority="2146" operator="containsText" text="Púrpura">
      <formula>NOT(ISERROR(SEARCH("Púrpura",M79)))</formula>
    </cfRule>
    <cfRule type="containsText" dxfId="1910" priority="2147" operator="containsText" text="Rosa">
      <formula>NOT(ISERROR(SEARCH("Rosa",M79)))</formula>
    </cfRule>
    <cfRule type="containsText" dxfId="1909" priority="2148" operator="containsText" text="Castanho">
      <formula>NOT(ISERROR(SEARCH("Castanho",M79)))</formula>
    </cfRule>
    <cfRule type="containsText" dxfId="1908" priority="2149" operator="containsText" text="Verde Água">
      <formula>NOT(ISERROR(SEARCH("Verde Água",M79)))</formula>
    </cfRule>
    <cfRule type="containsText" dxfId="1907" priority="2150" operator="containsText" text="Azul Petróleo">
      <formula>NOT(ISERROR(SEARCH("Azul Petróleo",M79)))</formula>
    </cfRule>
    <cfRule type="containsText" dxfId="1906" priority="2151" operator="containsText" text="Preto">
      <formula>NOT(ISERROR(SEARCH("Preto",M79)))</formula>
    </cfRule>
    <cfRule type="containsText" priority="2152" operator="containsText" text="Branco">
      <formula>NOT(ISERROR(SEARCH("Branco",M79)))</formula>
    </cfRule>
    <cfRule type="containsText" dxfId="1905" priority="2153" operator="containsText" text="Bege">
      <formula>NOT(ISERROR(SEARCH("Bege",M79)))</formula>
    </cfRule>
  </conditionalFormatting>
  <conditionalFormatting sqref="M79">
    <cfRule type="containsText" dxfId="1904" priority="2136" operator="containsText" text="Cinza">
      <formula>NOT(ISERROR(SEARCH("Cinza",M79)))</formula>
    </cfRule>
    <cfRule type="containsText" dxfId="1903" priority="2137" operator="containsText" text="Púrpura">
      <formula>NOT(ISERROR(SEARCH("Púrpura",M79)))</formula>
    </cfRule>
    <cfRule type="containsText" dxfId="1902" priority="2138" operator="containsText" text="Rosa">
      <formula>NOT(ISERROR(SEARCH("Rosa",M79)))</formula>
    </cfRule>
    <cfRule type="containsText" dxfId="1901" priority="2139" operator="containsText" text="Castanho">
      <formula>NOT(ISERROR(SEARCH("Castanho",M79)))</formula>
    </cfRule>
    <cfRule type="containsText" dxfId="1900" priority="2140" operator="containsText" text="Verde Água">
      <formula>NOT(ISERROR(SEARCH("Verde Água",M79)))</formula>
    </cfRule>
    <cfRule type="containsText" dxfId="1899" priority="2141" operator="containsText" text="Azul Petróleo">
      <formula>NOT(ISERROR(SEARCH("Azul Petróleo",M79)))</formula>
    </cfRule>
    <cfRule type="containsText" dxfId="1898" priority="2142" operator="containsText" text="Preto">
      <formula>NOT(ISERROR(SEARCH("Preto",M79)))</formula>
    </cfRule>
    <cfRule type="containsText" priority="2143" operator="containsText" text="Branco">
      <formula>NOT(ISERROR(SEARCH("Branco",M79)))</formula>
    </cfRule>
    <cfRule type="containsText" dxfId="1897" priority="2144" operator="containsText" text="Bege">
      <formula>NOT(ISERROR(SEARCH("Bege",M79)))</formula>
    </cfRule>
  </conditionalFormatting>
  <conditionalFormatting sqref="M79">
    <cfRule type="containsText" dxfId="1896" priority="2127" operator="containsText" text="Cinza">
      <formula>NOT(ISERROR(SEARCH("Cinza",M79)))</formula>
    </cfRule>
    <cfRule type="containsText" dxfId="1895" priority="2128" operator="containsText" text="Púrpura">
      <formula>NOT(ISERROR(SEARCH("Púrpura",M79)))</formula>
    </cfRule>
    <cfRule type="containsText" dxfId="1894" priority="2129" operator="containsText" text="Rosa">
      <formula>NOT(ISERROR(SEARCH("Rosa",M79)))</formula>
    </cfRule>
    <cfRule type="containsText" dxfId="1893" priority="2130" operator="containsText" text="Castanho">
      <formula>NOT(ISERROR(SEARCH("Castanho",M79)))</formula>
    </cfRule>
    <cfRule type="containsText" dxfId="1892" priority="2131" operator="containsText" text="Verde Água">
      <formula>NOT(ISERROR(SEARCH("Verde Água",M79)))</formula>
    </cfRule>
    <cfRule type="containsText" dxfId="1891" priority="2132" operator="containsText" text="Azul Petróleo">
      <formula>NOT(ISERROR(SEARCH("Azul Petróleo",M79)))</formula>
    </cfRule>
    <cfRule type="containsText" dxfId="1890" priority="2133" operator="containsText" text="Preto">
      <formula>NOT(ISERROR(SEARCH("Preto",M79)))</formula>
    </cfRule>
    <cfRule type="containsText" priority="2134" operator="containsText" text="Branco">
      <formula>NOT(ISERROR(SEARCH("Branco",M79)))</formula>
    </cfRule>
    <cfRule type="containsText" dxfId="1889" priority="2135" operator="containsText" text="Bege">
      <formula>NOT(ISERROR(SEARCH("Bege",M79)))</formula>
    </cfRule>
  </conditionalFormatting>
  <conditionalFormatting sqref="M79">
    <cfRule type="containsText" dxfId="1888" priority="2118" operator="containsText" text="Cinza">
      <formula>NOT(ISERROR(SEARCH("Cinza",M79)))</formula>
    </cfRule>
    <cfRule type="containsText" dxfId="1887" priority="2119" operator="containsText" text="Púrpura">
      <formula>NOT(ISERROR(SEARCH("Púrpura",M79)))</formula>
    </cfRule>
    <cfRule type="containsText" dxfId="1886" priority="2120" operator="containsText" text="Rosa">
      <formula>NOT(ISERROR(SEARCH("Rosa",M79)))</formula>
    </cfRule>
    <cfRule type="containsText" dxfId="1885" priority="2121" operator="containsText" text="Castanho">
      <formula>NOT(ISERROR(SEARCH("Castanho",M79)))</formula>
    </cfRule>
    <cfRule type="containsText" dxfId="1884" priority="2122" operator="containsText" text="Verde Água">
      <formula>NOT(ISERROR(SEARCH("Verde Água",M79)))</formula>
    </cfRule>
    <cfRule type="containsText" dxfId="1883" priority="2123" operator="containsText" text="Azul Petróleo">
      <formula>NOT(ISERROR(SEARCH("Azul Petróleo",M79)))</formula>
    </cfRule>
    <cfRule type="containsText" dxfId="1882" priority="2124" operator="containsText" text="Preto">
      <formula>NOT(ISERROR(SEARCH("Preto",M79)))</formula>
    </cfRule>
    <cfRule type="containsText" priority="2125" operator="containsText" text="Branco">
      <formula>NOT(ISERROR(SEARCH("Branco",M79)))</formula>
    </cfRule>
    <cfRule type="containsText" dxfId="1881" priority="2126" operator="containsText" text="Bege">
      <formula>NOT(ISERROR(SEARCH("Bege",M79)))</formula>
    </cfRule>
  </conditionalFormatting>
  <conditionalFormatting sqref="M79">
    <cfRule type="containsText" dxfId="1880" priority="2109" operator="containsText" text="Cinza">
      <formula>NOT(ISERROR(SEARCH("Cinza",M79)))</formula>
    </cfRule>
    <cfRule type="containsText" dxfId="1879" priority="2110" operator="containsText" text="Púrpura">
      <formula>NOT(ISERROR(SEARCH("Púrpura",M79)))</formula>
    </cfRule>
    <cfRule type="containsText" dxfId="1878" priority="2111" operator="containsText" text="Rosa">
      <formula>NOT(ISERROR(SEARCH("Rosa",M79)))</formula>
    </cfRule>
    <cfRule type="containsText" dxfId="1877" priority="2112" operator="containsText" text="Castanho">
      <formula>NOT(ISERROR(SEARCH("Castanho",M79)))</formula>
    </cfRule>
    <cfRule type="containsText" dxfId="1876" priority="2113" operator="containsText" text="Verde Água">
      <formula>NOT(ISERROR(SEARCH("Verde Água",M79)))</formula>
    </cfRule>
    <cfRule type="containsText" dxfId="1875" priority="2114" operator="containsText" text="Azul Petróleo">
      <formula>NOT(ISERROR(SEARCH("Azul Petróleo",M79)))</formula>
    </cfRule>
    <cfRule type="containsText" dxfId="1874" priority="2115" operator="containsText" text="Preto">
      <formula>NOT(ISERROR(SEARCH("Preto",M79)))</formula>
    </cfRule>
    <cfRule type="containsText" priority="2116" operator="containsText" text="Branco">
      <formula>NOT(ISERROR(SEARCH("Branco",M79)))</formula>
    </cfRule>
    <cfRule type="containsText" dxfId="1873" priority="2117" operator="containsText" text="Bege">
      <formula>NOT(ISERROR(SEARCH("Bege",M79)))</formula>
    </cfRule>
  </conditionalFormatting>
  <conditionalFormatting sqref="M79">
    <cfRule type="containsText" dxfId="1872" priority="2100" operator="containsText" text="Cinza">
      <formula>NOT(ISERROR(SEARCH("Cinza",M79)))</formula>
    </cfRule>
    <cfRule type="containsText" dxfId="1871" priority="2101" operator="containsText" text="Púrpura">
      <formula>NOT(ISERROR(SEARCH("Púrpura",M79)))</formula>
    </cfRule>
    <cfRule type="containsText" dxfId="1870" priority="2102" operator="containsText" text="Rosa">
      <formula>NOT(ISERROR(SEARCH("Rosa",M79)))</formula>
    </cfRule>
    <cfRule type="containsText" dxfId="1869" priority="2103" operator="containsText" text="Castanho">
      <formula>NOT(ISERROR(SEARCH("Castanho",M79)))</formula>
    </cfRule>
    <cfRule type="containsText" dxfId="1868" priority="2104" operator="containsText" text="Verde Água">
      <formula>NOT(ISERROR(SEARCH("Verde Água",M79)))</formula>
    </cfRule>
    <cfRule type="containsText" dxfId="1867" priority="2105" operator="containsText" text="Azul Petróleo">
      <formula>NOT(ISERROR(SEARCH("Azul Petróleo",M79)))</formula>
    </cfRule>
    <cfRule type="containsText" dxfId="1866" priority="2106" operator="containsText" text="Preto">
      <formula>NOT(ISERROR(SEARCH("Preto",M79)))</formula>
    </cfRule>
    <cfRule type="containsText" priority="2107" operator="containsText" text="Branco">
      <formula>NOT(ISERROR(SEARCH("Branco",M79)))</formula>
    </cfRule>
    <cfRule type="containsText" dxfId="1865" priority="2108" operator="containsText" text="Bege">
      <formula>NOT(ISERROR(SEARCH("Bege",M79)))</formula>
    </cfRule>
  </conditionalFormatting>
  <conditionalFormatting sqref="M79">
    <cfRule type="containsText" dxfId="1864" priority="2091" operator="containsText" text="Escuro">
      <formula>NOT(ISERROR(SEARCH("Escuro",M79)))</formula>
    </cfRule>
    <cfRule type="containsText" dxfId="1863" priority="2092" operator="containsText" text="Cinza">
      <formula>NOT(ISERROR(SEARCH("Cinza",M79)))</formula>
    </cfRule>
    <cfRule type="containsText" dxfId="1862" priority="2093" operator="containsText" text="Púrpura">
      <formula>NOT(ISERROR(SEARCH("Púrpura",M79)))</formula>
    </cfRule>
    <cfRule type="containsText" dxfId="1861" priority="2094" operator="containsText" text="Rosa">
      <formula>NOT(ISERROR(SEARCH("Rosa",M79)))</formula>
    </cfRule>
    <cfRule type="containsText" dxfId="1860" priority="2095" operator="containsText" text="Castanho">
      <formula>NOT(ISERROR(SEARCH("Castanho",M79)))</formula>
    </cfRule>
    <cfRule type="containsText" dxfId="1859" priority="2096" operator="containsText" text="Verde Água">
      <formula>NOT(ISERROR(SEARCH("Verde Água",M79)))</formula>
    </cfRule>
    <cfRule type="containsText" dxfId="1858" priority="2097" operator="containsText" text="Azul Petróleo">
      <formula>NOT(ISERROR(SEARCH("Azul Petróleo",M79)))</formula>
    </cfRule>
    <cfRule type="containsText" dxfId="1857" priority="2098" operator="containsText" text="Preto">
      <formula>NOT(ISERROR(SEARCH("Preto",M79)))</formula>
    </cfRule>
    <cfRule type="containsText" priority="2099" operator="containsText" text="Branco">
      <formula>NOT(ISERROR(SEARCH("Branco",M79)))</formula>
    </cfRule>
  </conditionalFormatting>
  <conditionalFormatting sqref="W13">
    <cfRule type="containsText" dxfId="1856" priority="2082" operator="containsText" text="Cinza">
      <formula>NOT(ISERROR(SEARCH("Cinza",W13)))</formula>
    </cfRule>
    <cfRule type="containsText" dxfId="1855" priority="2083" operator="containsText" text="Púrpura">
      <formula>NOT(ISERROR(SEARCH("Púrpura",W13)))</formula>
    </cfRule>
    <cfRule type="containsText" dxfId="1854" priority="2084" operator="containsText" text="Rosa">
      <formula>NOT(ISERROR(SEARCH("Rosa",W13)))</formula>
    </cfRule>
    <cfRule type="containsText" dxfId="1853" priority="2085" operator="containsText" text="Castanho">
      <formula>NOT(ISERROR(SEARCH("Castanho",W13)))</formula>
    </cfRule>
    <cfRule type="containsText" dxfId="1852" priority="2086" operator="containsText" text="Verde Água">
      <formula>NOT(ISERROR(SEARCH("Verde Água",W13)))</formula>
    </cfRule>
    <cfRule type="containsText" dxfId="1851" priority="2087" operator="containsText" text="Azul Petróleo">
      <formula>NOT(ISERROR(SEARCH("Azul Petróleo",W13)))</formula>
    </cfRule>
    <cfRule type="containsText" dxfId="1850" priority="2088" operator="containsText" text="Preto">
      <formula>NOT(ISERROR(SEARCH("Preto",W13)))</formula>
    </cfRule>
    <cfRule type="containsText" priority="2089" operator="containsText" text="Branco">
      <formula>NOT(ISERROR(SEARCH("Branco",W13)))</formula>
    </cfRule>
    <cfRule type="containsText" dxfId="1849" priority="2090" operator="containsText" text="Bege">
      <formula>NOT(ISERROR(SEARCH("Bege",W13)))</formula>
    </cfRule>
  </conditionalFormatting>
  <conditionalFormatting sqref="W13">
    <cfRule type="containsText" dxfId="1848" priority="2073" operator="containsText" text="Escuro">
      <formula>NOT(ISERROR(SEARCH("Escuro",W13)))</formula>
    </cfRule>
    <cfRule type="containsText" dxfId="1847" priority="2074" operator="containsText" text="Cinza">
      <formula>NOT(ISERROR(SEARCH("Cinza",W13)))</formula>
    </cfRule>
    <cfRule type="containsText" dxfId="1846" priority="2075" operator="containsText" text="Púrpura">
      <formula>NOT(ISERROR(SEARCH("Púrpura",W13)))</formula>
    </cfRule>
    <cfRule type="containsText" dxfId="1845" priority="2076" operator="containsText" text="Rosa">
      <formula>NOT(ISERROR(SEARCH("Rosa",W13)))</formula>
    </cfRule>
    <cfRule type="containsText" dxfId="1844" priority="2077" operator="containsText" text="Castanho">
      <formula>NOT(ISERROR(SEARCH("Castanho",W13)))</formula>
    </cfRule>
    <cfRule type="containsText" dxfId="1843" priority="2078" operator="containsText" text="Verde Água">
      <formula>NOT(ISERROR(SEARCH("Verde Água",W13)))</formula>
    </cfRule>
    <cfRule type="containsText" dxfId="1842" priority="2079" operator="containsText" text="Azul Petróleo">
      <formula>NOT(ISERROR(SEARCH("Azul Petróleo",W13)))</formula>
    </cfRule>
    <cfRule type="containsText" dxfId="1841" priority="2080" operator="containsText" text="Preto">
      <formula>NOT(ISERROR(SEARCH("Preto",W13)))</formula>
    </cfRule>
    <cfRule type="containsText" priority="2081" operator="containsText" text="Branco">
      <formula>NOT(ISERROR(SEARCH("Branco",W13)))</formula>
    </cfRule>
  </conditionalFormatting>
  <conditionalFormatting sqref="W34">
    <cfRule type="containsText" dxfId="1840" priority="2064" operator="containsText" text="Cinza">
      <formula>NOT(ISERROR(SEARCH("Cinza",W34)))</formula>
    </cfRule>
    <cfRule type="containsText" dxfId="1839" priority="2065" operator="containsText" text="Púrpura">
      <formula>NOT(ISERROR(SEARCH("Púrpura",W34)))</formula>
    </cfRule>
    <cfRule type="containsText" dxfId="1838" priority="2066" operator="containsText" text="Rosa">
      <formula>NOT(ISERROR(SEARCH("Rosa",W34)))</formula>
    </cfRule>
    <cfRule type="containsText" dxfId="1837" priority="2067" operator="containsText" text="Castanho">
      <formula>NOT(ISERROR(SEARCH("Castanho",W34)))</formula>
    </cfRule>
    <cfRule type="containsText" dxfId="1836" priority="2068" operator="containsText" text="Verde Água">
      <formula>NOT(ISERROR(SEARCH("Verde Água",W34)))</formula>
    </cfRule>
    <cfRule type="containsText" dxfId="1835" priority="2069" operator="containsText" text="Azul Petróleo">
      <formula>NOT(ISERROR(SEARCH("Azul Petróleo",W34)))</formula>
    </cfRule>
    <cfRule type="containsText" dxfId="1834" priority="2070" operator="containsText" text="Preto">
      <formula>NOT(ISERROR(SEARCH("Preto",W34)))</formula>
    </cfRule>
    <cfRule type="containsText" priority="2071" operator="containsText" text="Branco">
      <formula>NOT(ISERROR(SEARCH("Branco",W34)))</formula>
    </cfRule>
    <cfRule type="containsText" dxfId="1833" priority="2072" operator="containsText" text="Bege">
      <formula>NOT(ISERROR(SEARCH("Bege",W34)))</formula>
    </cfRule>
  </conditionalFormatting>
  <conditionalFormatting sqref="W34">
    <cfRule type="containsText" dxfId="1832" priority="2055" operator="containsText" text="Cinza">
      <formula>NOT(ISERROR(SEARCH("Cinza",W34)))</formula>
    </cfRule>
    <cfRule type="containsText" dxfId="1831" priority="2056" operator="containsText" text="Púrpura">
      <formula>NOT(ISERROR(SEARCH("Púrpura",W34)))</formula>
    </cfRule>
    <cfRule type="containsText" dxfId="1830" priority="2057" operator="containsText" text="Rosa">
      <formula>NOT(ISERROR(SEARCH("Rosa",W34)))</formula>
    </cfRule>
    <cfRule type="containsText" dxfId="1829" priority="2058" operator="containsText" text="Castanho">
      <formula>NOT(ISERROR(SEARCH("Castanho",W34)))</formula>
    </cfRule>
    <cfRule type="containsText" dxfId="1828" priority="2059" operator="containsText" text="Verde Água">
      <formula>NOT(ISERROR(SEARCH("Verde Água",W34)))</formula>
    </cfRule>
    <cfRule type="containsText" dxfId="1827" priority="2060" operator="containsText" text="Azul Petróleo">
      <formula>NOT(ISERROR(SEARCH("Azul Petróleo",W34)))</formula>
    </cfRule>
    <cfRule type="containsText" dxfId="1826" priority="2061" operator="containsText" text="Preto">
      <formula>NOT(ISERROR(SEARCH("Preto",W34)))</formula>
    </cfRule>
    <cfRule type="containsText" priority="2062" operator="containsText" text="Branco">
      <formula>NOT(ISERROR(SEARCH("Branco",W34)))</formula>
    </cfRule>
    <cfRule type="containsText" dxfId="1825" priority="2063" operator="containsText" text="Bege">
      <formula>NOT(ISERROR(SEARCH("Bege",W34)))</formula>
    </cfRule>
  </conditionalFormatting>
  <conditionalFormatting sqref="W34">
    <cfRule type="containsText" dxfId="1824" priority="2046" operator="containsText" text="Cinza">
      <formula>NOT(ISERROR(SEARCH("Cinza",W34)))</formula>
    </cfRule>
    <cfRule type="containsText" dxfId="1823" priority="2047" operator="containsText" text="Púrpura">
      <formula>NOT(ISERROR(SEARCH("Púrpura",W34)))</formula>
    </cfRule>
    <cfRule type="containsText" dxfId="1822" priority="2048" operator="containsText" text="Rosa">
      <formula>NOT(ISERROR(SEARCH("Rosa",W34)))</formula>
    </cfRule>
    <cfRule type="containsText" dxfId="1821" priority="2049" operator="containsText" text="Castanho">
      <formula>NOT(ISERROR(SEARCH("Castanho",W34)))</formula>
    </cfRule>
    <cfRule type="containsText" dxfId="1820" priority="2050" operator="containsText" text="Verde Água">
      <formula>NOT(ISERROR(SEARCH("Verde Água",W34)))</formula>
    </cfRule>
    <cfRule type="containsText" dxfId="1819" priority="2051" operator="containsText" text="Azul Petróleo">
      <formula>NOT(ISERROR(SEARCH("Azul Petróleo",W34)))</formula>
    </cfRule>
    <cfRule type="containsText" dxfId="1818" priority="2052" operator="containsText" text="Preto">
      <formula>NOT(ISERROR(SEARCH("Preto",W34)))</formula>
    </cfRule>
    <cfRule type="containsText" priority="2053" operator="containsText" text="Branco">
      <formula>NOT(ISERROR(SEARCH("Branco",W34)))</formula>
    </cfRule>
    <cfRule type="containsText" dxfId="1817" priority="2054" operator="containsText" text="Bege">
      <formula>NOT(ISERROR(SEARCH("Bege",W34)))</formula>
    </cfRule>
  </conditionalFormatting>
  <conditionalFormatting sqref="W34">
    <cfRule type="containsText" dxfId="1816" priority="2037" operator="containsText" text="Cinza">
      <formula>NOT(ISERROR(SEARCH("Cinza",W34)))</formula>
    </cfRule>
    <cfRule type="containsText" dxfId="1815" priority="2038" operator="containsText" text="Púrpura">
      <formula>NOT(ISERROR(SEARCH("Púrpura",W34)))</formula>
    </cfRule>
    <cfRule type="containsText" dxfId="1814" priority="2039" operator="containsText" text="Rosa">
      <formula>NOT(ISERROR(SEARCH("Rosa",W34)))</formula>
    </cfRule>
    <cfRule type="containsText" dxfId="1813" priority="2040" operator="containsText" text="Castanho">
      <formula>NOT(ISERROR(SEARCH("Castanho",W34)))</formula>
    </cfRule>
    <cfRule type="containsText" dxfId="1812" priority="2041" operator="containsText" text="Verde Água">
      <formula>NOT(ISERROR(SEARCH("Verde Água",W34)))</formula>
    </cfRule>
    <cfRule type="containsText" dxfId="1811" priority="2042" operator="containsText" text="Azul Petróleo">
      <formula>NOT(ISERROR(SEARCH("Azul Petróleo",W34)))</formula>
    </cfRule>
    <cfRule type="containsText" dxfId="1810" priority="2043" operator="containsText" text="Preto">
      <formula>NOT(ISERROR(SEARCH("Preto",W34)))</formula>
    </cfRule>
    <cfRule type="containsText" priority="2044" operator="containsText" text="Branco">
      <formula>NOT(ISERROR(SEARCH("Branco",W34)))</formula>
    </cfRule>
    <cfRule type="containsText" dxfId="1809" priority="2045" operator="containsText" text="Bege">
      <formula>NOT(ISERROR(SEARCH("Bege",W34)))</formula>
    </cfRule>
  </conditionalFormatting>
  <conditionalFormatting sqref="W34">
    <cfRule type="containsText" dxfId="1808" priority="2028" operator="containsText" text="Cinza">
      <formula>NOT(ISERROR(SEARCH("Cinza",W34)))</formula>
    </cfRule>
    <cfRule type="containsText" dxfId="1807" priority="2029" operator="containsText" text="Púrpura">
      <formula>NOT(ISERROR(SEARCH("Púrpura",W34)))</formula>
    </cfRule>
    <cfRule type="containsText" dxfId="1806" priority="2030" operator="containsText" text="Rosa">
      <formula>NOT(ISERROR(SEARCH("Rosa",W34)))</formula>
    </cfRule>
    <cfRule type="containsText" dxfId="1805" priority="2031" operator="containsText" text="Castanho">
      <formula>NOT(ISERROR(SEARCH("Castanho",W34)))</formula>
    </cfRule>
    <cfRule type="containsText" dxfId="1804" priority="2032" operator="containsText" text="Verde Água">
      <formula>NOT(ISERROR(SEARCH("Verde Água",W34)))</formula>
    </cfRule>
    <cfRule type="containsText" dxfId="1803" priority="2033" operator="containsText" text="Azul Petróleo">
      <formula>NOT(ISERROR(SEARCH("Azul Petróleo",W34)))</formula>
    </cfRule>
    <cfRule type="containsText" dxfId="1802" priority="2034" operator="containsText" text="Preto">
      <formula>NOT(ISERROR(SEARCH("Preto",W34)))</formula>
    </cfRule>
    <cfRule type="containsText" priority="2035" operator="containsText" text="Branco">
      <formula>NOT(ISERROR(SEARCH("Branco",W34)))</formula>
    </cfRule>
    <cfRule type="containsText" dxfId="1801" priority="2036" operator="containsText" text="Bege">
      <formula>NOT(ISERROR(SEARCH("Bege",W34)))</formula>
    </cfRule>
  </conditionalFormatting>
  <conditionalFormatting sqref="W34">
    <cfRule type="containsText" dxfId="1800" priority="2019" operator="containsText" text="Cinza">
      <formula>NOT(ISERROR(SEARCH("Cinza",W34)))</formula>
    </cfRule>
    <cfRule type="containsText" dxfId="1799" priority="2020" operator="containsText" text="Púrpura">
      <formula>NOT(ISERROR(SEARCH("Púrpura",W34)))</formula>
    </cfRule>
    <cfRule type="containsText" dxfId="1798" priority="2021" operator="containsText" text="Rosa">
      <formula>NOT(ISERROR(SEARCH("Rosa",W34)))</formula>
    </cfRule>
    <cfRule type="containsText" dxfId="1797" priority="2022" operator="containsText" text="Castanho">
      <formula>NOT(ISERROR(SEARCH("Castanho",W34)))</formula>
    </cfRule>
    <cfRule type="containsText" dxfId="1796" priority="2023" operator="containsText" text="Verde Água">
      <formula>NOT(ISERROR(SEARCH("Verde Água",W34)))</formula>
    </cfRule>
    <cfRule type="containsText" dxfId="1795" priority="2024" operator="containsText" text="Azul Petróleo">
      <formula>NOT(ISERROR(SEARCH("Azul Petróleo",W34)))</formula>
    </cfRule>
    <cfRule type="containsText" dxfId="1794" priority="2025" operator="containsText" text="Preto">
      <formula>NOT(ISERROR(SEARCH("Preto",W34)))</formula>
    </cfRule>
    <cfRule type="containsText" priority="2026" operator="containsText" text="Branco">
      <formula>NOT(ISERROR(SEARCH("Branco",W34)))</formula>
    </cfRule>
    <cfRule type="containsText" dxfId="1793" priority="2027" operator="containsText" text="Bege">
      <formula>NOT(ISERROR(SEARCH("Bege",W34)))</formula>
    </cfRule>
  </conditionalFormatting>
  <conditionalFormatting sqref="W34">
    <cfRule type="containsText" dxfId="1792" priority="2010" operator="containsText" text="Cinza">
      <formula>NOT(ISERROR(SEARCH("Cinza",W34)))</formula>
    </cfRule>
    <cfRule type="containsText" dxfId="1791" priority="2011" operator="containsText" text="Púrpura">
      <formula>NOT(ISERROR(SEARCH("Púrpura",W34)))</formula>
    </cfRule>
    <cfRule type="containsText" dxfId="1790" priority="2012" operator="containsText" text="Rosa">
      <formula>NOT(ISERROR(SEARCH("Rosa",W34)))</formula>
    </cfRule>
    <cfRule type="containsText" dxfId="1789" priority="2013" operator="containsText" text="Castanho">
      <formula>NOT(ISERROR(SEARCH("Castanho",W34)))</formula>
    </cfRule>
    <cfRule type="containsText" dxfId="1788" priority="2014" operator="containsText" text="Verde Água">
      <formula>NOT(ISERROR(SEARCH("Verde Água",W34)))</formula>
    </cfRule>
    <cfRule type="containsText" dxfId="1787" priority="2015" operator="containsText" text="Azul Petróleo">
      <formula>NOT(ISERROR(SEARCH("Azul Petróleo",W34)))</formula>
    </cfRule>
    <cfRule type="containsText" dxfId="1786" priority="2016" operator="containsText" text="Preto">
      <formula>NOT(ISERROR(SEARCH("Preto",W34)))</formula>
    </cfRule>
    <cfRule type="containsText" priority="2017" operator="containsText" text="Branco">
      <formula>NOT(ISERROR(SEARCH("Branco",W34)))</formula>
    </cfRule>
    <cfRule type="containsText" dxfId="1785" priority="2018" operator="containsText" text="Bege">
      <formula>NOT(ISERROR(SEARCH("Bege",W34)))</formula>
    </cfRule>
  </conditionalFormatting>
  <conditionalFormatting sqref="W34">
    <cfRule type="containsText" dxfId="1784" priority="2001" operator="containsText" text="Cinza">
      <formula>NOT(ISERROR(SEARCH("Cinza",W34)))</formula>
    </cfRule>
    <cfRule type="containsText" dxfId="1783" priority="2002" operator="containsText" text="Púrpura">
      <formula>NOT(ISERROR(SEARCH("Púrpura",W34)))</formula>
    </cfRule>
    <cfRule type="containsText" dxfId="1782" priority="2003" operator="containsText" text="Rosa">
      <formula>NOT(ISERROR(SEARCH("Rosa",W34)))</formula>
    </cfRule>
    <cfRule type="containsText" dxfId="1781" priority="2004" operator="containsText" text="Castanho">
      <formula>NOT(ISERROR(SEARCH("Castanho",W34)))</formula>
    </cfRule>
    <cfRule type="containsText" dxfId="1780" priority="2005" operator="containsText" text="Verde Água">
      <formula>NOT(ISERROR(SEARCH("Verde Água",W34)))</formula>
    </cfRule>
    <cfRule type="containsText" dxfId="1779" priority="2006" operator="containsText" text="Azul Petróleo">
      <formula>NOT(ISERROR(SEARCH("Azul Petróleo",W34)))</formula>
    </cfRule>
    <cfRule type="containsText" dxfId="1778" priority="2007" operator="containsText" text="Preto">
      <formula>NOT(ISERROR(SEARCH("Preto",W34)))</formula>
    </cfRule>
    <cfRule type="containsText" priority="2008" operator="containsText" text="Branco">
      <formula>NOT(ISERROR(SEARCH("Branco",W34)))</formula>
    </cfRule>
    <cfRule type="containsText" dxfId="1777" priority="2009" operator="containsText" text="Bege">
      <formula>NOT(ISERROR(SEARCH("Bege",W34)))</formula>
    </cfRule>
  </conditionalFormatting>
  <conditionalFormatting sqref="W34">
    <cfRule type="containsText" dxfId="1776" priority="1992" operator="containsText" text="Cinza">
      <formula>NOT(ISERROR(SEARCH("Cinza",W34)))</formula>
    </cfRule>
    <cfRule type="containsText" dxfId="1775" priority="1993" operator="containsText" text="Púrpura">
      <formula>NOT(ISERROR(SEARCH("Púrpura",W34)))</formula>
    </cfRule>
    <cfRule type="containsText" dxfId="1774" priority="1994" operator="containsText" text="Rosa">
      <formula>NOT(ISERROR(SEARCH("Rosa",W34)))</formula>
    </cfRule>
    <cfRule type="containsText" dxfId="1773" priority="1995" operator="containsText" text="Castanho">
      <formula>NOT(ISERROR(SEARCH("Castanho",W34)))</formula>
    </cfRule>
    <cfRule type="containsText" dxfId="1772" priority="1996" operator="containsText" text="Verde Água">
      <formula>NOT(ISERROR(SEARCH("Verde Água",W34)))</formula>
    </cfRule>
    <cfRule type="containsText" dxfId="1771" priority="1997" operator="containsText" text="Azul Petróleo">
      <formula>NOT(ISERROR(SEARCH("Azul Petróleo",W34)))</formula>
    </cfRule>
    <cfRule type="containsText" dxfId="1770" priority="1998" operator="containsText" text="Preto">
      <formula>NOT(ISERROR(SEARCH("Preto",W34)))</formula>
    </cfRule>
    <cfRule type="containsText" priority="1999" operator="containsText" text="Branco">
      <formula>NOT(ISERROR(SEARCH("Branco",W34)))</formula>
    </cfRule>
    <cfRule type="containsText" dxfId="1769" priority="2000" operator="containsText" text="Bege">
      <formula>NOT(ISERROR(SEARCH("Bege",W34)))</formula>
    </cfRule>
  </conditionalFormatting>
  <conditionalFormatting sqref="W34">
    <cfRule type="containsText" dxfId="1768" priority="1983" operator="containsText" text="Cinza">
      <formula>NOT(ISERROR(SEARCH("Cinza",W34)))</formula>
    </cfRule>
    <cfRule type="containsText" dxfId="1767" priority="1984" operator="containsText" text="Púrpura">
      <formula>NOT(ISERROR(SEARCH("Púrpura",W34)))</formula>
    </cfRule>
    <cfRule type="containsText" dxfId="1766" priority="1985" operator="containsText" text="Rosa">
      <formula>NOT(ISERROR(SEARCH("Rosa",W34)))</formula>
    </cfRule>
    <cfRule type="containsText" dxfId="1765" priority="1986" operator="containsText" text="Castanho">
      <formula>NOT(ISERROR(SEARCH("Castanho",W34)))</formula>
    </cfRule>
    <cfRule type="containsText" dxfId="1764" priority="1987" operator="containsText" text="Verde Água">
      <formula>NOT(ISERROR(SEARCH("Verde Água",W34)))</formula>
    </cfRule>
    <cfRule type="containsText" dxfId="1763" priority="1988" operator="containsText" text="Azul Petróleo">
      <formula>NOT(ISERROR(SEARCH("Azul Petróleo",W34)))</formula>
    </cfRule>
    <cfRule type="containsText" dxfId="1762" priority="1989" operator="containsText" text="Preto">
      <formula>NOT(ISERROR(SEARCH("Preto",W34)))</formula>
    </cfRule>
    <cfRule type="containsText" priority="1990" operator="containsText" text="Branco">
      <formula>NOT(ISERROR(SEARCH("Branco",W34)))</formula>
    </cfRule>
    <cfRule type="containsText" dxfId="1761" priority="1991" operator="containsText" text="Bege">
      <formula>NOT(ISERROR(SEARCH("Bege",W34)))</formula>
    </cfRule>
  </conditionalFormatting>
  <conditionalFormatting sqref="W34">
    <cfRule type="containsText" dxfId="1760" priority="1974" operator="containsText" text="Cinza">
      <formula>NOT(ISERROR(SEARCH("Cinza",W34)))</formula>
    </cfRule>
    <cfRule type="containsText" dxfId="1759" priority="1975" operator="containsText" text="Púrpura">
      <formula>NOT(ISERROR(SEARCH("Púrpura",W34)))</formula>
    </cfRule>
    <cfRule type="containsText" dxfId="1758" priority="1976" operator="containsText" text="Rosa">
      <formula>NOT(ISERROR(SEARCH("Rosa",W34)))</formula>
    </cfRule>
    <cfRule type="containsText" dxfId="1757" priority="1977" operator="containsText" text="Castanho">
      <formula>NOT(ISERROR(SEARCH("Castanho",W34)))</formula>
    </cfRule>
    <cfRule type="containsText" dxfId="1756" priority="1978" operator="containsText" text="Verde Água">
      <formula>NOT(ISERROR(SEARCH("Verde Água",W34)))</formula>
    </cfRule>
    <cfRule type="containsText" dxfId="1755" priority="1979" operator="containsText" text="Azul Petróleo">
      <formula>NOT(ISERROR(SEARCH("Azul Petróleo",W34)))</formula>
    </cfRule>
    <cfRule type="containsText" dxfId="1754" priority="1980" operator="containsText" text="Preto">
      <formula>NOT(ISERROR(SEARCH("Preto",W34)))</formula>
    </cfRule>
    <cfRule type="containsText" priority="1981" operator="containsText" text="Branco">
      <formula>NOT(ISERROR(SEARCH("Branco",W34)))</formula>
    </cfRule>
    <cfRule type="containsText" dxfId="1753" priority="1982" operator="containsText" text="Bege">
      <formula>NOT(ISERROR(SEARCH("Bege",W34)))</formula>
    </cfRule>
  </conditionalFormatting>
  <conditionalFormatting sqref="W34">
    <cfRule type="containsText" dxfId="1752" priority="1965" operator="containsText" text="Cinza">
      <formula>NOT(ISERROR(SEARCH("Cinza",W34)))</formula>
    </cfRule>
    <cfRule type="containsText" dxfId="1751" priority="1966" operator="containsText" text="Púrpura">
      <formula>NOT(ISERROR(SEARCH("Púrpura",W34)))</formula>
    </cfRule>
    <cfRule type="containsText" dxfId="1750" priority="1967" operator="containsText" text="Rosa">
      <formula>NOT(ISERROR(SEARCH("Rosa",W34)))</formula>
    </cfRule>
    <cfRule type="containsText" dxfId="1749" priority="1968" operator="containsText" text="Castanho">
      <formula>NOT(ISERROR(SEARCH("Castanho",W34)))</formula>
    </cfRule>
    <cfRule type="containsText" dxfId="1748" priority="1969" operator="containsText" text="Verde Água">
      <formula>NOT(ISERROR(SEARCH("Verde Água",W34)))</formula>
    </cfRule>
    <cfRule type="containsText" dxfId="1747" priority="1970" operator="containsText" text="Azul Petróleo">
      <formula>NOT(ISERROR(SEARCH("Azul Petróleo",W34)))</formula>
    </cfRule>
    <cfRule type="containsText" dxfId="1746" priority="1971" operator="containsText" text="Preto">
      <formula>NOT(ISERROR(SEARCH("Preto",W34)))</formula>
    </cfRule>
    <cfRule type="containsText" priority="1972" operator="containsText" text="Branco">
      <formula>NOT(ISERROR(SEARCH("Branco",W34)))</formula>
    </cfRule>
    <cfRule type="containsText" dxfId="1745" priority="1973" operator="containsText" text="Bege">
      <formula>NOT(ISERROR(SEARCH("Bege",W34)))</formula>
    </cfRule>
  </conditionalFormatting>
  <conditionalFormatting sqref="W34">
    <cfRule type="containsText" dxfId="1744" priority="1956" operator="containsText" text="Cinza">
      <formula>NOT(ISERROR(SEARCH("Cinza",W34)))</formula>
    </cfRule>
    <cfRule type="containsText" dxfId="1743" priority="1957" operator="containsText" text="Púrpura">
      <formula>NOT(ISERROR(SEARCH("Púrpura",W34)))</formula>
    </cfRule>
    <cfRule type="containsText" dxfId="1742" priority="1958" operator="containsText" text="Rosa">
      <formula>NOT(ISERROR(SEARCH("Rosa",W34)))</formula>
    </cfRule>
    <cfRule type="containsText" dxfId="1741" priority="1959" operator="containsText" text="Castanho">
      <formula>NOT(ISERROR(SEARCH("Castanho",W34)))</formula>
    </cfRule>
    <cfRule type="containsText" dxfId="1740" priority="1960" operator="containsText" text="Verde Água">
      <formula>NOT(ISERROR(SEARCH("Verde Água",W34)))</formula>
    </cfRule>
    <cfRule type="containsText" dxfId="1739" priority="1961" operator="containsText" text="Azul Petróleo">
      <formula>NOT(ISERROR(SEARCH("Azul Petróleo",W34)))</formula>
    </cfRule>
    <cfRule type="containsText" dxfId="1738" priority="1962" operator="containsText" text="Preto">
      <formula>NOT(ISERROR(SEARCH("Preto",W34)))</formula>
    </cfRule>
    <cfRule type="containsText" priority="1963" operator="containsText" text="Branco">
      <formula>NOT(ISERROR(SEARCH("Branco",W34)))</formula>
    </cfRule>
    <cfRule type="containsText" dxfId="1737" priority="1964" operator="containsText" text="Bege">
      <formula>NOT(ISERROR(SEARCH("Bege",W34)))</formula>
    </cfRule>
  </conditionalFormatting>
  <conditionalFormatting sqref="W34">
    <cfRule type="containsText" dxfId="1736" priority="1947" operator="containsText" text="Cinza">
      <formula>NOT(ISERROR(SEARCH("Cinza",W34)))</formula>
    </cfRule>
    <cfRule type="containsText" dxfId="1735" priority="1948" operator="containsText" text="Púrpura">
      <formula>NOT(ISERROR(SEARCH("Púrpura",W34)))</formula>
    </cfRule>
    <cfRule type="containsText" dxfId="1734" priority="1949" operator="containsText" text="Rosa">
      <formula>NOT(ISERROR(SEARCH("Rosa",W34)))</formula>
    </cfRule>
    <cfRule type="containsText" dxfId="1733" priority="1950" operator="containsText" text="Castanho">
      <formula>NOT(ISERROR(SEARCH("Castanho",W34)))</formula>
    </cfRule>
    <cfRule type="containsText" dxfId="1732" priority="1951" operator="containsText" text="Verde Água">
      <formula>NOT(ISERROR(SEARCH("Verde Água",W34)))</formula>
    </cfRule>
    <cfRule type="containsText" dxfId="1731" priority="1952" operator="containsText" text="Azul Petróleo">
      <formula>NOT(ISERROR(SEARCH("Azul Petróleo",W34)))</formula>
    </cfRule>
    <cfRule type="containsText" dxfId="1730" priority="1953" operator="containsText" text="Preto">
      <formula>NOT(ISERROR(SEARCH("Preto",W34)))</formula>
    </cfRule>
    <cfRule type="containsText" priority="1954" operator="containsText" text="Branco">
      <formula>NOT(ISERROR(SEARCH("Branco",W34)))</formula>
    </cfRule>
    <cfRule type="containsText" dxfId="1729" priority="1955" operator="containsText" text="Bege">
      <formula>NOT(ISERROR(SEARCH("Bege",W34)))</formula>
    </cfRule>
  </conditionalFormatting>
  <conditionalFormatting sqref="W34">
    <cfRule type="containsText" dxfId="1728" priority="1938" operator="containsText" text="Cinza">
      <formula>NOT(ISERROR(SEARCH("Cinza",W34)))</formula>
    </cfRule>
    <cfRule type="containsText" dxfId="1727" priority="1939" operator="containsText" text="Púrpura">
      <formula>NOT(ISERROR(SEARCH("Púrpura",W34)))</formula>
    </cfRule>
    <cfRule type="containsText" dxfId="1726" priority="1940" operator="containsText" text="Rosa">
      <formula>NOT(ISERROR(SEARCH("Rosa",W34)))</formula>
    </cfRule>
    <cfRule type="containsText" dxfId="1725" priority="1941" operator="containsText" text="Castanho">
      <formula>NOT(ISERROR(SEARCH("Castanho",W34)))</formula>
    </cfRule>
    <cfRule type="containsText" dxfId="1724" priority="1942" operator="containsText" text="Verde Água">
      <formula>NOT(ISERROR(SEARCH("Verde Água",W34)))</formula>
    </cfRule>
    <cfRule type="containsText" dxfId="1723" priority="1943" operator="containsText" text="Azul Petróleo">
      <formula>NOT(ISERROR(SEARCH("Azul Petróleo",W34)))</formula>
    </cfRule>
    <cfRule type="containsText" dxfId="1722" priority="1944" operator="containsText" text="Preto">
      <formula>NOT(ISERROR(SEARCH("Preto",W34)))</formula>
    </cfRule>
    <cfRule type="containsText" priority="1945" operator="containsText" text="Branco">
      <formula>NOT(ISERROR(SEARCH("Branco",W34)))</formula>
    </cfRule>
    <cfRule type="containsText" dxfId="1721" priority="1946" operator="containsText" text="Bege">
      <formula>NOT(ISERROR(SEARCH("Bege",W34)))</formula>
    </cfRule>
  </conditionalFormatting>
  <conditionalFormatting sqref="W34">
    <cfRule type="containsText" dxfId="1720" priority="1929" operator="containsText" text="Cinza">
      <formula>NOT(ISERROR(SEARCH("Cinza",W34)))</formula>
    </cfRule>
    <cfRule type="containsText" dxfId="1719" priority="1930" operator="containsText" text="Púrpura">
      <formula>NOT(ISERROR(SEARCH("Púrpura",W34)))</formula>
    </cfRule>
    <cfRule type="containsText" dxfId="1718" priority="1931" operator="containsText" text="Rosa">
      <formula>NOT(ISERROR(SEARCH("Rosa",W34)))</formula>
    </cfRule>
    <cfRule type="containsText" dxfId="1717" priority="1932" operator="containsText" text="Castanho">
      <formula>NOT(ISERROR(SEARCH("Castanho",W34)))</formula>
    </cfRule>
    <cfRule type="containsText" dxfId="1716" priority="1933" operator="containsText" text="Verde Água">
      <formula>NOT(ISERROR(SEARCH("Verde Água",W34)))</formula>
    </cfRule>
    <cfRule type="containsText" dxfId="1715" priority="1934" operator="containsText" text="Azul Petróleo">
      <formula>NOT(ISERROR(SEARCH("Azul Petróleo",W34)))</formula>
    </cfRule>
    <cfRule type="containsText" dxfId="1714" priority="1935" operator="containsText" text="Preto">
      <formula>NOT(ISERROR(SEARCH("Preto",W34)))</formula>
    </cfRule>
    <cfRule type="containsText" priority="1936" operator="containsText" text="Branco">
      <formula>NOT(ISERROR(SEARCH("Branco",W34)))</formula>
    </cfRule>
    <cfRule type="containsText" dxfId="1713" priority="1937" operator="containsText" text="Bege">
      <formula>NOT(ISERROR(SEARCH("Bege",W34)))</formula>
    </cfRule>
  </conditionalFormatting>
  <conditionalFormatting sqref="W34">
    <cfRule type="containsText" dxfId="1712" priority="1920" operator="containsText" text="Escuro">
      <formula>NOT(ISERROR(SEARCH("Escuro",W34)))</formula>
    </cfRule>
    <cfRule type="containsText" dxfId="1711" priority="1921" operator="containsText" text="Cinza">
      <formula>NOT(ISERROR(SEARCH("Cinza",W34)))</formula>
    </cfRule>
    <cfRule type="containsText" dxfId="1710" priority="1922" operator="containsText" text="Púrpura">
      <formula>NOT(ISERROR(SEARCH("Púrpura",W34)))</formula>
    </cfRule>
    <cfRule type="containsText" dxfId="1709" priority="1923" operator="containsText" text="Rosa">
      <formula>NOT(ISERROR(SEARCH("Rosa",W34)))</formula>
    </cfRule>
    <cfRule type="containsText" dxfId="1708" priority="1924" operator="containsText" text="Castanho">
      <formula>NOT(ISERROR(SEARCH("Castanho",W34)))</formula>
    </cfRule>
    <cfRule type="containsText" dxfId="1707" priority="1925" operator="containsText" text="Verde Água">
      <formula>NOT(ISERROR(SEARCH("Verde Água",W34)))</formula>
    </cfRule>
    <cfRule type="containsText" dxfId="1706" priority="1926" operator="containsText" text="Azul Petróleo">
      <formula>NOT(ISERROR(SEARCH("Azul Petróleo",W34)))</formula>
    </cfRule>
    <cfRule type="containsText" dxfId="1705" priority="1927" operator="containsText" text="Preto">
      <formula>NOT(ISERROR(SEARCH("Preto",W34)))</formula>
    </cfRule>
    <cfRule type="containsText" priority="1928" operator="containsText" text="Branco">
      <formula>NOT(ISERROR(SEARCH("Branco",W34)))</formula>
    </cfRule>
  </conditionalFormatting>
  <conditionalFormatting sqref="W46">
    <cfRule type="containsText" dxfId="1704" priority="1911" operator="containsText" text="Cinza">
      <formula>NOT(ISERROR(SEARCH("Cinza",W46)))</formula>
    </cfRule>
    <cfRule type="containsText" dxfId="1703" priority="1912" operator="containsText" text="Púrpura">
      <formula>NOT(ISERROR(SEARCH("Púrpura",W46)))</formula>
    </cfRule>
    <cfRule type="containsText" dxfId="1702" priority="1913" operator="containsText" text="Rosa">
      <formula>NOT(ISERROR(SEARCH("Rosa",W46)))</formula>
    </cfRule>
    <cfRule type="containsText" dxfId="1701" priority="1914" operator="containsText" text="Castanho">
      <formula>NOT(ISERROR(SEARCH("Castanho",W46)))</formula>
    </cfRule>
    <cfRule type="containsText" dxfId="1700" priority="1915" operator="containsText" text="Verde Água">
      <formula>NOT(ISERROR(SEARCH("Verde Água",W46)))</formula>
    </cfRule>
    <cfRule type="containsText" dxfId="1699" priority="1916" operator="containsText" text="Azul Petróleo">
      <formula>NOT(ISERROR(SEARCH("Azul Petróleo",W46)))</formula>
    </cfRule>
    <cfRule type="containsText" dxfId="1698" priority="1917" operator="containsText" text="Preto">
      <formula>NOT(ISERROR(SEARCH("Preto",W46)))</formula>
    </cfRule>
    <cfRule type="containsText" priority="1918" operator="containsText" text="Branco">
      <formula>NOT(ISERROR(SEARCH("Branco",W46)))</formula>
    </cfRule>
    <cfRule type="containsText" dxfId="1697" priority="1919" operator="containsText" text="Bege">
      <formula>NOT(ISERROR(SEARCH("Bege",W46)))</formula>
    </cfRule>
  </conditionalFormatting>
  <conditionalFormatting sqref="W46">
    <cfRule type="containsText" dxfId="1696" priority="1902" operator="containsText" text="Cinza">
      <formula>NOT(ISERROR(SEARCH("Cinza",W46)))</formula>
    </cfRule>
    <cfRule type="containsText" dxfId="1695" priority="1903" operator="containsText" text="Púrpura">
      <formula>NOT(ISERROR(SEARCH("Púrpura",W46)))</formula>
    </cfRule>
    <cfRule type="containsText" dxfId="1694" priority="1904" operator="containsText" text="Rosa">
      <formula>NOT(ISERROR(SEARCH("Rosa",W46)))</formula>
    </cfRule>
    <cfRule type="containsText" dxfId="1693" priority="1905" operator="containsText" text="Castanho">
      <formula>NOT(ISERROR(SEARCH("Castanho",W46)))</formula>
    </cfRule>
    <cfRule type="containsText" dxfId="1692" priority="1906" operator="containsText" text="Verde Água">
      <formula>NOT(ISERROR(SEARCH("Verde Água",W46)))</formula>
    </cfRule>
    <cfRule type="containsText" dxfId="1691" priority="1907" operator="containsText" text="Azul Petróleo">
      <formula>NOT(ISERROR(SEARCH("Azul Petróleo",W46)))</formula>
    </cfRule>
    <cfRule type="containsText" dxfId="1690" priority="1908" operator="containsText" text="Preto">
      <formula>NOT(ISERROR(SEARCH("Preto",W46)))</formula>
    </cfRule>
    <cfRule type="containsText" priority="1909" operator="containsText" text="Branco">
      <formula>NOT(ISERROR(SEARCH("Branco",W46)))</formula>
    </cfRule>
    <cfRule type="containsText" dxfId="1689" priority="1910" operator="containsText" text="Bege">
      <formula>NOT(ISERROR(SEARCH("Bege",W46)))</formula>
    </cfRule>
  </conditionalFormatting>
  <conditionalFormatting sqref="W46">
    <cfRule type="containsText" dxfId="1688" priority="1893" operator="containsText" text="Cinza">
      <formula>NOT(ISERROR(SEARCH("Cinza",W46)))</formula>
    </cfRule>
    <cfRule type="containsText" dxfId="1687" priority="1894" operator="containsText" text="Púrpura">
      <formula>NOT(ISERROR(SEARCH("Púrpura",W46)))</formula>
    </cfRule>
    <cfRule type="containsText" dxfId="1686" priority="1895" operator="containsText" text="Rosa">
      <formula>NOT(ISERROR(SEARCH("Rosa",W46)))</formula>
    </cfRule>
    <cfRule type="containsText" dxfId="1685" priority="1896" operator="containsText" text="Castanho">
      <formula>NOT(ISERROR(SEARCH("Castanho",W46)))</formula>
    </cfRule>
    <cfRule type="containsText" dxfId="1684" priority="1897" operator="containsText" text="Verde Água">
      <formula>NOT(ISERROR(SEARCH("Verde Água",W46)))</formula>
    </cfRule>
    <cfRule type="containsText" dxfId="1683" priority="1898" operator="containsText" text="Azul Petróleo">
      <formula>NOT(ISERROR(SEARCH("Azul Petróleo",W46)))</formula>
    </cfRule>
    <cfRule type="containsText" dxfId="1682" priority="1899" operator="containsText" text="Preto">
      <formula>NOT(ISERROR(SEARCH("Preto",W46)))</formula>
    </cfRule>
    <cfRule type="containsText" priority="1900" operator="containsText" text="Branco">
      <formula>NOT(ISERROR(SEARCH("Branco",W46)))</formula>
    </cfRule>
    <cfRule type="containsText" dxfId="1681" priority="1901" operator="containsText" text="Bege">
      <formula>NOT(ISERROR(SEARCH("Bege",W46)))</formula>
    </cfRule>
  </conditionalFormatting>
  <conditionalFormatting sqref="W46">
    <cfRule type="containsText" dxfId="1680" priority="1884" operator="containsText" text="Cinza">
      <formula>NOT(ISERROR(SEARCH("Cinza",W46)))</formula>
    </cfRule>
    <cfRule type="containsText" dxfId="1679" priority="1885" operator="containsText" text="Púrpura">
      <formula>NOT(ISERROR(SEARCH("Púrpura",W46)))</formula>
    </cfRule>
    <cfRule type="containsText" dxfId="1678" priority="1886" operator="containsText" text="Rosa">
      <formula>NOT(ISERROR(SEARCH("Rosa",W46)))</formula>
    </cfRule>
    <cfRule type="containsText" dxfId="1677" priority="1887" operator="containsText" text="Castanho">
      <formula>NOT(ISERROR(SEARCH("Castanho",W46)))</formula>
    </cfRule>
    <cfRule type="containsText" dxfId="1676" priority="1888" operator="containsText" text="Verde Água">
      <formula>NOT(ISERROR(SEARCH("Verde Água",W46)))</formula>
    </cfRule>
    <cfRule type="containsText" dxfId="1675" priority="1889" operator="containsText" text="Azul Petróleo">
      <formula>NOT(ISERROR(SEARCH("Azul Petróleo",W46)))</formula>
    </cfRule>
    <cfRule type="containsText" dxfId="1674" priority="1890" operator="containsText" text="Preto">
      <formula>NOT(ISERROR(SEARCH("Preto",W46)))</formula>
    </cfRule>
    <cfRule type="containsText" priority="1891" operator="containsText" text="Branco">
      <formula>NOT(ISERROR(SEARCH("Branco",W46)))</formula>
    </cfRule>
    <cfRule type="containsText" dxfId="1673" priority="1892" operator="containsText" text="Bege">
      <formula>NOT(ISERROR(SEARCH("Bege",W46)))</formula>
    </cfRule>
  </conditionalFormatting>
  <conditionalFormatting sqref="W46">
    <cfRule type="containsText" dxfId="1672" priority="1875" operator="containsText" text="Cinza">
      <formula>NOT(ISERROR(SEARCH("Cinza",W46)))</formula>
    </cfRule>
    <cfRule type="containsText" dxfId="1671" priority="1876" operator="containsText" text="Púrpura">
      <formula>NOT(ISERROR(SEARCH("Púrpura",W46)))</formula>
    </cfRule>
    <cfRule type="containsText" dxfId="1670" priority="1877" operator="containsText" text="Rosa">
      <formula>NOT(ISERROR(SEARCH("Rosa",W46)))</formula>
    </cfRule>
    <cfRule type="containsText" dxfId="1669" priority="1878" operator="containsText" text="Castanho">
      <formula>NOT(ISERROR(SEARCH("Castanho",W46)))</formula>
    </cfRule>
    <cfRule type="containsText" dxfId="1668" priority="1879" operator="containsText" text="Verde Água">
      <formula>NOT(ISERROR(SEARCH("Verde Água",W46)))</formula>
    </cfRule>
    <cfRule type="containsText" dxfId="1667" priority="1880" operator="containsText" text="Azul Petróleo">
      <formula>NOT(ISERROR(SEARCH("Azul Petróleo",W46)))</formula>
    </cfRule>
    <cfRule type="containsText" dxfId="1666" priority="1881" operator="containsText" text="Preto">
      <formula>NOT(ISERROR(SEARCH("Preto",W46)))</formula>
    </cfRule>
    <cfRule type="containsText" priority="1882" operator="containsText" text="Branco">
      <formula>NOT(ISERROR(SEARCH("Branco",W46)))</formula>
    </cfRule>
    <cfRule type="containsText" dxfId="1665" priority="1883" operator="containsText" text="Bege">
      <formula>NOT(ISERROR(SEARCH("Bege",W46)))</formula>
    </cfRule>
  </conditionalFormatting>
  <conditionalFormatting sqref="W46">
    <cfRule type="containsText" dxfId="1664" priority="1866" operator="containsText" text="Cinza">
      <formula>NOT(ISERROR(SEARCH("Cinza",W46)))</formula>
    </cfRule>
    <cfRule type="containsText" dxfId="1663" priority="1867" operator="containsText" text="Púrpura">
      <formula>NOT(ISERROR(SEARCH("Púrpura",W46)))</formula>
    </cfRule>
    <cfRule type="containsText" dxfId="1662" priority="1868" operator="containsText" text="Rosa">
      <formula>NOT(ISERROR(SEARCH("Rosa",W46)))</formula>
    </cfRule>
    <cfRule type="containsText" dxfId="1661" priority="1869" operator="containsText" text="Castanho">
      <formula>NOT(ISERROR(SEARCH("Castanho",W46)))</formula>
    </cfRule>
    <cfRule type="containsText" dxfId="1660" priority="1870" operator="containsText" text="Verde Água">
      <formula>NOT(ISERROR(SEARCH("Verde Água",W46)))</formula>
    </cfRule>
    <cfRule type="containsText" dxfId="1659" priority="1871" operator="containsText" text="Azul Petróleo">
      <formula>NOT(ISERROR(SEARCH("Azul Petróleo",W46)))</formula>
    </cfRule>
    <cfRule type="containsText" dxfId="1658" priority="1872" operator="containsText" text="Preto">
      <formula>NOT(ISERROR(SEARCH("Preto",W46)))</formula>
    </cfRule>
    <cfRule type="containsText" priority="1873" operator="containsText" text="Branco">
      <formula>NOT(ISERROR(SEARCH("Branco",W46)))</formula>
    </cfRule>
    <cfRule type="containsText" dxfId="1657" priority="1874" operator="containsText" text="Bege">
      <formula>NOT(ISERROR(SEARCH("Bege",W46)))</formula>
    </cfRule>
  </conditionalFormatting>
  <conditionalFormatting sqref="W46">
    <cfRule type="containsText" dxfId="1656" priority="1857" operator="containsText" text="Cinza">
      <formula>NOT(ISERROR(SEARCH("Cinza",W46)))</formula>
    </cfRule>
    <cfRule type="containsText" dxfId="1655" priority="1858" operator="containsText" text="Púrpura">
      <formula>NOT(ISERROR(SEARCH("Púrpura",W46)))</formula>
    </cfRule>
    <cfRule type="containsText" dxfId="1654" priority="1859" operator="containsText" text="Rosa">
      <formula>NOT(ISERROR(SEARCH("Rosa",W46)))</formula>
    </cfRule>
    <cfRule type="containsText" dxfId="1653" priority="1860" operator="containsText" text="Castanho">
      <formula>NOT(ISERROR(SEARCH("Castanho",W46)))</formula>
    </cfRule>
    <cfRule type="containsText" dxfId="1652" priority="1861" operator="containsText" text="Verde Água">
      <formula>NOT(ISERROR(SEARCH("Verde Água",W46)))</formula>
    </cfRule>
    <cfRule type="containsText" dxfId="1651" priority="1862" operator="containsText" text="Azul Petróleo">
      <formula>NOT(ISERROR(SEARCH("Azul Petróleo",W46)))</formula>
    </cfRule>
    <cfRule type="containsText" dxfId="1650" priority="1863" operator="containsText" text="Preto">
      <formula>NOT(ISERROR(SEARCH("Preto",W46)))</formula>
    </cfRule>
    <cfRule type="containsText" priority="1864" operator="containsText" text="Branco">
      <formula>NOT(ISERROR(SEARCH("Branco",W46)))</formula>
    </cfRule>
    <cfRule type="containsText" dxfId="1649" priority="1865" operator="containsText" text="Bege">
      <formula>NOT(ISERROR(SEARCH("Bege",W46)))</formula>
    </cfRule>
  </conditionalFormatting>
  <conditionalFormatting sqref="W46">
    <cfRule type="containsText" dxfId="1648" priority="1848" operator="containsText" text="Cinza">
      <formula>NOT(ISERROR(SEARCH("Cinza",W46)))</formula>
    </cfRule>
    <cfRule type="containsText" dxfId="1647" priority="1849" operator="containsText" text="Púrpura">
      <formula>NOT(ISERROR(SEARCH("Púrpura",W46)))</formula>
    </cfRule>
    <cfRule type="containsText" dxfId="1646" priority="1850" operator="containsText" text="Rosa">
      <formula>NOT(ISERROR(SEARCH("Rosa",W46)))</formula>
    </cfRule>
    <cfRule type="containsText" dxfId="1645" priority="1851" operator="containsText" text="Castanho">
      <formula>NOT(ISERROR(SEARCH("Castanho",W46)))</formula>
    </cfRule>
    <cfRule type="containsText" dxfId="1644" priority="1852" operator="containsText" text="Verde Água">
      <formula>NOT(ISERROR(SEARCH("Verde Água",W46)))</formula>
    </cfRule>
    <cfRule type="containsText" dxfId="1643" priority="1853" operator="containsText" text="Azul Petróleo">
      <formula>NOT(ISERROR(SEARCH("Azul Petróleo",W46)))</formula>
    </cfRule>
    <cfRule type="containsText" dxfId="1642" priority="1854" operator="containsText" text="Preto">
      <formula>NOT(ISERROR(SEARCH("Preto",W46)))</formula>
    </cfRule>
    <cfRule type="containsText" priority="1855" operator="containsText" text="Branco">
      <formula>NOT(ISERROR(SEARCH("Branco",W46)))</formula>
    </cfRule>
    <cfRule type="containsText" dxfId="1641" priority="1856" operator="containsText" text="Bege">
      <formula>NOT(ISERROR(SEARCH("Bege",W46)))</formula>
    </cfRule>
  </conditionalFormatting>
  <conditionalFormatting sqref="W46">
    <cfRule type="containsText" dxfId="1640" priority="1839" operator="containsText" text="Cinza">
      <formula>NOT(ISERROR(SEARCH("Cinza",W46)))</formula>
    </cfRule>
    <cfRule type="containsText" dxfId="1639" priority="1840" operator="containsText" text="Púrpura">
      <formula>NOT(ISERROR(SEARCH("Púrpura",W46)))</formula>
    </cfRule>
    <cfRule type="containsText" dxfId="1638" priority="1841" operator="containsText" text="Rosa">
      <formula>NOT(ISERROR(SEARCH("Rosa",W46)))</formula>
    </cfRule>
    <cfRule type="containsText" dxfId="1637" priority="1842" operator="containsText" text="Castanho">
      <formula>NOT(ISERROR(SEARCH("Castanho",W46)))</formula>
    </cfRule>
    <cfRule type="containsText" dxfId="1636" priority="1843" operator="containsText" text="Verde Água">
      <formula>NOT(ISERROR(SEARCH("Verde Água",W46)))</formula>
    </cfRule>
    <cfRule type="containsText" dxfId="1635" priority="1844" operator="containsText" text="Azul Petróleo">
      <formula>NOT(ISERROR(SEARCH("Azul Petróleo",W46)))</formula>
    </cfRule>
    <cfRule type="containsText" dxfId="1634" priority="1845" operator="containsText" text="Preto">
      <formula>NOT(ISERROR(SEARCH("Preto",W46)))</formula>
    </cfRule>
    <cfRule type="containsText" priority="1846" operator="containsText" text="Branco">
      <formula>NOT(ISERROR(SEARCH("Branco",W46)))</formula>
    </cfRule>
    <cfRule type="containsText" dxfId="1633" priority="1847" operator="containsText" text="Bege">
      <formula>NOT(ISERROR(SEARCH("Bege",W46)))</formula>
    </cfRule>
  </conditionalFormatting>
  <conditionalFormatting sqref="W46">
    <cfRule type="containsText" dxfId="1632" priority="1830" operator="containsText" text="Cinza">
      <formula>NOT(ISERROR(SEARCH("Cinza",W46)))</formula>
    </cfRule>
    <cfRule type="containsText" dxfId="1631" priority="1831" operator="containsText" text="Púrpura">
      <formula>NOT(ISERROR(SEARCH("Púrpura",W46)))</formula>
    </cfRule>
    <cfRule type="containsText" dxfId="1630" priority="1832" operator="containsText" text="Rosa">
      <formula>NOT(ISERROR(SEARCH("Rosa",W46)))</formula>
    </cfRule>
    <cfRule type="containsText" dxfId="1629" priority="1833" operator="containsText" text="Castanho">
      <formula>NOT(ISERROR(SEARCH("Castanho",W46)))</formula>
    </cfRule>
    <cfRule type="containsText" dxfId="1628" priority="1834" operator="containsText" text="Verde Água">
      <formula>NOT(ISERROR(SEARCH("Verde Água",W46)))</formula>
    </cfRule>
    <cfRule type="containsText" dxfId="1627" priority="1835" operator="containsText" text="Azul Petróleo">
      <formula>NOT(ISERROR(SEARCH("Azul Petróleo",W46)))</formula>
    </cfRule>
    <cfRule type="containsText" dxfId="1626" priority="1836" operator="containsText" text="Preto">
      <formula>NOT(ISERROR(SEARCH("Preto",W46)))</formula>
    </cfRule>
    <cfRule type="containsText" priority="1837" operator="containsText" text="Branco">
      <formula>NOT(ISERROR(SEARCH("Branco",W46)))</formula>
    </cfRule>
    <cfRule type="containsText" dxfId="1625" priority="1838" operator="containsText" text="Bege">
      <formula>NOT(ISERROR(SEARCH("Bege",W46)))</formula>
    </cfRule>
  </conditionalFormatting>
  <conditionalFormatting sqref="W46">
    <cfRule type="containsText" dxfId="1624" priority="1821" operator="containsText" text="Cinza">
      <formula>NOT(ISERROR(SEARCH("Cinza",W46)))</formula>
    </cfRule>
    <cfRule type="containsText" dxfId="1623" priority="1822" operator="containsText" text="Púrpura">
      <formula>NOT(ISERROR(SEARCH("Púrpura",W46)))</formula>
    </cfRule>
    <cfRule type="containsText" dxfId="1622" priority="1823" operator="containsText" text="Rosa">
      <formula>NOT(ISERROR(SEARCH("Rosa",W46)))</formula>
    </cfRule>
    <cfRule type="containsText" dxfId="1621" priority="1824" operator="containsText" text="Castanho">
      <formula>NOT(ISERROR(SEARCH("Castanho",W46)))</formula>
    </cfRule>
    <cfRule type="containsText" dxfId="1620" priority="1825" operator="containsText" text="Verde Água">
      <formula>NOT(ISERROR(SEARCH("Verde Água",W46)))</formula>
    </cfRule>
    <cfRule type="containsText" dxfId="1619" priority="1826" operator="containsText" text="Azul Petróleo">
      <formula>NOT(ISERROR(SEARCH("Azul Petróleo",W46)))</formula>
    </cfRule>
    <cfRule type="containsText" dxfId="1618" priority="1827" operator="containsText" text="Preto">
      <formula>NOT(ISERROR(SEARCH("Preto",W46)))</formula>
    </cfRule>
    <cfRule type="containsText" priority="1828" operator="containsText" text="Branco">
      <formula>NOT(ISERROR(SEARCH("Branco",W46)))</formula>
    </cfRule>
    <cfRule type="containsText" dxfId="1617" priority="1829" operator="containsText" text="Bege">
      <formula>NOT(ISERROR(SEARCH("Bege",W46)))</formula>
    </cfRule>
  </conditionalFormatting>
  <conditionalFormatting sqref="W46">
    <cfRule type="containsText" dxfId="1616" priority="1812" operator="containsText" text="Cinza">
      <formula>NOT(ISERROR(SEARCH("Cinza",W46)))</formula>
    </cfRule>
    <cfRule type="containsText" dxfId="1615" priority="1813" operator="containsText" text="Púrpura">
      <formula>NOT(ISERROR(SEARCH("Púrpura",W46)))</formula>
    </cfRule>
    <cfRule type="containsText" dxfId="1614" priority="1814" operator="containsText" text="Rosa">
      <formula>NOT(ISERROR(SEARCH("Rosa",W46)))</formula>
    </cfRule>
    <cfRule type="containsText" dxfId="1613" priority="1815" operator="containsText" text="Castanho">
      <formula>NOT(ISERROR(SEARCH("Castanho",W46)))</formula>
    </cfRule>
    <cfRule type="containsText" dxfId="1612" priority="1816" operator="containsText" text="Verde Água">
      <formula>NOT(ISERROR(SEARCH("Verde Água",W46)))</formula>
    </cfRule>
    <cfRule type="containsText" dxfId="1611" priority="1817" operator="containsText" text="Azul Petróleo">
      <formula>NOT(ISERROR(SEARCH("Azul Petróleo",W46)))</formula>
    </cfRule>
    <cfRule type="containsText" dxfId="1610" priority="1818" operator="containsText" text="Preto">
      <formula>NOT(ISERROR(SEARCH("Preto",W46)))</formula>
    </cfRule>
    <cfRule type="containsText" priority="1819" operator="containsText" text="Branco">
      <formula>NOT(ISERROR(SEARCH("Branco",W46)))</formula>
    </cfRule>
    <cfRule type="containsText" dxfId="1609" priority="1820" operator="containsText" text="Bege">
      <formula>NOT(ISERROR(SEARCH("Bege",W46)))</formula>
    </cfRule>
  </conditionalFormatting>
  <conditionalFormatting sqref="W46">
    <cfRule type="containsText" dxfId="1608" priority="1803" operator="containsText" text="Cinza">
      <formula>NOT(ISERROR(SEARCH("Cinza",W46)))</formula>
    </cfRule>
    <cfRule type="containsText" dxfId="1607" priority="1804" operator="containsText" text="Púrpura">
      <formula>NOT(ISERROR(SEARCH("Púrpura",W46)))</formula>
    </cfRule>
    <cfRule type="containsText" dxfId="1606" priority="1805" operator="containsText" text="Rosa">
      <formula>NOT(ISERROR(SEARCH("Rosa",W46)))</formula>
    </cfRule>
    <cfRule type="containsText" dxfId="1605" priority="1806" operator="containsText" text="Castanho">
      <formula>NOT(ISERROR(SEARCH("Castanho",W46)))</formula>
    </cfRule>
    <cfRule type="containsText" dxfId="1604" priority="1807" operator="containsText" text="Verde Água">
      <formula>NOT(ISERROR(SEARCH("Verde Água",W46)))</formula>
    </cfRule>
    <cfRule type="containsText" dxfId="1603" priority="1808" operator="containsText" text="Azul Petróleo">
      <formula>NOT(ISERROR(SEARCH("Azul Petróleo",W46)))</formula>
    </cfRule>
    <cfRule type="containsText" dxfId="1602" priority="1809" operator="containsText" text="Preto">
      <formula>NOT(ISERROR(SEARCH("Preto",W46)))</formula>
    </cfRule>
    <cfRule type="containsText" priority="1810" operator="containsText" text="Branco">
      <formula>NOT(ISERROR(SEARCH("Branco",W46)))</formula>
    </cfRule>
    <cfRule type="containsText" dxfId="1601" priority="1811" operator="containsText" text="Bege">
      <formula>NOT(ISERROR(SEARCH("Bege",W46)))</formula>
    </cfRule>
  </conditionalFormatting>
  <conditionalFormatting sqref="W46">
    <cfRule type="containsText" dxfId="1600" priority="1794" operator="containsText" text="Cinza">
      <formula>NOT(ISERROR(SEARCH("Cinza",W46)))</formula>
    </cfRule>
    <cfRule type="containsText" dxfId="1599" priority="1795" operator="containsText" text="Púrpura">
      <formula>NOT(ISERROR(SEARCH("Púrpura",W46)))</formula>
    </cfRule>
    <cfRule type="containsText" dxfId="1598" priority="1796" operator="containsText" text="Rosa">
      <formula>NOT(ISERROR(SEARCH("Rosa",W46)))</formula>
    </cfRule>
    <cfRule type="containsText" dxfId="1597" priority="1797" operator="containsText" text="Castanho">
      <formula>NOT(ISERROR(SEARCH("Castanho",W46)))</formula>
    </cfRule>
    <cfRule type="containsText" dxfId="1596" priority="1798" operator="containsText" text="Verde Água">
      <formula>NOT(ISERROR(SEARCH("Verde Água",W46)))</formula>
    </cfRule>
    <cfRule type="containsText" dxfId="1595" priority="1799" operator="containsText" text="Azul Petróleo">
      <formula>NOT(ISERROR(SEARCH("Azul Petróleo",W46)))</formula>
    </cfRule>
    <cfRule type="containsText" dxfId="1594" priority="1800" operator="containsText" text="Preto">
      <formula>NOT(ISERROR(SEARCH("Preto",W46)))</formula>
    </cfRule>
    <cfRule type="containsText" priority="1801" operator="containsText" text="Branco">
      <formula>NOT(ISERROR(SEARCH("Branco",W46)))</formula>
    </cfRule>
    <cfRule type="containsText" dxfId="1593" priority="1802" operator="containsText" text="Bege">
      <formula>NOT(ISERROR(SEARCH("Bege",W46)))</formula>
    </cfRule>
  </conditionalFormatting>
  <conditionalFormatting sqref="W46">
    <cfRule type="containsText" dxfId="1592" priority="1785" operator="containsText" text="Cinza">
      <formula>NOT(ISERROR(SEARCH("Cinza",W46)))</formula>
    </cfRule>
    <cfRule type="containsText" dxfId="1591" priority="1786" operator="containsText" text="Púrpura">
      <formula>NOT(ISERROR(SEARCH("Púrpura",W46)))</formula>
    </cfRule>
    <cfRule type="containsText" dxfId="1590" priority="1787" operator="containsText" text="Rosa">
      <formula>NOT(ISERROR(SEARCH("Rosa",W46)))</formula>
    </cfRule>
    <cfRule type="containsText" dxfId="1589" priority="1788" operator="containsText" text="Castanho">
      <formula>NOT(ISERROR(SEARCH("Castanho",W46)))</formula>
    </cfRule>
    <cfRule type="containsText" dxfId="1588" priority="1789" operator="containsText" text="Verde Água">
      <formula>NOT(ISERROR(SEARCH("Verde Água",W46)))</formula>
    </cfRule>
    <cfRule type="containsText" dxfId="1587" priority="1790" operator="containsText" text="Azul Petróleo">
      <formula>NOT(ISERROR(SEARCH("Azul Petróleo",W46)))</formula>
    </cfRule>
    <cfRule type="containsText" dxfId="1586" priority="1791" operator="containsText" text="Preto">
      <formula>NOT(ISERROR(SEARCH("Preto",W46)))</formula>
    </cfRule>
    <cfRule type="containsText" priority="1792" operator="containsText" text="Branco">
      <formula>NOT(ISERROR(SEARCH("Branco",W46)))</formula>
    </cfRule>
    <cfRule type="containsText" dxfId="1585" priority="1793" operator="containsText" text="Bege">
      <formula>NOT(ISERROR(SEARCH("Bege",W46)))</formula>
    </cfRule>
  </conditionalFormatting>
  <conditionalFormatting sqref="W46">
    <cfRule type="containsText" dxfId="1584" priority="1776" operator="containsText" text="Cinza">
      <formula>NOT(ISERROR(SEARCH("Cinza",W46)))</formula>
    </cfRule>
    <cfRule type="containsText" dxfId="1583" priority="1777" operator="containsText" text="Púrpura">
      <formula>NOT(ISERROR(SEARCH("Púrpura",W46)))</formula>
    </cfRule>
    <cfRule type="containsText" dxfId="1582" priority="1778" operator="containsText" text="Rosa">
      <formula>NOT(ISERROR(SEARCH("Rosa",W46)))</formula>
    </cfRule>
    <cfRule type="containsText" dxfId="1581" priority="1779" operator="containsText" text="Castanho">
      <formula>NOT(ISERROR(SEARCH("Castanho",W46)))</formula>
    </cfRule>
    <cfRule type="containsText" dxfId="1580" priority="1780" operator="containsText" text="Verde Água">
      <formula>NOT(ISERROR(SEARCH("Verde Água",W46)))</formula>
    </cfRule>
    <cfRule type="containsText" dxfId="1579" priority="1781" operator="containsText" text="Azul Petróleo">
      <formula>NOT(ISERROR(SEARCH("Azul Petróleo",W46)))</formula>
    </cfRule>
    <cfRule type="containsText" dxfId="1578" priority="1782" operator="containsText" text="Preto">
      <formula>NOT(ISERROR(SEARCH("Preto",W46)))</formula>
    </cfRule>
    <cfRule type="containsText" priority="1783" operator="containsText" text="Branco">
      <formula>NOT(ISERROR(SEARCH("Branco",W46)))</formula>
    </cfRule>
    <cfRule type="containsText" dxfId="1577" priority="1784" operator="containsText" text="Bege">
      <formula>NOT(ISERROR(SEARCH("Bege",W46)))</formula>
    </cfRule>
  </conditionalFormatting>
  <conditionalFormatting sqref="W46">
    <cfRule type="containsText" dxfId="1576" priority="1767" operator="containsText" text="Escuro">
      <formula>NOT(ISERROR(SEARCH("Escuro",W46)))</formula>
    </cfRule>
    <cfRule type="containsText" dxfId="1575" priority="1768" operator="containsText" text="Cinza">
      <formula>NOT(ISERROR(SEARCH("Cinza",W46)))</formula>
    </cfRule>
    <cfRule type="containsText" dxfId="1574" priority="1769" operator="containsText" text="Púrpura">
      <formula>NOT(ISERROR(SEARCH("Púrpura",W46)))</formula>
    </cfRule>
    <cfRule type="containsText" dxfId="1573" priority="1770" operator="containsText" text="Rosa">
      <formula>NOT(ISERROR(SEARCH("Rosa",W46)))</formula>
    </cfRule>
    <cfRule type="containsText" dxfId="1572" priority="1771" operator="containsText" text="Castanho">
      <formula>NOT(ISERROR(SEARCH("Castanho",W46)))</formula>
    </cfRule>
    <cfRule type="containsText" dxfId="1571" priority="1772" operator="containsText" text="Verde Água">
      <formula>NOT(ISERROR(SEARCH("Verde Água",W46)))</formula>
    </cfRule>
    <cfRule type="containsText" dxfId="1570" priority="1773" operator="containsText" text="Azul Petróleo">
      <formula>NOT(ISERROR(SEARCH("Azul Petróleo",W46)))</formula>
    </cfRule>
    <cfRule type="containsText" dxfId="1569" priority="1774" operator="containsText" text="Preto">
      <formula>NOT(ISERROR(SEARCH("Preto",W46)))</formula>
    </cfRule>
    <cfRule type="containsText" priority="1775" operator="containsText" text="Branco">
      <formula>NOT(ISERROR(SEARCH("Branco",W46)))</formula>
    </cfRule>
  </conditionalFormatting>
  <conditionalFormatting sqref="W44">
    <cfRule type="containsText" dxfId="1568" priority="1758" operator="containsText" text="Cinza">
      <formula>NOT(ISERROR(SEARCH("Cinza",W44)))</formula>
    </cfRule>
    <cfRule type="containsText" dxfId="1567" priority="1759" operator="containsText" text="Púrpura">
      <formula>NOT(ISERROR(SEARCH("Púrpura",W44)))</formula>
    </cfRule>
    <cfRule type="containsText" dxfId="1566" priority="1760" operator="containsText" text="Rosa">
      <formula>NOT(ISERROR(SEARCH("Rosa",W44)))</formula>
    </cfRule>
    <cfRule type="containsText" dxfId="1565" priority="1761" operator="containsText" text="Castanho">
      <formula>NOT(ISERROR(SEARCH("Castanho",W44)))</formula>
    </cfRule>
    <cfRule type="containsText" dxfId="1564" priority="1762" operator="containsText" text="Verde Água">
      <formula>NOT(ISERROR(SEARCH("Verde Água",W44)))</formula>
    </cfRule>
    <cfRule type="containsText" dxfId="1563" priority="1763" operator="containsText" text="Azul Petróleo">
      <formula>NOT(ISERROR(SEARCH("Azul Petróleo",W44)))</formula>
    </cfRule>
    <cfRule type="containsText" dxfId="1562" priority="1764" operator="containsText" text="Preto">
      <formula>NOT(ISERROR(SEARCH("Preto",W44)))</formula>
    </cfRule>
    <cfRule type="containsText" priority="1765" operator="containsText" text="Branco">
      <formula>NOT(ISERROR(SEARCH("Branco",W44)))</formula>
    </cfRule>
    <cfRule type="containsText" dxfId="1561" priority="1766" operator="containsText" text="Bege">
      <formula>NOT(ISERROR(SEARCH("Bege",W44)))</formula>
    </cfRule>
  </conditionalFormatting>
  <conditionalFormatting sqref="W44">
    <cfRule type="containsText" dxfId="1560" priority="1749" operator="containsText" text="Cinza">
      <formula>NOT(ISERROR(SEARCH("Cinza",W44)))</formula>
    </cfRule>
    <cfRule type="containsText" dxfId="1559" priority="1750" operator="containsText" text="Púrpura">
      <formula>NOT(ISERROR(SEARCH("Púrpura",W44)))</formula>
    </cfRule>
    <cfRule type="containsText" dxfId="1558" priority="1751" operator="containsText" text="Rosa">
      <formula>NOT(ISERROR(SEARCH("Rosa",W44)))</formula>
    </cfRule>
    <cfRule type="containsText" dxfId="1557" priority="1752" operator="containsText" text="Castanho">
      <formula>NOT(ISERROR(SEARCH("Castanho",W44)))</formula>
    </cfRule>
    <cfRule type="containsText" dxfId="1556" priority="1753" operator="containsText" text="Verde Água">
      <formula>NOT(ISERROR(SEARCH("Verde Água",W44)))</formula>
    </cfRule>
    <cfRule type="containsText" dxfId="1555" priority="1754" operator="containsText" text="Azul Petróleo">
      <formula>NOT(ISERROR(SEARCH("Azul Petróleo",W44)))</formula>
    </cfRule>
    <cfRule type="containsText" dxfId="1554" priority="1755" operator="containsText" text="Preto">
      <formula>NOT(ISERROR(SEARCH("Preto",W44)))</formula>
    </cfRule>
    <cfRule type="containsText" priority="1756" operator="containsText" text="Branco">
      <formula>NOT(ISERROR(SEARCH("Branco",W44)))</formula>
    </cfRule>
    <cfRule type="containsText" dxfId="1553" priority="1757" operator="containsText" text="Bege">
      <formula>NOT(ISERROR(SEARCH("Bege",W44)))</formula>
    </cfRule>
  </conditionalFormatting>
  <conditionalFormatting sqref="W44">
    <cfRule type="containsText" dxfId="1552" priority="1740" operator="containsText" text="Cinza">
      <formula>NOT(ISERROR(SEARCH("Cinza",W44)))</formula>
    </cfRule>
    <cfRule type="containsText" dxfId="1551" priority="1741" operator="containsText" text="Púrpura">
      <formula>NOT(ISERROR(SEARCH("Púrpura",W44)))</formula>
    </cfRule>
    <cfRule type="containsText" dxfId="1550" priority="1742" operator="containsText" text="Rosa">
      <formula>NOT(ISERROR(SEARCH("Rosa",W44)))</formula>
    </cfRule>
    <cfRule type="containsText" dxfId="1549" priority="1743" operator="containsText" text="Castanho">
      <formula>NOT(ISERROR(SEARCH("Castanho",W44)))</formula>
    </cfRule>
    <cfRule type="containsText" dxfId="1548" priority="1744" operator="containsText" text="Verde Água">
      <formula>NOT(ISERROR(SEARCH("Verde Água",W44)))</formula>
    </cfRule>
    <cfRule type="containsText" dxfId="1547" priority="1745" operator="containsText" text="Azul Petróleo">
      <formula>NOT(ISERROR(SEARCH("Azul Petróleo",W44)))</formula>
    </cfRule>
    <cfRule type="containsText" dxfId="1546" priority="1746" operator="containsText" text="Preto">
      <formula>NOT(ISERROR(SEARCH("Preto",W44)))</formula>
    </cfRule>
    <cfRule type="containsText" priority="1747" operator="containsText" text="Branco">
      <formula>NOT(ISERROR(SEARCH("Branco",W44)))</formula>
    </cfRule>
    <cfRule type="containsText" dxfId="1545" priority="1748" operator="containsText" text="Bege">
      <formula>NOT(ISERROR(SEARCH("Bege",W44)))</formula>
    </cfRule>
  </conditionalFormatting>
  <conditionalFormatting sqref="W44">
    <cfRule type="containsText" dxfId="1544" priority="1731" operator="containsText" text="Cinza">
      <formula>NOT(ISERROR(SEARCH("Cinza",W44)))</formula>
    </cfRule>
    <cfRule type="containsText" dxfId="1543" priority="1732" operator="containsText" text="Púrpura">
      <formula>NOT(ISERROR(SEARCH("Púrpura",W44)))</formula>
    </cfRule>
    <cfRule type="containsText" dxfId="1542" priority="1733" operator="containsText" text="Rosa">
      <formula>NOT(ISERROR(SEARCH("Rosa",W44)))</formula>
    </cfRule>
    <cfRule type="containsText" dxfId="1541" priority="1734" operator="containsText" text="Castanho">
      <formula>NOT(ISERROR(SEARCH("Castanho",W44)))</formula>
    </cfRule>
    <cfRule type="containsText" dxfId="1540" priority="1735" operator="containsText" text="Verde Água">
      <formula>NOT(ISERROR(SEARCH("Verde Água",W44)))</formula>
    </cfRule>
    <cfRule type="containsText" dxfId="1539" priority="1736" operator="containsText" text="Azul Petróleo">
      <formula>NOT(ISERROR(SEARCH("Azul Petróleo",W44)))</formula>
    </cfRule>
    <cfRule type="containsText" dxfId="1538" priority="1737" operator="containsText" text="Preto">
      <formula>NOT(ISERROR(SEARCH("Preto",W44)))</formula>
    </cfRule>
    <cfRule type="containsText" priority="1738" operator="containsText" text="Branco">
      <formula>NOT(ISERROR(SEARCH("Branco",W44)))</formula>
    </cfRule>
    <cfRule type="containsText" dxfId="1537" priority="1739" operator="containsText" text="Bege">
      <formula>NOT(ISERROR(SEARCH("Bege",W44)))</formula>
    </cfRule>
  </conditionalFormatting>
  <conditionalFormatting sqref="W44">
    <cfRule type="containsText" dxfId="1536" priority="1722" operator="containsText" text="Cinza">
      <formula>NOT(ISERROR(SEARCH("Cinza",W44)))</formula>
    </cfRule>
    <cfRule type="containsText" dxfId="1535" priority="1723" operator="containsText" text="Púrpura">
      <formula>NOT(ISERROR(SEARCH("Púrpura",W44)))</formula>
    </cfRule>
    <cfRule type="containsText" dxfId="1534" priority="1724" operator="containsText" text="Rosa">
      <formula>NOT(ISERROR(SEARCH("Rosa",W44)))</formula>
    </cfRule>
    <cfRule type="containsText" dxfId="1533" priority="1725" operator="containsText" text="Castanho">
      <formula>NOT(ISERROR(SEARCH("Castanho",W44)))</formula>
    </cfRule>
    <cfRule type="containsText" dxfId="1532" priority="1726" operator="containsText" text="Verde Água">
      <formula>NOT(ISERROR(SEARCH("Verde Água",W44)))</formula>
    </cfRule>
    <cfRule type="containsText" dxfId="1531" priority="1727" operator="containsText" text="Azul Petróleo">
      <formula>NOT(ISERROR(SEARCH("Azul Petróleo",W44)))</formula>
    </cfRule>
    <cfRule type="containsText" dxfId="1530" priority="1728" operator="containsText" text="Preto">
      <formula>NOT(ISERROR(SEARCH("Preto",W44)))</formula>
    </cfRule>
    <cfRule type="containsText" priority="1729" operator="containsText" text="Branco">
      <formula>NOT(ISERROR(SEARCH("Branco",W44)))</formula>
    </cfRule>
    <cfRule type="containsText" dxfId="1529" priority="1730" operator="containsText" text="Bege">
      <formula>NOT(ISERROR(SEARCH("Bege",W44)))</formula>
    </cfRule>
  </conditionalFormatting>
  <conditionalFormatting sqref="W44">
    <cfRule type="containsText" dxfId="1528" priority="1713" operator="containsText" text="Cinza">
      <formula>NOT(ISERROR(SEARCH("Cinza",W44)))</formula>
    </cfRule>
    <cfRule type="containsText" dxfId="1527" priority="1714" operator="containsText" text="Púrpura">
      <formula>NOT(ISERROR(SEARCH("Púrpura",W44)))</formula>
    </cfRule>
    <cfRule type="containsText" dxfId="1526" priority="1715" operator="containsText" text="Rosa">
      <formula>NOT(ISERROR(SEARCH("Rosa",W44)))</formula>
    </cfRule>
    <cfRule type="containsText" dxfId="1525" priority="1716" operator="containsText" text="Castanho">
      <formula>NOT(ISERROR(SEARCH("Castanho",W44)))</formula>
    </cfRule>
    <cfRule type="containsText" dxfId="1524" priority="1717" operator="containsText" text="Verde Água">
      <formula>NOT(ISERROR(SEARCH("Verde Água",W44)))</formula>
    </cfRule>
    <cfRule type="containsText" dxfId="1523" priority="1718" operator="containsText" text="Azul Petróleo">
      <formula>NOT(ISERROR(SEARCH("Azul Petróleo",W44)))</formula>
    </cfRule>
    <cfRule type="containsText" dxfId="1522" priority="1719" operator="containsText" text="Preto">
      <formula>NOT(ISERROR(SEARCH("Preto",W44)))</formula>
    </cfRule>
    <cfRule type="containsText" priority="1720" operator="containsText" text="Branco">
      <formula>NOT(ISERROR(SEARCH("Branco",W44)))</formula>
    </cfRule>
    <cfRule type="containsText" dxfId="1521" priority="1721" operator="containsText" text="Bege">
      <formula>NOT(ISERROR(SEARCH("Bege",W44)))</formula>
    </cfRule>
  </conditionalFormatting>
  <conditionalFormatting sqref="W44">
    <cfRule type="containsText" dxfId="1520" priority="1704" operator="containsText" text="Cinza">
      <formula>NOT(ISERROR(SEARCH("Cinza",W44)))</formula>
    </cfRule>
    <cfRule type="containsText" dxfId="1519" priority="1705" operator="containsText" text="Púrpura">
      <formula>NOT(ISERROR(SEARCH("Púrpura",W44)))</formula>
    </cfRule>
    <cfRule type="containsText" dxfId="1518" priority="1706" operator="containsText" text="Rosa">
      <formula>NOT(ISERROR(SEARCH("Rosa",W44)))</formula>
    </cfRule>
    <cfRule type="containsText" dxfId="1517" priority="1707" operator="containsText" text="Castanho">
      <formula>NOT(ISERROR(SEARCH("Castanho",W44)))</formula>
    </cfRule>
    <cfRule type="containsText" dxfId="1516" priority="1708" operator="containsText" text="Verde Água">
      <formula>NOT(ISERROR(SEARCH("Verde Água",W44)))</formula>
    </cfRule>
    <cfRule type="containsText" dxfId="1515" priority="1709" operator="containsText" text="Azul Petróleo">
      <formula>NOT(ISERROR(SEARCH("Azul Petróleo",W44)))</formula>
    </cfRule>
    <cfRule type="containsText" dxfId="1514" priority="1710" operator="containsText" text="Preto">
      <formula>NOT(ISERROR(SEARCH("Preto",W44)))</formula>
    </cfRule>
    <cfRule type="containsText" priority="1711" operator="containsText" text="Branco">
      <formula>NOT(ISERROR(SEARCH("Branco",W44)))</formula>
    </cfRule>
    <cfRule type="containsText" dxfId="1513" priority="1712" operator="containsText" text="Bege">
      <formula>NOT(ISERROR(SEARCH("Bege",W44)))</formula>
    </cfRule>
  </conditionalFormatting>
  <conditionalFormatting sqref="W44">
    <cfRule type="containsText" dxfId="1512" priority="1695" operator="containsText" text="Cinza">
      <formula>NOT(ISERROR(SEARCH("Cinza",W44)))</formula>
    </cfRule>
    <cfRule type="containsText" dxfId="1511" priority="1696" operator="containsText" text="Púrpura">
      <formula>NOT(ISERROR(SEARCH("Púrpura",W44)))</formula>
    </cfRule>
    <cfRule type="containsText" dxfId="1510" priority="1697" operator="containsText" text="Rosa">
      <formula>NOT(ISERROR(SEARCH("Rosa",W44)))</formula>
    </cfRule>
    <cfRule type="containsText" dxfId="1509" priority="1698" operator="containsText" text="Castanho">
      <formula>NOT(ISERROR(SEARCH("Castanho",W44)))</formula>
    </cfRule>
    <cfRule type="containsText" dxfId="1508" priority="1699" operator="containsText" text="Verde Água">
      <formula>NOT(ISERROR(SEARCH("Verde Água",W44)))</formula>
    </cfRule>
    <cfRule type="containsText" dxfId="1507" priority="1700" operator="containsText" text="Azul Petróleo">
      <formula>NOT(ISERROR(SEARCH("Azul Petróleo",W44)))</formula>
    </cfRule>
    <cfRule type="containsText" dxfId="1506" priority="1701" operator="containsText" text="Preto">
      <formula>NOT(ISERROR(SEARCH("Preto",W44)))</formula>
    </cfRule>
    <cfRule type="containsText" priority="1702" operator="containsText" text="Branco">
      <formula>NOT(ISERROR(SEARCH("Branco",W44)))</formula>
    </cfRule>
    <cfRule type="containsText" dxfId="1505" priority="1703" operator="containsText" text="Bege">
      <formula>NOT(ISERROR(SEARCH("Bege",W44)))</formula>
    </cfRule>
  </conditionalFormatting>
  <conditionalFormatting sqref="W44">
    <cfRule type="containsText" dxfId="1504" priority="1686" operator="containsText" text="Cinza">
      <formula>NOT(ISERROR(SEARCH("Cinza",W44)))</formula>
    </cfRule>
    <cfRule type="containsText" dxfId="1503" priority="1687" operator="containsText" text="Púrpura">
      <formula>NOT(ISERROR(SEARCH("Púrpura",W44)))</formula>
    </cfRule>
    <cfRule type="containsText" dxfId="1502" priority="1688" operator="containsText" text="Rosa">
      <formula>NOT(ISERROR(SEARCH("Rosa",W44)))</formula>
    </cfRule>
    <cfRule type="containsText" dxfId="1501" priority="1689" operator="containsText" text="Castanho">
      <formula>NOT(ISERROR(SEARCH("Castanho",W44)))</formula>
    </cfRule>
    <cfRule type="containsText" dxfId="1500" priority="1690" operator="containsText" text="Verde Água">
      <formula>NOT(ISERROR(SEARCH("Verde Água",W44)))</formula>
    </cfRule>
    <cfRule type="containsText" dxfId="1499" priority="1691" operator="containsText" text="Azul Petróleo">
      <formula>NOT(ISERROR(SEARCH("Azul Petróleo",W44)))</formula>
    </cfRule>
    <cfRule type="containsText" dxfId="1498" priority="1692" operator="containsText" text="Preto">
      <formula>NOT(ISERROR(SEARCH("Preto",W44)))</formula>
    </cfRule>
    <cfRule type="containsText" priority="1693" operator="containsText" text="Branco">
      <formula>NOT(ISERROR(SEARCH("Branco",W44)))</formula>
    </cfRule>
    <cfRule type="containsText" dxfId="1497" priority="1694" operator="containsText" text="Bege">
      <formula>NOT(ISERROR(SEARCH("Bege",W44)))</formula>
    </cfRule>
  </conditionalFormatting>
  <conditionalFormatting sqref="W44">
    <cfRule type="containsText" dxfId="1496" priority="1677" operator="containsText" text="Cinza">
      <formula>NOT(ISERROR(SEARCH("Cinza",W44)))</formula>
    </cfRule>
    <cfRule type="containsText" dxfId="1495" priority="1678" operator="containsText" text="Púrpura">
      <formula>NOT(ISERROR(SEARCH("Púrpura",W44)))</formula>
    </cfRule>
    <cfRule type="containsText" dxfId="1494" priority="1679" operator="containsText" text="Rosa">
      <formula>NOT(ISERROR(SEARCH("Rosa",W44)))</formula>
    </cfRule>
    <cfRule type="containsText" dxfId="1493" priority="1680" operator="containsText" text="Castanho">
      <formula>NOT(ISERROR(SEARCH("Castanho",W44)))</formula>
    </cfRule>
    <cfRule type="containsText" dxfId="1492" priority="1681" operator="containsText" text="Verde Água">
      <formula>NOT(ISERROR(SEARCH("Verde Água",W44)))</formula>
    </cfRule>
    <cfRule type="containsText" dxfId="1491" priority="1682" operator="containsText" text="Azul Petróleo">
      <formula>NOT(ISERROR(SEARCH("Azul Petróleo",W44)))</formula>
    </cfRule>
    <cfRule type="containsText" dxfId="1490" priority="1683" operator="containsText" text="Preto">
      <formula>NOT(ISERROR(SEARCH("Preto",W44)))</formula>
    </cfRule>
    <cfRule type="containsText" priority="1684" operator="containsText" text="Branco">
      <formula>NOT(ISERROR(SEARCH("Branco",W44)))</formula>
    </cfRule>
    <cfRule type="containsText" dxfId="1489" priority="1685" operator="containsText" text="Bege">
      <formula>NOT(ISERROR(SEARCH("Bege",W44)))</formula>
    </cfRule>
  </conditionalFormatting>
  <conditionalFormatting sqref="W44">
    <cfRule type="containsText" dxfId="1488" priority="1668" operator="containsText" text="Cinza">
      <formula>NOT(ISERROR(SEARCH("Cinza",W44)))</formula>
    </cfRule>
    <cfRule type="containsText" dxfId="1487" priority="1669" operator="containsText" text="Púrpura">
      <formula>NOT(ISERROR(SEARCH("Púrpura",W44)))</formula>
    </cfRule>
    <cfRule type="containsText" dxfId="1486" priority="1670" operator="containsText" text="Rosa">
      <formula>NOT(ISERROR(SEARCH("Rosa",W44)))</formula>
    </cfRule>
    <cfRule type="containsText" dxfId="1485" priority="1671" operator="containsText" text="Castanho">
      <formula>NOT(ISERROR(SEARCH("Castanho",W44)))</formula>
    </cfRule>
    <cfRule type="containsText" dxfId="1484" priority="1672" operator="containsText" text="Verde Água">
      <formula>NOT(ISERROR(SEARCH("Verde Água",W44)))</formula>
    </cfRule>
    <cfRule type="containsText" dxfId="1483" priority="1673" operator="containsText" text="Azul Petróleo">
      <formula>NOT(ISERROR(SEARCH("Azul Petróleo",W44)))</formula>
    </cfRule>
    <cfRule type="containsText" dxfId="1482" priority="1674" operator="containsText" text="Preto">
      <formula>NOT(ISERROR(SEARCH("Preto",W44)))</formula>
    </cfRule>
    <cfRule type="containsText" priority="1675" operator="containsText" text="Branco">
      <formula>NOT(ISERROR(SEARCH("Branco",W44)))</formula>
    </cfRule>
    <cfRule type="containsText" dxfId="1481" priority="1676" operator="containsText" text="Bege">
      <formula>NOT(ISERROR(SEARCH("Bege",W44)))</formula>
    </cfRule>
  </conditionalFormatting>
  <conditionalFormatting sqref="W44">
    <cfRule type="containsText" dxfId="1480" priority="1659" operator="containsText" text="Cinza">
      <formula>NOT(ISERROR(SEARCH("Cinza",W44)))</formula>
    </cfRule>
    <cfRule type="containsText" dxfId="1479" priority="1660" operator="containsText" text="Púrpura">
      <formula>NOT(ISERROR(SEARCH("Púrpura",W44)))</formula>
    </cfRule>
    <cfRule type="containsText" dxfId="1478" priority="1661" operator="containsText" text="Rosa">
      <formula>NOT(ISERROR(SEARCH("Rosa",W44)))</formula>
    </cfRule>
    <cfRule type="containsText" dxfId="1477" priority="1662" operator="containsText" text="Castanho">
      <formula>NOT(ISERROR(SEARCH("Castanho",W44)))</formula>
    </cfRule>
    <cfRule type="containsText" dxfId="1476" priority="1663" operator="containsText" text="Verde Água">
      <formula>NOT(ISERROR(SEARCH("Verde Água",W44)))</formula>
    </cfRule>
    <cfRule type="containsText" dxfId="1475" priority="1664" operator="containsText" text="Azul Petróleo">
      <formula>NOT(ISERROR(SEARCH("Azul Petróleo",W44)))</formula>
    </cfRule>
    <cfRule type="containsText" dxfId="1474" priority="1665" operator="containsText" text="Preto">
      <formula>NOT(ISERROR(SEARCH("Preto",W44)))</formula>
    </cfRule>
    <cfRule type="containsText" priority="1666" operator="containsText" text="Branco">
      <formula>NOT(ISERROR(SEARCH("Branco",W44)))</formula>
    </cfRule>
    <cfRule type="containsText" dxfId="1473" priority="1667" operator="containsText" text="Bege">
      <formula>NOT(ISERROR(SEARCH("Bege",W44)))</formula>
    </cfRule>
  </conditionalFormatting>
  <conditionalFormatting sqref="W44">
    <cfRule type="containsText" dxfId="1472" priority="1650" operator="containsText" text="Cinza">
      <formula>NOT(ISERROR(SEARCH("Cinza",W44)))</formula>
    </cfRule>
    <cfRule type="containsText" dxfId="1471" priority="1651" operator="containsText" text="Púrpura">
      <formula>NOT(ISERROR(SEARCH("Púrpura",W44)))</formula>
    </cfRule>
    <cfRule type="containsText" dxfId="1470" priority="1652" operator="containsText" text="Rosa">
      <formula>NOT(ISERROR(SEARCH("Rosa",W44)))</formula>
    </cfRule>
    <cfRule type="containsText" dxfId="1469" priority="1653" operator="containsText" text="Castanho">
      <formula>NOT(ISERROR(SEARCH("Castanho",W44)))</formula>
    </cfRule>
    <cfRule type="containsText" dxfId="1468" priority="1654" operator="containsText" text="Verde Água">
      <formula>NOT(ISERROR(SEARCH("Verde Água",W44)))</formula>
    </cfRule>
    <cfRule type="containsText" dxfId="1467" priority="1655" operator="containsText" text="Azul Petróleo">
      <formula>NOT(ISERROR(SEARCH("Azul Petróleo",W44)))</formula>
    </cfRule>
    <cfRule type="containsText" dxfId="1466" priority="1656" operator="containsText" text="Preto">
      <formula>NOT(ISERROR(SEARCH("Preto",W44)))</formula>
    </cfRule>
    <cfRule type="containsText" priority="1657" operator="containsText" text="Branco">
      <formula>NOT(ISERROR(SEARCH("Branco",W44)))</formula>
    </cfRule>
    <cfRule type="containsText" dxfId="1465" priority="1658" operator="containsText" text="Bege">
      <formula>NOT(ISERROR(SEARCH("Bege",W44)))</formula>
    </cfRule>
  </conditionalFormatting>
  <conditionalFormatting sqref="W44">
    <cfRule type="containsText" dxfId="1464" priority="1641" operator="containsText" text="Cinza">
      <formula>NOT(ISERROR(SEARCH("Cinza",W44)))</formula>
    </cfRule>
    <cfRule type="containsText" dxfId="1463" priority="1642" operator="containsText" text="Púrpura">
      <formula>NOT(ISERROR(SEARCH("Púrpura",W44)))</formula>
    </cfRule>
    <cfRule type="containsText" dxfId="1462" priority="1643" operator="containsText" text="Rosa">
      <formula>NOT(ISERROR(SEARCH("Rosa",W44)))</formula>
    </cfRule>
    <cfRule type="containsText" dxfId="1461" priority="1644" operator="containsText" text="Castanho">
      <formula>NOT(ISERROR(SEARCH("Castanho",W44)))</formula>
    </cfRule>
    <cfRule type="containsText" dxfId="1460" priority="1645" operator="containsText" text="Verde Água">
      <formula>NOT(ISERROR(SEARCH("Verde Água",W44)))</formula>
    </cfRule>
    <cfRule type="containsText" dxfId="1459" priority="1646" operator="containsText" text="Azul Petróleo">
      <formula>NOT(ISERROR(SEARCH("Azul Petróleo",W44)))</formula>
    </cfRule>
    <cfRule type="containsText" dxfId="1458" priority="1647" operator="containsText" text="Preto">
      <formula>NOT(ISERROR(SEARCH("Preto",W44)))</formula>
    </cfRule>
    <cfRule type="containsText" priority="1648" operator="containsText" text="Branco">
      <formula>NOT(ISERROR(SEARCH("Branco",W44)))</formula>
    </cfRule>
    <cfRule type="containsText" dxfId="1457" priority="1649" operator="containsText" text="Bege">
      <formula>NOT(ISERROR(SEARCH("Bege",W44)))</formula>
    </cfRule>
  </conditionalFormatting>
  <conditionalFormatting sqref="W44">
    <cfRule type="containsText" dxfId="1456" priority="1632" operator="containsText" text="Cinza">
      <formula>NOT(ISERROR(SEARCH("Cinza",W44)))</formula>
    </cfRule>
    <cfRule type="containsText" dxfId="1455" priority="1633" operator="containsText" text="Púrpura">
      <formula>NOT(ISERROR(SEARCH("Púrpura",W44)))</formula>
    </cfRule>
    <cfRule type="containsText" dxfId="1454" priority="1634" operator="containsText" text="Rosa">
      <formula>NOT(ISERROR(SEARCH("Rosa",W44)))</formula>
    </cfRule>
    <cfRule type="containsText" dxfId="1453" priority="1635" operator="containsText" text="Castanho">
      <formula>NOT(ISERROR(SEARCH("Castanho",W44)))</formula>
    </cfRule>
    <cfRule type="containsText" dxfId="1452" priority="1636" operator="containsText" text="Verde Água">
      <formula>NOT(ISERROR(SEARCH("Verde Água",W44)))</formula>
    </cfRule>
    <cfRule type="containsText" dxfId="1451" priority="1637" operator="containsText" text="Azul Petróleo">
      <formula>NOT(ISERROR(SEARCH("Azul Petróleo",W44)))</formula>
    </cfRule>
    <cfRule type="containsText" dxfId="1450" priority="1638" operator="containsText" text="Preto">
      <formula>NOT(ISERROR(SEARCH("Preto",W44)))</formula>
    </cfRule>
    <cfRule type="containsText" priority="1639" operator="containsText" text="Branco">
      <formula>NOT(ISERROR(SEARCH("Branco",W44)))</formula>
    </cfRule>
    <cfRule type="containsText" dxfId="1449" priority="1640" operator="containsText" text="Bege">
      <formula>NOT(ISERROR(SEARCH("Bege",W44)))</formula>
    </cfRule>
  </conditionalFormatting>
  <conditionalFormatting sqref="W44">
    <cfRule type="containsText" dxfId="1448" priority="1623" operator="containsText" text="Cinza">
      <formula>NOT(ISERROR(SEARCH("Cinza",W44)))</formula>
    </cfRule>
    <cfRule type="containsText" dxfId="1447" priority="1624" operator="containsText" text="Púrpura">
      <formula>NOT(ISERROR(SEARCH("Púrpura",W44)))</formula>
    </cfRule>
    <cfRule type="containsText" dxfId="1446" priority="1625" operator="containsText" text="Rosa">
      <formula>NOT(ISERROR(SEARCH("Rosa",W44)))</formula>
    </cfRule>
    <cfRule type="containsText" dxfId="1445" priority="1626" operator="containsText" text="Castanho">
      <formula>NOT(ISERROR(SEARCH("Castanho",W44)))</formula>
    </cfRule>
    <cfRule type="containsText" dxfId="1444" priority="1627" operator="containsText" text="Verde Água">
      <formula>NOT(ISERROR(SEARCH("Verde Água",W44)))</formula>
    </cfRule>
    <cfRule type="containsText" dxfId="1443" priority="1628" operator="containsText" text="Azul Petróleo">
      <formula>NOT(ISERROR(SEARCH("Azul Petróleo",W44)))</formula>
    </cfRule>
    <cfRule type="containsText" dxfId="1442" priority="1629" operator="containsText" text="Preto">
      <formula>NOT(ISERROR(SEARCH("Preto",W44)))</formula>
    </cfRule>
    <cfRule type="containsText" priority="1630" operator="containsText" text="Branco">
      <formula>NOT(ISERROR(SEARCH("Branco",W44)))</formula>
    </cfRule>
    <cfRule type="containsText" dxfId="1441" priority="1631" operator="containsText" text="Bege">
      <formula>NOT(ISERROR(SEARCH("Bege",W44)))</formula>
    </cfRule>
  </conditionalFormatting>
  <conditionalFormatting sqref="W44">
    <cfRule type="containsText" dxfId="1440" priority="1614" operator="containsText" text="Escuro">
      <formula>NOT(ISERROR(SEARCH("Escuro",W44)))</formula>
    </cfRule>
    <cfRule type="containsText" dxfId="1439" priority="1615" operator="containsText" text="Cinza">
      <formula>NOT(ISERROR(SEARCH("Cinza",W44)))</formula>
    </cfRule>
    <cfRule type="containsText" dxfId="1438" priority="1616" operator="containsText" text="Púrpura">
      <formula>NOT(ISERROR(SEARCH("Púrpura",W44)))</formula>
    </cfRule>
    <cfRule type="containsText" dxfId="1437" priority="1617" operator="containsText" text="Rosa">
      <formula>NOT(ISERROR(SEARCH("Rosa",W44)))</formula>
    </cfRule>
    <cfRule type="containsText" dxfId="1436" priority="1618" operator="containsText" text="Castanho">
      <formula>NOT(ISERROR(SEARCH("Castanho",W44)))</formula>
    </cfRule>
    <cfRule type="containsText" dxfId="1435" priority="1619" operator="containsText" text="Verde Água">
      <formula>NOT(ISERROR(SEARCH("Verde Água",W44)))</formula>
    </cfRule>
    <cfRule type="containsText" dxfId="1434" priority="1620" operator="containsText" text="Azul Petróleo">
      <formula>NOT(ISERROR(SEARCH("Azul Petróleo",W44)))</formula>
    </cfRule>
    <cfRule type="containsText" dxfId="1433" priority="1621" operator="containsText" text="Preto">
      <formula>NOT(ISERROR(SEARCH("Preto",W44)))</formula>
    </cfRule>
    <cfRule type="containsText" priority="1622" operator="containsText" text="Branco">
      <formula>NOT(ISERROR(SEARCH("Branco",W44)))</formula>
    </cfRule>
  </conditionalFormatting>
  <conditionalFormatting sqref="W36">
    <cfRule type="containsText" dxfId="1432" priority="1605" operator="containsText" text="Cinza">
      <formula>NOT(ISERROR(SEARCH("Cinza",W36)))</formula>
    </cfRule>
    <cfRule type="containsText" dxfId="1431" priority="1606" operator="containsText" text="Púrpura">
      <formula>NOT(ISERROR(SEARCH("Púrpura",W36)))</formula>
    </cfRule>
    <cfRule type="containsText" dxfId="1430" priority="1607" operator="containsText" text="Rosa">
      <formula>NOT(ISERROR(SEARCH("Rosa",W36)))</formula>
    </cfRule>
    <cfRule type="containsText" dxfId="1429" priority="1608" operator="containsText" text="Castanho">
      <formula>NOT(ISERROR(SEARCH("Castanho",W36)))</formula>
    </cfRule>
    <cfRule type="containsText" dxfId="1428" priority="1609" operator="containsText" text="Verde Água">
      <formula>NOT(ISERROR(SEARCH("Verde Água",W36)))</formula>
    </cfRule>
    <cfRule type="containsText" dxfId="1427" priority="1610" operator="containsText" text="Azul Petróleo">
      <formula>NOT(ISERROR(SEARCH("Azul Petróleo",W36)))</formula>
    </cfRule>
    <cfRule type="containsText" dxfId="1426" priority="1611" operator="containsText" text="Preto">
      <formula>NOT(ISERROR(SEARCH("Preto",W36)))</formula>
    </cfRule>
    <cfRule type="containsText" priority="1612" operator="containsText" text="Branco">
      <formula>NOT(ISERROR(SEARCH("Branco",W36)))</formula>
    </cfRule>
    <cfRule type="containsText" dxfId="1425" priority="1613" operator="containsText" text="Bege">
      <formula>NOT(ISERROR(SEARCH("Bege",W36)))</formula>
    </cfRule>
  </conditionalFormatting>
  <conditionalFormatting sqref="W36">
    <cfRule type="containsText" dxfId="1424" priority="1596" operator="containsText" text="Cinza">
      <formula>NOT(ISERROR(SEARCH("Cinza",W36)))</formula>
    </cfRule>
    <cfRule type="containsText" dxfId="1423" priority="1597" operator="containsText" text="Púrpura">
      <formula>NOT(ISERROR(SEARCH("Púrpura",W36)))</formula>
    </cfRule>
    <cfRule type="containsText" dxfId="1422" priority="1598" operator="containsText" text="Rosa">
      <formula>NOT(ISERROR(SEARCH("Rosa",W36)))</formula>
    </cfRule>
    <cfRule type="containsText" dxfId="1421" priority="1599" operator="containsText" text="Castanho">
      <formula>NOT(ISERROR(SEARCH("Castanho",W36)))</formula>
    </cfRule>
    <cfRule type="containsText" dxfId="1420" priority="1600" operator="containsText" text="Verde Água">
      <formula>NOT(ISERROR(SEARCH("Verde Água",W36)))</formula>
    </cfRule>
    <cfRule type="containsText" dxfId="1419" priority="1601" operator="containsText" text="Azul Petróleo">
      <formula>NOT(ISERROR(SEARCH("Azul Petróleo",W36)))</formula>
    </cfRule>
    <cfRule type="containsText" dxfId="1418" priority="1602" operator="containsText" text="Preto">
      <formula>NOT(ISERROR(SEARCH("Preto",W36)))</formula>
    </cfRule>
    <cfRule type="containsText" priority="1603" operator="containsText" text="Branco">
      <formula>NOT(ISERROR(SEARCH("Branco",W36)))</formula>
    </cfRule>
    <cfRule type="containsText" dxfId="1417" priority="1604" operator="containsText" text="Bege">
      <formula>NOT(ISERROR(SEARCH("Bege",W36)))</formula>
    </cfRule>
  </conditionalFormatting>
  <conditionalFormatting sqref="W36">
    <cfRule type="containsText" dxfId="1416" priority="1587" operator="containsText" text="Cinza">
      <formula>NOT(ISERROR(SEARCH("Cinza",W36)))</formula>
    </cfRule>
    <cfRule type="containsText" dxfId="1415" priority="1588" operator="containsText" text="Púrpura">
      <formula>NOT(ISERROR(SEARCH("Púrpura",W36)))</formula>
    </cfRule>
    <cfRule type="containsText" dxfId="1414" priority="1589" operator="containsText" text="Rosa">
      <formula>NOT(ISERROR(SEARCH("Rosa",W36)))</formula>
    </cfRule>
    <cfRule type="containsText" dxfId="1413" priority="1590" operator="containsText" text="Castanho">
      <formula>NOT(ISERROR(SEARCH("Castanho",W36)))</formula>
    </cfRule>
    <cfRule type="containsText" dxfId="1412" priority="1591" operator="containsText" text="Verde Água">
      <formula>NOT(ISERROR(SEARCH("Verde Água",W36)))</formula>
    </cfRule>
    <cfRule type="containsText" dxfId="1411" priority="1592" operator="containsText" text="Azul Petróleo">
      <formula>NOT(ISERROR(SEARCH("Azul Petróleo",W36)))</formula>
    </cfRule>
    <cfRule type="containsText" dxfId="1410" priority="1593" operator="containsText" text="Preto">
      <formula>NOT(ISERROR(SEARCH("Preto",W36)))</formula>
    </cfRule>
    <cfRule type="containsText" priority="1594" operator="containsText" text="Branco">
      <formula>NOT(ISERROR(SEARCH("Branco",W36)))</formula>
    </cfRule>
    <cfRule type="containsText" dxfId="1409" priority="1595" operator="containsText" text="Bege">
      <formula>NOT(ISERROR(SEARCH("Bege",W36)))</formula>
    </cfRule>
  </conditionalFormatting>
  <conditionalFormatting sqref="W36">
    <cfRule type="containsText" dxfId="1408" priority="1578" operator="containsText" text="Cinza">
      <formula>NOT(ISERROR(SEARCH("Cinza",W36)))</formula>
    </cfRule>
    <cfRule type="containsText" dxfId="1407" priority="1579" operator="containsText" text="Púrpura">
      <formula>NOT(ISERROR(SEARCH("Púrpura",W36)))</formula>
    </cfRule>
    <cfRule type="containsText" dxfId="1406" priority="1580" operator="containsText" text="Rosa">
      <formula>NOT(ISERROR(SEARCH("Rosa",W36)))</formula>
    </cfRule>
    <cfRule type="containsText" dxfId="1405" priority="1581" operator="containsText" text="Castanho">
      <formula>NOT(ISERROR(SEARCH("Castanho",W36)))</formula>
    </cfRule>
    <cfRule type="containsText" dxfId="1404" priority="1582" operator="containsText" text="Verde Água">
      <formula>NOT(ISERROR(SEARCH("Verde Água",W36)))</formula>
    </cfRule>
    <cfRule type="containsText" dxfId="1403" priority="1583" operator="containsText" text="Azul Petróleo">
      <formula>NOT(ISERROR(SEARCH("Azul Petróleo",W36)))</formula>
    </cfRule>
    <cfRule type="containsText" dxfId="1402" priority="1584" operator="containsText" text="Preto">
      <formula>NOT(ISERROR(SEARCH("Preto",W36)))</formula>
    </cfRule>
    <cfRule type="containsText" priority="1585" operator="containsText" text="Branco">
      <formula>NOT(ISERROR(SEARCH("Branco",W36)))</formula>
    </cfRule>
    <cfRule type="containsText" dxfId="1401" priority="1586" operator="containsText" text="Bege">
      <formula>NOT(ISERROR(SEARCH("Bege",W36)))</formula>
    </cfRule>
  </conditionalFormatting>
  <conditionalFormatting sqref="W36">
    <cfRule type="containsText" dxfId="1400" priority="1569" operator="containsText" text="Cinza">
      <formula>NOT(ISERROR(SEARCH("Cinza",W36)))</formula>
    </cfRule>
    <cfRule type="containsText" dxfId="1399" priority="1570" operator="containsText" text="Púrpura">
      <formula>NOT(ISERROR(SEARCH("Púrpura",W36)))</formula>
    </cfRule>
    <cfRule type="containsText" dxfId="1398" priority="1571" operator="containsText" text="Rosa">
      <formula>NOT(ISERROR(SEARCH("Rosa",W36)))</formula>
    </cfRule>
    <cfRule type="containsText" dxfId="1397" priority="1572" operator="containsText" text="Castanho">
      <formula>NOT(ISERROR(SEARCH("Castanho",W36)))</formula>
    </cfRule>
    <cfRule type="containsText" dxfId="1396" priority="1573" operator="containsText" text="Verde Água">
      <formula>NOT(ISERROR(SEARCH("Verde Água",W36)))</formula>
    </cfRule>
    <cfRule type="containsText" dxfId="1395" priority="1574" operator="containsText" text="Azul Petróleo">
      <formula>NOT(ISERROR(SEARCH("Azul Petróleo",W36)))</formula>
    </cfRule>
    <cfRule type="containsText" dxfId="1394" priority="1575" operator="containsText" text="Preto">
      <formula>NOT(ISERROR(SEARCH("Preto",W36)))</formula>
    </cfRule>
    <cfRule type="containsText" priority="1576" operator="containsText" text="Branco">
      <formula>NOT(ISERROR(SEARCH("Branco",W36)))</formula>
    </cfRule>
    <cfRule type="containsText" dxfId="1393" priority="1577" operator="containsText" text="Bege">
      <formula>NOT(ISERROR(SEARCH("Bege",W36)))</formula>
    </cfRule>
  </conditionalFormatting>
  <conditionalFormatting sqref="W36">
    <cfRule type="containsText" dxfId="1392" priority="1560" operator="containsText" text="Cinza">
      <formula>NOT(ISERROR(SEARCH("Cinza",W36)))</formula>
    </cfRule>
    <cfRule type="containsText" dxfId="1391" priority="1561" operator="containsText" text="Púrpura">
      <formula>NOT(ISERROR(SEARCH("Púrpura",W36)))</formula>
    </cfRule>
    <cfRule type="containsText" dxfId="1390" priority="1562" operator="containsText" text="Rosa">
      <formula>NOT(ISERROR(SEARCH("Rosa",W36)))</formula>
    </cfRule>
    <cfRule type="containsText" dxfId="1389" priority="1563" operator="containsText" text="Castanho">
      <formula>NOT(ISERROR(SEARCH("Castanho",W36)))</formula>
    </cfRule>
    <cfRule type="containsText" dxfId="1388" priority="1564" operator="containsText" text="Verde Água">
      <formula>NOT(ISERROR(SEARCH("Verde Água",W36)))</formula>
    </cfRule>
    <cfRule type="containsText" dxfId="1387" priority="1565" operator="containsText" text="Azul Petróleo">
      <formula>NOT(ISERROR(SEARCH("Azul Petróleo",W36)))</formula>
    </cfRule>
    <cfRule type="containsText" dxfId="1386" priority="1566" operator="containsText" text="Preto">
      <formula>NOT(ISERROR(SEARCH("Preto",W36)))</formula>
    </cfRule>
    <cfRule type="containsText" priority="1567" operator="containsText" text="Branco">
      <formula>NOT(ISERROR(SEARCH("Branco",W36)))</formula>
    </cfRule>
    <cfRule type="containsText" dxfId="1385" priority="1568" operator="containsText" text="Bege">
      <formula>NOT(ISERROR(SEARCH("Bege",W36)))</formula>
    </cfRule>
  </conditionalFormatting>
  <conditionalFormatting sqref="W36">
    <cfRule type="containsText" dxfId="1384" priority="1551" operator="containsText" text="Cinza">
      <formula>NOT(ISERROR(SEARCH("Cinza",W36)))</formula>
    </cfRule>
    <cfRule type="containsText" dxfId="1383" priority="1552" operator="containsText" text="Púrpura">
      <formula>NOT(ISERROR(SEARCH("Púrpura",W36)))</formula>
    </cfRule>
    <cfRule type="containsText" dxfId="1382" priority="1553" operator="containsText" text="Rosa">
      <formula>NOT(ISERROR(SEARCH("Rosa",W36)))</formula>
    </cfRule>
    <cfRule type="containsText" dxfId="1381" priority="1554" operator="containsText" text="Castanho">
      <formula>NOT(ISERROR(SEARCH("Castanho",W36)))</formula>
    </cfRule>
    <cfRule type="containsText" dxfId="1380" priority="1555" operator="containsText" text="Verde Água">
      <formula>NOT(ISERROR(SEARCH("Verde Água",W36)))</formula>
    </cfRule>
    <cfRule type="containsText" dxfId="1379" priority="1556" operator="containsText" text="Azul Petróleo">
      <formula>NOT(ISERROR(SEARCH("Azul Petróleo",W36)))</formula>
    </cfRule>
    <cfRule type="containsText" dxfId="1378" priority="1557" operator="containsText" text="Preto">
      <formula>NOT(ISERROR(SEARCH("Preto",W36)))</formula>
    </cfRule>
    <cfRule type="containsText" priority="1558" operator="containsText" text="Branco">
      <formula>NOT(ISERROR(SEARCH("Branco",W36)))</formula>
    </cfRule>
    <cfRule type="containsText" dxfId="1377" priority="1559" operator="containsText" text="Bege">
      <formula>NOT(ISERROR(SEARCH("Bege",W36)))</formula>
    </cfRule>
  </conditionalFormatting>
  <conditionalFormatting sqref="W36">
    <cfRule type="containsText" dxfId="1376" priority="1542" operator="containsText" text="Cinza">
      <formula>NOT(ISERROR(SEARCH("Cinza",W36)))</formula>
    </cfRule>
    <cfRule type="containsText" dxfId="1375" priority="1543" operator="containsText" text="Púrpura">
      <formula>NOT(ISERROR(SEARCH("Púrpura",W36)))</formula>
    </cfRule>
    <cfRule type="containsText" dxfId="1374" priority="1544" operator="containsText" text="Rosa">
      <formula>NOT(ISERROR(SEARCH("Rosa",W36)))</formula>
    </cfRule>
    <cfRule type="containsText" dxfId="1373" priority="1545" operator="containsText" text="Castanho">
      <formula>NOT(ISERROR(SEARCH("Castanho",W36)))</formula>
    </cfRule>
    <cfRule type="containsText" dxfId="1372" priority="1546" operator="containsText" text="Verde Água">
      <formula>NOT(ISERROR(SEARCH("Verde Água",W36)))</formula>
    </cfRule>
    <cfRule type="containsText" dxfId="1371" priority="1547" operator="containsText" text="Azul Petróleo">
      <formula>NOT(ISERROR(SEARCH("Azul Petróleo",W36)))</formula>
    </cfRule>
    <cfRule type="containsText" dxfId="1370" priority="1548" operator="containsText" text="Preto">
      <formula>NOT(ISERROR(SEARCH("Preto",W36)))</formula>
    </cfRule>
    <cfRule type="containsText" priority="1549" operator="containsText" text="Branco">
      <formula>NOT(ISERROR(SEARCH("Branco",W36)))</formula>
    </cfRule>
    <cfRule type="containsText" dxfId="1369" priority="1550" operator="containsText" text="Bege">
      <formula>NOT(ISERROR(SEARCH("Bege",W36)))</formula>
    </cfRule>
  </conditionalFormatting>
  <conditionalFormatting sqref="W36">
    <cfRule type="containsText" dxfId="1368" priority="1533" operator="containsText" text="Cinza">
      <formula>NOT(ISERROR(SEARCH("Cinza",W36)))</formula>
    </cfRule>
    <cfRule type="containsText" dxfId="1367" priority="1534" operator="containsText" text="Púrpura">
      <formula>NOT(ISERROR(SEARCH("Púrpura",W36)))</formula>
    </cfRule>
    <cfRule type="containsText" dxfId="1366" priority="1535" operator="containsText" text="Rosa">
      <formula>NOT(ISERROR(SEARCH("Rosa",W36)))</formula>
    </cfRule>
    <cfRule type="containsText" dxfId="1365" priority="1536" operator="containsText" text="Castanho">
      <formula>NOT(ISERROR(SEARCH("Castanho",W36)))</formula>
    </cfRule>
    <cfRule type="containsText" dxfId="1364" priority="1537" operator="containsText" text="Verde Água">
      <formula>NOT(ISERROR(SEARCH("Verde Água",W36)))</formula>
    </cfRule>
    <cfRule type="containsText" dxfId="1363" priority="1538" operator="containsText" text="Azul Petróleo">
      <formula>NOT(ISERROR(SEARCH("Azul Petróleo",W36)))</formula>
    </cfRule>
    <cfRule type="containsText" dxfId="1362" priority="1539" operator="containsText" text="Preto">
      <formula>NOT(ISERROR(SEARCH("Preto",W36)))</formula>
    </cfRule>
    <cfRule type="containsText" priority="1540" operator="containsText" text="Branco">
      <formula>NOT(ISERROR(SEARCH("Branco",W36)))</formula>
    </cfRule>
    <cfRule type="containsText" dxfId="1361" priority="1541" operator="containsText" text="Bege">
      <formula>NOT(ISERROR(SEARCH("Bege",W36)))</formula>
    </cfRule>
  </conditionalFormatting>
  <conditionalFormatting sqref="W36">
    <cfRule type="containsText" dxfId="1360" priority="1524" operator="containsText" text="Cinza">
      <formula>NOT(ISERROR(SEARCH("Cinza",W36)))</formula>
    </cfRule>
    <cfRule type="containsText" dxfId="1359" priority="1525" operator="containsText" text="Púrpura">
      <formula>NOT(ISERROR(SEARCH("Púrpura",W36)))</formula>
    </cfRule>
    <cfRule type="containsText" dxfId="1358" priority="1526" operator="containsText" text="Rosa">
      <formula>NOT(ISERROR(SEARCH("Rosa",W36)))</formula>
    </cfRule>
    <cfRule type="containsText" dxfId="1357" priority="1527" operator="containsText" text="Castanho">
      <formula>NOT(ISERROR(SEARCH("Castanho",W36)))</formula>
    </cfRule>
    <cfRule type="containsText" dxfId="1356" priority="1528" operator="containsText" text="Verde Água">
      <formula>NOT(ISERROR(SEARCH("Verde Água",W36)))</formula>
    </cfRule>
    <cfRule type="containsText" dxfId="1355" priority="1529" operator="containsText" text="Azul Petróleo">
      <formula>NOT(ISERROR(SEARCH("Azul Petróleo",W36)))</formula>
    </cfRule>
    <cfRule type="containsText" dxfId="1354" priority="1530" operator="containsText" text="Preto">
      <formula>NOT(ISERROR(SEARCH("Preto",W36)))</formula>
    </cfRule>
    <cfRule type="containsText" priority="1531" operator="containsText" text="Branco">
      <formula>NOT(ISERROR(SEARCH("Branco",W36)))</formula>
    </cfRule>
    <cfRule type="containsText" dxfId="1353" priority="1532" operator="containsText" text="Bege">
      <formula>NOT(ISERROR(SEARCH("Bege",W36)))</formula>
    </cfRule>
  </conditionalFormatting>
  <conditionalFormatting sqref="W36">
    <cfRule type="containsText" dxfId="1352" priority="1515" operator="containsText" text="Cinza">
      <formula>NOT(ISERROR(SEARCH("Cinza",W36)))</formula>
    </cfRule>
    <cfRule type="containsText" dxfId="1351" priority="1516" operator="containsText" text="Púrpura">
      <formula>NOT(ISERROR(SEARCH("Púrpura",W36)))</formula>
    </cfRule>
    <cfRule type="containsText" dxfId="1350" priority="1517" operator="containsText" text="Rosa">
      <formula>NOT(ISERROR(SEARCH("Rosa",W36)))</formula>
    </cfRule>
    <cfRule type="containsText" dxfId="1349" priority="1518" operator="containsText" text="Castanho">
      <formula>NOT(ISERROR(SEARCH("Castanho",W36)))</formula>
    </cfRule>
    <cfRule type="containsText" dxfId="1348" priority="1519" operator="containsText" text="Verde Água">
      <formula>NOT(ISERROR(SEARCH("Verde Água",W36)))</formula>
    </cfRule>
    <cfRule type="containsText" dxfId="1347" priority="1520" operator="containsText" text="Azul Petróleo">
      <formula>NOT(ISERROR(SEARCH("Azul Petróleo",W36)))</formula>
    </cfRule>
    <cfRule type="containsText" dxfId="1346" priority="1521" operator="containsText" text="Preto">
      <formula>NOT(ISERROR(SEARCH("Preto",W36)))</formula>
    </cfRule>
    <cfRule type="containsText" priority="1522" operator="containsText" text="Branco">
      <formula>NOT(ISERROR(SEARCH("Branco",W36)))</formula>
    </cfRule>
    <cfRule type="containsText" dxfId="1345" priority="1523" operator="containsText" text="Bege">
      <formula>NOT(ISERROR(SEARCH("Bege",W36)))</formula>
    </cfRule>
  </conditionalFormatting>
  <conditionalFormatting sqref="W36">
    <cfRule type="containsText" dxfId="1344" priority="1506" operator="containsText" text="Cinza">
      <formula>NOT(ISERROR(SEARCH("Cinza",W36)))</formula>
    </cfRule>
    <cfRule type="containsText" dxfId="1343" priority="1507" operator="containsText" text="Púrpura">
      <formula>NOT(ISERROR(SEARCH("Púrpura",W36)))</formula>
    </cfRule>
    <cfRule type="containsText" dxfId="1342" priority="1508" operator="containsText" text="Rosa">
      <formula>NOT(ISERROR(SEARCH("Rosa",W36)))</formula>
    </cfRule>
    <cfRule type="containsText" dxfId="1341" priority="1509" operator="containsText" text="Castanho">
      <formula>NOT(ISERROR(SEARCH("Castanho",W36)))</formula>
    </cfRule>
    <cfRule type="containsText" dxfId="1340" priority="1510" operator="containsText" text="Verde Água">
      <formula>NOT(ISERROR(SEARCH("Verde Água",W36)))</formula>
    </cfRule>
    <cfRule type="containsText" dxfId="1339" priority="1511" operator="containsText" text="Azul Petróleo">
      <formula>NOT(ISERROR(SEARCH("Azul Petróleo",W36)))</formula>
    </cfRule>
    <cfRule type="containsText" dxfId="1338" priority="1512" operator="containsText" text="Preto">
      <formula>NOT(ISERROR(SEARCH("Preto",W36)))</formula>
    </cfRule>
    <cfRule type="containsText" priority="1513" operator="containsText" text="Branco">
      <formula>NOT(ISERROR(SEARCH("Branco",W36)))</formula>
    </cfRule>
    <cfRule type="containsText" dxfId="1337" priority="1514" operator="containsText" text="Bege">
      <formula>NOT(ISERROR(SEARCH("Bege",W36)))</formula>
    </cfRule>
  </conditionalFormatting>
  <conditionalFormatting sqref="W36">
    <cfRule type="containsText" dxfId="1336" priority="1497" operator="containsText" text="Cinza">
      <formula>NOT(ISERROR(SEARCH("Cinza",W36)))</formula>
    </cfRule>
    <cfRule type="containsText" dxfId="1335" priority="1498" operator="containsText" text="Púrpura">
      <formula>NOT(ISERROR(SEARCH("Púrpura",W36)))</formula>
    </cfRule>
    <cfRule type="containsText" dxfId="1334" priority="1499" operator="containsText" text="Rosa">
      <formula>NOT(ISERROR(SEARCH("Rosa",W36)))</formula>
    </cfRule>
    <cfRule type="containsText" dxfId="1333" priority="1500" operator="containsText" text="Castanho">
      <formula>NOT(ISERROR(SEARCH("Castanho",W36)))</formula>
    </cfRule>
    <cfRule type="containsText" dxfId="1332" priority="1501" operator="containsText" text="Verde Água">
      <formula>NOT(ISERROR(SEARCH("Verde Água",W36)))</formula>
    </cfRule>
    <cfRule type="containsText" dxfId="1331" priority="1502" operator="containsText" text="Azul Petróleo">
      <formula>NOT(ISERROR(SEARCH("Azul Petróleo",W36)))</formula>
    </cfRule>
    <cfRule type="containsText" dxfId="1330" priority="1503" operator="containsText" text="Preto">
      <formula>NOT(ISERROR(SEARCH("Preto",W36)))</formula>
    </cfRule>
    <cfRule type="containsText" priority="1504" operator="containsText" text="Branco">
      <formula>NOT(ISERROR(SEARCH("Branco",W36)))</formula>
    </cfRule>
    <cfRule type="containsText" dxfId="1329" priority="1505" operator="containsText" text="Bege">
      <formula>NOT(ISERROR(SEARCH("Bege",W36)))</formula>
    </cfRule>
  </conditionalFormatting>
  <conditionalFormatting sqref="W36">
    <cfRule type="containsText" dxfId="1328" priority="1488" operator="containsText" text="Cinza">
      <formula>NOT(ISERROR(SEARCH("Cinza",W36)))</formula>
    </cfRule>
    <cfRule type="containsText" dxfId="1327" priority="1489" operator="containsText" text="Púrpura">
      <formula>NOT(ISERROR(SEARCH("Púrpura",W36)))</formula>
    </cfRule>
    <cfRule type="containsText" dxfId="1326" priority="1490" operator="containsText" text="Rosa">
      <formula>NOT(ISERROR(SEARCH("Rosa",W36)))</formula>
    </cfRule>
    <cfRule type="containsText" dxfId="1325" priority="1491" operator="containsText" text="Castanho">
      <formula>NOT(ISERROR(SEARCH("Castanho",W36)))</formula>
    </cfRule>
    <cfRule type="containsText" dxfId="1324" priority="1492" operator="containsText" text="Verde Água">
      <formula>NOT(ISERROR(SEARCH("Verde Água",W36)))</formula>
    </cfRule>
    <cfRule type="containsText" dxfId="1323" priority="1493" operator="containsText" text="Azul Petróleo">
      <formula>NOT(ISERROR(SEARCH("Azul Petróleo",W36)))</formula>
    </cfRule>
    <cfRule type="containsText" dxfId="1322" priority="1494" operator="containsText" text="Preto">
      <formula>NOT(ISERROR(SEARCH("Preto",W36)))</formula>
    </cfRule>
    <cfRule type="containsText" priority="1495" operator="containsText" text="Branco">
      <formula>NOT(ISERROR(SEARCH("Branco",W36)))</formula>
    </cfRule>
    <cfRule type="containsText" dxfId="1321" priority="1496" operator="containsText" text="Bege">
      <formula>NOT(ISERROR(SEARCH("Bege",W36)))</formula>
    </cfRule>
  </conditionalFormatting>
  <conditionalFormatting sqref="W36">
    <cfRule type="containsText" dxfId="1320" priority="1479" operator="containsText" text="Cinza">
      <formula>NOT(ISERROR(SEARCH("Cinza",W36)))</formula>
    </cfRule>
    <cfRule type="containsText" dxfId="1319" priority="1480" operator="containsText" text="Púrpura">
      <formula>NOT(ISERROR(SEARCH("Púrpura",W36)))</formula>
    </cfRule>
    <cfRule type="containsText" dxfId="1318" priority="1481" operator="containsText" text="Rosa">
      <formula>NOT(ISERROR(SEARCH("Rosa",W36)))</formula>
    </cfRule>
    <cfRule type="containsText" dxfId="1317" priority="1482" operator="containsText" text="Castanho">
      <formula>NOT(ISERROR(SEARCH("Castanho",W36)))</formula>
    </cfRule>
    <cfRule type="containsText" dxfId="1316" priority="1483" operator="containsText" text="Verde Água">
      <formula>NOT(ISERROR(SEARCH("Verde Água",W36)))</formula>
    </cfRule>
    <cfRule type="containsText" dxfId="1315" priority="1484" operator="containsText" text="Azul Petróleo">
      <formula>NOT(ISERROR(SEARCH("Azul Petróleo",W36)))</formula>
    </cfRule>
    <cfRule type="containsText" dxfId="1314" priority="1485" operator="containsText" text="Preto">
      <formula>NOT(ISERROR(SEARCH("Preto",W36)))</formula>
    </cfRule>
    <cfRule type="containsText" priority="1486" operator="containsText" text="Branco">
      <formula>NOT(ISERROR(SEARCH("Branco",W36)))</formula>
    </cfRule>
    <cfRule type="containsText" dxfId="1313" priority="1487" operator="containsText" text="Bege">
      <formula>NOT(ISERROR(SEARCH("Bege",W36)))</formula>
    </cfRule>
  </conditionalFormatting>
  <conditionalFormatting sqref="W36">
    <cfRule type="containsText" dxfId="1312" priority="1470" operator="containsText" text="Cinza">
      <formula>NOT(ISERROR(SEARCH("Cinza",W36)))</formula>
    </cfRule>
    <cfRule type="containsText" dxfId="1311" priority="1471" operator="containsText" text="Púrpura">
      <formula>NOT(ISERROR(SEARCH("Púrpura",W36)))</formula>
    </cfRule>
    <cfRule type="containsText" dxfId="1310" priority="1472" operator="containsText" text="Rosa">
      <formula>NOT(ISERROR(SEARCH("Rosa",W36)))</formula>
    </cfRule>
    <cfRule type="containsText" dxfId="1309" priority="1473" operator="containsText" text="Castanho">
      <formula>NOT(ISERROR(SEARCH("Castanho",W36)))</formula>
    </cfRule>
    <cfRule type="containsText" dxfId="1308" priority="1474" operator="containsText" text="Verde Água">
      <formula>NOT(ISERROR(SEARCH("Verde Água",W36)))</formula>
    </cfRule>
    <cfRule type="containsText" dxfId="1307" priority="1475" operator="containsText" text="Azul Petróleo">
      <formula>NOT(ISERROR(SEARCH("Azul Petróleo",W36)))</formula>
    </cfRule>
    <cfRule type="containsText" dxfId="1306" priority="1476" operator="containsText" text="Preto">
      <formula>NOT(ISERROR(SEARCH("Preto",W36)))</formula>
    </cfRule>
    <cfRule type="containsText" priority="1477" operator="containsText" text="Branco">
      <formula>NOT(ISERROR(SEARCH("Branco",W36)))</formula>
    </cfRule>
    <cfRule type="containsText" dxfId="1305" priority="1478" operator="containsText" text="Bege">
      <formula>NOT(ISERROR(SEARCH("Bege",W36)))</formula>
    </cfRule>
  </conditionalFormatting>
  <conditionalFormatting sqref="W36">
    <cfRule type="containsText" dxfId="1304" priority="1461" operator="containsText" text="Escuro">
      <formula>NOT(ISERROR(SEARCH("Escuro",W36)))</formula>
    </cfRule>
    <cfRule type="containsText" dxfId="1303" priority="1462" operator="containsText" text="Cinza">
      <formula>NOT(ISERROR(SEARCH("Cinza",W36)))</formula>
    </cfRule>
    <cfRule type="containsText" dxfId="1302" priority="1463" operator="containsText" text="Púrpura">
      <formula>NOT(ISERROR(SEARCH("Púrpura",W36)))</formula>
    </cfRule>
    <cfRule type="containsText" dxfId="1301" priority="1464" operator="containsText" text="Rosa">
      <formula>NOT(ISERROR(SEARCH("Rosa",W36)))</formula>
    </cfRule>
    <cfRule type="containsText" dxfId="1300" priority="1465" operator="containsText" text="Castanho">
      <formula>NOT(ISERROR(SEARCH("Castanho",W36)))</formula>
    </cfRule>
    <cfRule type="containsText" dxfId="1299" priority="1466" operator="containsText" text="Verde Água">
      <formula>NOT(ISERROR(SEARCH("Verde Água",W36)))</formula>
    </cfRule>
    <cfRule type="containsText" dxfId="1298" priority="1467" operator="containsText" text="Azul Petróleo">
      <formula>NOT(ISERROR(SEARCH("Azul Petróleo",W36)))</formula>
    </cfRule>
    <cfRule type="containsText" dxfId="1297" priority="1468" operator="containsText" text="Preto">
      <formula>NOT(ISERROR(SEARCH("Preto",W36)))</formula>
    </cfRule>
    <cfRule type="containsText" priority="1469" operator="containsText" text="Branco">
      <formula>NOT(ISERROR(SEARCH("Branco",W36)))</formula>
    </cfRule>
  </conditionalFormatting>
  <conditionalFormatting sqref="W38">
    <cfRule type="containsText" dxfId="1296" priority="1452" operator="containsText" text="Cinza">
      <formula>NOT(ISERROR(SEARCH("Cinza",W38)))</formula>
    </cfRule>
    <cfRule type="containsText" dxfId="1295" priority="1453" operator="containsText" text="Púrpura">
      <formula>NOT(ISERROR(SEARCH("Púrpura",W38)))</formula>
    </cfRule>
    <cfRule type="containsText" dxfId="1294" priority="1454" operator="containsText" text="Rosa">
      <formula>NOT(ISERROR(SEARCH("Rosa",W38)))</formula>
    </cfRule>
    <cfRule type="containsText" dxfId="1293" priority="1455" operator="containsText" text="Castanho">
      <formula>NOT(ISERROR(SEARCH("Castanho",W38)))</formula>
    </cfRule>
    <cfRule type="containsText" dxfId="1292" priority="1456" operator="containsText" text="Verde Água">
      <formula>NOT(ISERROR(SEARCH("Verde Água",W38)))</formula>
    </cfRule>
    <cfRule type="containsText" dxfId="1291" priority="1457" operator="containsText" text="Azul Petróleo">
      <formula>NOT(ISERROR(SEARCH("Azul Petróleo",W38)))</formula>
    </cfRule>
    <cfRule type="containsText" dxfId="1290" priority="1458" operator="containsText" text="Preto">
      <formula>NOT(ISERROR(SEARCH("Preto",W38)))</formula>
    </cfRule>
    <cfRule type="containsText" priority="1459" operator="containsText" text="Branco">
      <formula>NOT(ISERROR(SEARCH("Branco",W38)))</formula>
    </cfRule>
    <cfRule type="containsText" dxfId="1289" priority="1460" operator="containsText" text="Bege">
      <formula>NOT(ISERROR(SEARCH("Bege",W38)))</formula>
    </cfRule>
  </conditionalFormatting>
  <conditionalFormatting sqref="W38">
    <cfRule type="containsText" dxfId="1288" priority="1443" operator="containsText" text="Cinza">
      <formula>NOT(ISERROR(SEARCH("Cinza",W38)))</formula>
    </cfRule>
    <cfRule type="containsText" dxfId="1287" priority="1444" operator="containsText" text="Púrpura">
      <formula>NOT(ISERROR(SEARCH("Púrpura",W38)))</formula>
    </cfRule>
    <cfRule type="containsText" dxfId="1286" priority="1445" operator="containsText" text="Rosa">
      <formula>NOT(ISERROR(SEARCH("Rosa",W38)))</formula>
    </cfRule>
    <cfRule type="containsText" dxfId="1285" priority="1446" operator="containsText" text="Castanho">
      <formula>NOT(ISERROR(SEARCH("Castanho",W38)))</formula>
    </cfRule>
    <cfRule type="containsText" dxfId="1284" priority="1447" operator="containsText" text="Verde Água">
      <formula>NOT(ISERROR(SEARCH("Verde Água",W38)))</formula>
    </cfRule>
    <cfRule type="containsText" dxfId="1283" priority="1448" operator="containsText" text="Azul Petróleo">
      <formula>NOT(ISERROR(SEARCH("Azul Petróleo",W38)))</formula>
    </cfRule>
    <cfRule type="containsText" dxfId="1282" priority="1449" operator="containsText" text="Preto">
      <formula>NOT(ISERROR(SEARCH("Preto",W38)))</formula>
    </cfRule>
    <cfRule type="containsText" priority="1450" operator="containsText" text="Branco">
      <formula>NOT(ISERROR(SEARCH("Branco",W38)))</formula>
    </cfRule>
    <cfRule type="containsText" dxfId="1281" priority="1451" operator="containsText" text="Bege">
      <formula>NOT(ISERROR(SEARCH("Bege",W38)))</formula>
    </cfRule>
  </conditionalFormatting>
  <conditionalFormatting sqref="W38">
    <cfRule type="containsText" dxfId="1280" priority="1434" operator="containsText" text="Cinza">
      <formula>NOT(ISERROR(SEARCH("Cinza",W38)))</formula>
    </cfRule>
    <cfRule type="containsText" dxfId="1279" priority="1435" operator="containsText" text="Púrpura">
      <formula>NOT(ISERROR(SEARCH("Púrpura",W38)))</formula>
    </cfRule>
    <cfRule type="containsText" dxfId="1278" priority="1436" operator="containsText" text="Rosa">
      <formula>NOT(ISERROR(SEARCH("Rosa",W38)))</formula>
    </cfRule>
    <cfRule type="containsText" dxfId="1277" priority="1437" operator="containsText" text="Castanho">
      <formula>NOT(ISERROR(SEARCH("Castanho",W38)))</formula>
    </cfRule>
    <cfRule type="containsText" dxfId="1276" priority="1438" operator="containsText" text="Verde Água">
      <formula>NOT(ISERROR(SEARCH("Verde Água",W38)))</formula>
    </cfRule>
    <cfRule type="containsText" dxfId="1275" priority="1439" operator="containsText" text="Azul Petróleo">
      <formula>NOT(ISERROR(SEARCH("Azul Petróleo",W38)))</formula>
    </cfRule>
    <cfRule type="containsText" dxfId="1274" priority="1440" operator="containsText" text="Preto">
      <formula>NOT(ISERROR(SEARCH("Preto",W38)))</formula>
    </cfRule>
    <cfRule type="containsText" priority="1441" operator="containsText" text="Branco">
      <formula>NOT(ISERROR(SEARCH("Branco",W38)))</formula>
    </cfRule>
    <cfRule type="containsText" dxfId="1273" priority="1442" operator="containsText" text="Bege">
      <formula>NOT(ISERROR(SEARCH("Bege",W38)))</formula>
    </cfRule>
  </conditionalFormatting>
  <conditionalFormatting sqref="W38">
    <cfRule type="containsText" dxfId="1272" priority="1425" operator="containsText" text="Cinza">
      <formula>NOT(ISERROR(SEARCH("Cinza",W38)))</formula>
    </cfRule>
    <cfRule type="containsText" dxfId="1271" priority="1426" operator="containsText" text="Púrpura">
      <formula>NOT(ISERROR(SEARCH("Púrpura",W38)))</formula>
    </cfRule>
    <cfRule type="containsText" dxfId="1270" priority="1427" operator="containsText" text="Rosa">
      <formula>NOT(ISERROR(SEARCH("Rosa",W38)))</formula>
    </cfRule>
    <cfRule type="containsText" dxfId="1269" priority="1428" operator="containsText" text="Castanho">
      <formula>NOT(ISERROR(SEARCH("Castanho",W38)))</formula>
    </cfRule>
    <cfRule type="containsText" dxfId="1268" priority="1429" operator="containsText" text="Verde Água">
      <formula>NOT(ISERROR(SEARCH("Verde Água",W38)))</formula>
    </cfRule>
    <cfRule type="containsText" dxfId="1267" priority="1430" operator="containsText" text="Azul Petróleo">
      <formula>NOT(ISERROR(SEARCH("Azul Petróleo",W38)))</formula>
    </cfRule>
    <cfRule type="containsText" dxfId="1266" priority="1431" operator="containsText" text="Preto">
      <formula>NOT(ISERROR(SEARCH("Preto",W38)))</formula>
    </cfRule>
    <cfRule type="containsText" priority="1432" operator="containsText" text="Branco">
      <formula>NOT(ISERROR(SEARCH("Branco",W38)))</formula>
    </cfRule>
    <cfRule type="containsText" dxfId="1265" priority="1433" operator="containsText" text="Bege">
      <formula>NOT(ISERROR(SEARCH("Bege",W38)))</formula>
    </cfRule>
  </conditionalFormatting>
  <conditionalFormatting sqref="W38">
    <cfRule type="containsText" dxfId="1264" priority="1416" operator="containsText" text="Cinza">
      <formula>NOT(ISERROR(SEARCH("Cinza",W38)))</formula>
    </cfRule>
    <cfRule type="containsText" dxfId="1263" priority="1417" operator="containsText" text="Púrpura">
      <formula>NOT(ISERROR(SEARCH("Púrpura",W38)))</formula>
    </cfRule>
    <cfRule type="containsText" dxfId="1262" priority="1418" operator="containsText" text="Rosa">
      <formula>NOT(ISERROR(SEARCH("Rosa",W38)))</formula>
    </cfRule>
    <cfRule type="containsText" dxfId="1261" priority="1419" operator="containsText" text="Castanho">
      <formula>NOT(ISERROR(SEARCH("Castanho",W38)))</formula>
    </cfRule>
    <cfRule type="containsText" dxfId="1260" priority="1420" operator="containsText" text="Verde Água">
      <formula>NOT(ISERROR(SEARCH("Verde Água",W38)))</formula>
    </cfRule>
    <cfRule type="containsText" dxfId="1259" priority="1421" operator="containsText" text="Azul Petróleo">
      <formula>NOT(ISERROR(SEARCH("Azul Petróleo",W38)))</formula>
    </cfRule>
    <cfRule type="containsText" dxfId="1258" priority="1422" operator="containsText" text="Preto">
      <formula>NOT(ISERROR(SEARCH("Preto",W38)))</formula>
    </cfRule>
    <cfRule type="containsText" priority="1423" operator="containsText" text="Branco">
      <formula>NOT(ISERROR(SEARCH("Branco",W38)))</formula>
    </cfRule>
    <cfRule type="containsText" dxfId="1257" priority="1424" operator="containsText" text="Bege">
      <formula>NOT(ISERROR(SEARCH("Bege",W38)))</formula>
    </cfRule>
  </conditionalFormatting>
  <conditionalFormatting sqref="W38">
    <cfRule type="containsText" dxfId="1256" priority="1407" operator="containsText" text="Cinza">
      <formula>NOT(ISERROR(SEARCH("Cinza",W38)))</formula>
    </cfRule>
    <cfRule type="containsText" dxfId="1255" priority="1408" operator="containsText" text="Púrpura">
      <formula>NOT(ISERROR(SEARCH("Púrpura",W38)))</formula>
    </cfRule>
    <cfRule type="containsText" dxfId="1254" priority="1409" operator="containsText" text="Rosa">
      <formula>NOT(ISERROR(SEARCH("Rosa",W38)))</formula>
    </cfRule>
    <cfRule type="containsText" dxfId="1253" priority="1410" operator="containsText" text="Castanho">
      <formula>NOT(ISERROR(SEARCH("Castanho",W38)))</formula>
    </cfRule>
    <cfRule type="containsText" dxfId="1252" priority="1411" operator="containsText" text="Verde Água">
      <formula>NOT(ISERROR(SEARCH("Verde Água",W38)))</formula>
    </cfRule>
    <cfRule type="containsText" dxfId="1251" priority="1412" operator="containsText" text="Azul Petróleo">
      <formula>NOT(ISERROR(SEARCH("Azul Petróleo",W38)))</formula>
    </cfRule>
    <cfRule type="containsText" dxfId="1250" priority="1413" operator="containsText" text="Preto">
      <formula>NOT(ISERROR(SEARCH("Preto",W38)))</formula>
    </cfRule>
    <cfRule type="containsText" priority="1414" operator="containsText" text="Branco">
      <formula>NOT(ISERROR(SEARCH("Branco",W38)))</formula>
    </cfRule>
    <cfRule type="containsText" dxfId="1249" priority="1415" operator="containsText" text="Bege">
      <formula>NOT(ISERROR(SEARCH("Bege",W38)))</formula>
    </cfRule>
  </conditionalFormatting>
  <conditionalFormatting sqref="W38">
    <cfRule type="containsText" dxfId="1248" priority="1398" operator="containsText" text="Cinza">
      <formula>NOT(ISERROR(SEARCH("Cinza",W38)))</formula>
    </cfRule>
    <cfRule type="containsText" dxfId="1247" priority="1399" operator="containsText" text="Púrpura">
      <formula>NOT(ISERROR(SEARCH("Púrpura",W38)))</formula>
    </cfRule>
    <cfRule type="containsText" dxfId="1246" priority="1400" operator="containsText" text="Rosa">
      <formula>NOT(ISERROR(SEARCH("Rosa",W38)))</formula>
    </cfRule>
    <cfRule type="containsText" dxfId="1245" priority="1401" operator="containsText" text="Castanho">
      <formula>NOT(ISERROR(SEARCH("Castanho",W38)))</formula>
    </cfRule>
    <cfRule type="containsText" dxfId="1244" priority="1402" operator="containsText" text="Verde Água">
      <formula>NOT(ISERROR(SEARCH("Verde Água",W38)))</formula>
    </cfRule>
    <cfRule type="containsText" dxfId="1243" priority="1403" operator="containsText" text="Azul Petróleo">
      <formula>NOT(ISERROR(SEARCH("Azul Petróleo",W38)))</formula>
    </cfRule>
    <cfRule type="containsText" dxfId="1242" priority="1404" operator="containsText" text="Preto">
      <formula>NOT(ISERROR(SEARCH("Preto",W38)))</formula>
    </cfRule>
    <cfRule type="containsText" priority="1405" operator="containsText" text="Branco">
      <formula>NOT(ISERROR(SEARCH("Branco",W38)))</formula>
    </cfRule>
    <cfRule type="containsText" dxfId="1241" priority="1406" operator="containsText" text="Bege">
      <formula>NOT(ISERROR(SEARCH("Bege",W38)))</formula>
    </cfRule>
  </conditionalFormatting>
  <conditionalFormatting sqref="W38">
    <cfRule type="containsText" dxfId="1240" priority="1389" operator="containsText" text="Cinza">
      <formula>NOT(ISERROR(SEARCH("Cinza",W38)))</formula>
    </cfRule>
    <cfRule type="containsText" dxfId="1239" priority="1390" operator="containsText" text="Púrpura">
      <formula>NOT(ISERROR(SEARCH("Púrpura",W38)))</formula>
    </cfRule>
    <cfRule type="containsText" dxfId="1238" priority="1391" operator="containsText" text="Rosa">
      <formula>NOT(ISERROR(SEARCH("Rosa",W38)))</formula>
    </cfRule>
    <cfRule type="containsText" dxfId="1237" priority="1392" operator="containsText" text="Castanho">
      <formula>NOT(ISERROR(SEARCH("Castanho",W38)))</formula>
    </cfRule>
    <cfRule type="containsText" dxfId="1236" priority="1393" operator="containsText" text="Verde Água">
      <formula>NOT(ISERROR(SEARCH("Verde Água",W38)))</formula>
    </cfRule>
    <cfRule type="containsText" dxfId="1235" priority="1394" operator="containsText" text="Azul Petróleo">
      <formula>NOT(ISERROR(SEARCH("Azul Petróleo",W38)))</formula>
    </cfRule>
    <cfRule type="containsText" dxfId="1234" priority="1395" operator="containsText" text="Preto">
      <formula>NOT(ISERROR(SEARCH("Preto",W38)))</formula>
    </cfRule>
    <cfRule type="containsText" priority="1396" operator="containsText" text="Branco">
      <formula>NOT(ISERROR(SEARCH("Branco",W38)))</formula>
    </cfRule>
    <cfRule type="containsText" dxfId="1233" priority="1397" operator="containsText" text="Bege">
      <formula>NOT(ISERROR(SEARCH("Bege",W38)))</formula>
    </cfRule>
  </conditionalFormatting>
  <conditionalFormatting sqref="W38">
    <cfRule type="containsText" dxfId="1232" priority="1380" operator="containsText" text="Cinza">
      <formula>NOT(ISERROR(SEARCH("Cinza",W38)))</formula>
    </cfRule>
    <cfRule type="containsText" dxfId="1231" priority="1381" operator="containsText" text="Púrpura">
      <formula>NOT(ISERROR(SEARCH("Púrpura",W38)))</formula>
    </cfRule>
    <cfRule type="containsText" dxfId="1230" priority="1382" operator="containsText" text="Rosa">
      <formula>NOT(ISERROR(SEARCH("Rosa",W38)))</formula>
    </cfRule>
    <cfRule type="containsText" dxfId="1229" priority="1383" operator="containsText" text="Castanho">
      <formula>NOT(ISERROR(SEARCH("Castanho",W38)))</formula>
    </cfRule>
    <cfRule type="containsText" dxfId="1228" priority="1384" operator="containsText" text="Verde Água">
      <formula>NOT(ISERROR(SEARCH("Verde Água",W38)))</formula>
    </cfRule>
    <cfRule type="containsText" dxfId="1227" priority="1385" operator="containsText" text="Azul Petróleo">
      <formula>NOT(ISERROR(SEARCH("Azul Petróleo",W38)))</formula>
    </cfRule>
    <cfRule type="containsText" dxfId="1226" priority="1386" operator="containsText" text="Preto">
      <formula>NOT(ISERROR(SEARCH("Preto",W38)))</formula>
    </cfRule>
    <cfRule type="containsText" priority="1387" operator="containsText" text="Branco">
      <formula>NOT(ISERROR(SEARCH("Branco",W38)))</formula>
    </cfRule>
    <cfRule type="containsText" dxfId="1225" priority="1388" operator="containsText" text="Bege">
      <formula>NOT(ISERROR(SEARCH("Bege",W38)))</formula>
    </cfRule>
  </conditionalFormatting>
  <conditionalFormatting sqref="W38">
    <cfRule type="containsText" dxfId="1224" priority="1371" operator="containsText" text="Cinza">
      <formula>NOT(ISERROR(SEARCH("Cinza",W38)))</formula>
    </cfRule>
    <cfRule type="containsText" dxfId="1223" priority="1372" operator="containsText" text="Púrpura">
      <formula>NOT(ISERROR(SEARCH("Púrpura",W38)))</formula>
    </cfRule>
    <cfRule type="containsText" dxfId="1222" priority="1373" operator="containsText" text="Rosa">
      <formula>NOT(ISERROR(SEARCH("Rosa",W38)))</formula>
    </cfRule>
    <cfRule type="containsText" dxfId="1221" priority="1374" operator="containsText" text="Castanho">
      <formula>NOT(ISERROR(SEARCH("Castanho",W38)))</formula>
    </cfRule>
    <cfRule type="containsText" dxfId="1220" priority="1375" operator="containsText" text="Verde Água">
      <formula>NOT(ISERROR(SEARCH("Verde Água",W38)))</formula>
    </cfRule>
    <cfRule type="containsText" dxfId="1219" priority="1376" operator="containsText" text="Azul Petróleo">
      <formula>NOT(ISERROR(SEARCH("Azul Petróleo",W38)))</formula>
    </cfRule>
    <cfRule type="containsText" dxfId="1218" priority="1377" operator="containsText" text="Preto">
      <formula>NOT(ISERROR(SEARCH("Preto",W38)))</formula>
    </cfRule>
    <cfRule type="containsText" priority="1378" operator="containsText" text="Branco">
      <formula>NOT(ISERROR(SEARCH("Branco",W38)))</formula>
    </cfRule>
    <cfRule type="containsText" dxfId="1217" priority="1379" operator="containsText" text="Bege">
      <formula>NOT(ISERROR(SEARCH("Bege",W38)))</formula>
    </cfRule>
  </conditionalFormatting>
  <conditionalFormatting sqref="W38">
    <cfRule type="containsText" dxfId="1216" priority="1362" operator="containsText" text="Cinza">
      <formula>NOT(ISERROR(SEARCH("Cinza",W38)))</formula>
    </cfRule>
    <cfRule type="containsText" dxfId="1215" priority="1363" operator="containsText" text="Púrpura">
      <formula>NOT(ISERROR(SEARCH("Púrpura",W38)))</formula>
    </cfRule>
    <cfRule type="containsText" dxfId="1214" priority="1364" operator="containsText" text="Rosa">
      <formula>NOT(ISERROR(SEARCH("Rosa",W38)))</formula>
    </cfRule>
    <cfRule type="containsText" dxfId="1213" priority="1365" operator="containsText" text="Castanho">
      <formula>NOT(ISERROR(SEARCH("Castanho",W38)))</formula>
    </cfRule>
    <cfRule type="containsText" dxfId="1212" priority="1366" operator="containsText" text="Verde Água">
      <formula>NOT(ISERROR(SEARCH("Verde Água",W38)))</formula>
    </cfRule>
    <cfRule type="containsText" dxfId="1211" priority="1367" operator="containsText" text="Azul Petróleo">
      <formula>NOT(ISERROR(SEARCH("Azul Petróleo",W38)))</formula>
    </cfRule>
    <cfRule type="containsText" dxfId="1210" priority="1368" operator="containsText" text="Preto">
      <formula>NOT(ISERROR(SEARCH("Preto",W38)))</formula>
    </cfRule>
    <cfRule type="containsText" priority="1369" operator="containsText" text="Branco">
      <formula>NOT(ISERROR(SEARCH("Branco",W38)))</formula>
    </cfRule>
    <cfRule type="containsText" dxfId="1209" priority="1370" operator="containsText" text="Bege">
      <formula>NOT(ISERROR(SEARCH("Bege",W38)))</formula>
    </cfRule>
  </conditionalFormatting>
  <conditionalFormatting sqref="W38">
    <cfRule type="containsText" dxfId="1208" priority="1353" operator="containsText" text="Cinza">
      <formula>NOT(ISERROR(SEARCH("Cinza",W38)))</formula>
    </cfRule>
    <cfRule type="containsText" dxfId="1207" priority="1354" operator="containsText" text="Púrpura">
      <formula>NOT(ISERROR(SEARCH("Púrpura",W38)))</formula>
    </cfRule>
    <cfRule type="containsText" dxfId="1206" priority="1355" operator="containsText" text="Rosa">
      <formula>NOT(ISERROR(SEARCH("Rosa",W38)))</formula>
    </cfRule>
    <cfRule type="containsText" dxfId="1205" priority="1356" operator="containsText" text="Castanho">
      <formula>NOT(ISERROR(SEARCH("Castanho",W38)))</formula>
    </cfRule>
    <cfRule type="containsText" dxfId="1204" priority="1357" operator="containsText" text="Verde Água">
      <formula>NOT(ISERROR(SEARCH("Verde Água",W38)))</formula>
    </cfRule>
    <cfRule type="containsText" dxfId="1203" priority="1358" operator="containsText" text="Azul Petróleo">
      <formula>NOT(ISERROR(SEARCH("Azul Petróleo",W38)))</formula>
    </cfRule>
    <cfRule type="containsText" dxfId="1202" priority="1359" operator="containsText" text="Preto">
      <formula>NOT(ISERROR(SEARCH("Preto",W38)))</formula>
    </cfRule>
    <cfRule type="containsText" priority="1360" operator="containsText" text="Branco">
      <formula>NOT(ISERROR(SEARCH("Branco",W38)))</formula>
    </cfRule>
    <cfRule type="containsText" dxfId="1201" priority="1361" operator="containsText" text="Bege">
      <formula>NOT(ISERROR(SEARCH("Bege",W38)))</formula>
    </cfRule>
  </conditionalFormatting>
  <conditionalFormatting sqref="W38">
    <cfRule type="containsText" dxfId="1200" priority="1344" operator="containsText" text="Cinza">
      <formula>NOT(ISERROR(SEARCH("Cinza",W38)))</formula>
    </cfRule>
    <cfRule type="containsText" dxfId="1199" priority="1345" operator="containsText" text="Púrpura">
      <formula>NOT(ISERROR(SEARCH("Púrpura",W38)))</formula>
    </cfRule>
    <cfRule type="containsText" dxfId="1198" priority="1346" operator="containsText" text="Rosa">
      <formula>NOT(ISERROR(SEARCH("Rosa",W38)))</formula>
    </cfRule>
    <cfRule type="containsText" dxfId="1197" priority="1347" operator="containsText" text="Castanho">
      <formula>NOT(ISERROR(SEARCH("Castanho",W38)))</formula>
    </cfRule>
    <cfRule type="containsText" dxfId="1196" priority="1348" operator="containsText" text="Verde Água">
      <formula>NOT(ISERROR(SEARCH("Verde Água",W38)))</formula>
    </cfRule>
    <cfRule type="containsText" dxfId="1195" priority="1349" operator="containsText" text="Azul Petróleo">
      <formula>NOT(ISERROR(SEARCH("Azul Petróleo",W38)))</formula>
    </cfRule>
    <cfRule type="containsText" dxfId="1194" priority="1350" operator="containsText" text="Preto">
      <formula>NOT(ISERROR(SEARCH("Preto",W38)))</formula>
    </cfRule>
    <cfRule type="containsText" priority="1351" operator="containsText" text="Branco">
      <formula>NOT(ISERROR(SEARCH("Branco",W38)))</formula>
    </cfRule>
    <cfRule type="containsText" dxfId="1193" priority="1352" operator="containsText" text="Bege">
      <formula>NOT(ISERROR(SEARCH("Bege",W38)))</formula>
    </cfRule>
  </conditionalFormatting>
  <conditionalFormatting sqref="W38">
    <cfRule type="containsText" dxfId="1192" priority="1335" operator="containsText" text="Cinza">
      <formula>NOT(ISERROR(SEARCH("Cinza",W38)))</formula>
    </cfRule>
    <cfRule type="containsText" dxfId="1191" priority="1336" operator="containsText" text="Púrpura">
      <formula>NOT(ISERROR(SEARCH("Púrpura",W38)))</formula>
    </cfRule>
    <cfRule type="containsText" dxfId="1190" priority="1337" operator="containsText" text="Rosa">
      <formula>NOT(ISERROR(SEARCH("Rosa",W38)))</formula>
    </cfRule>
    <cfRule type="containsText" dxfId="1189" priority="1338" operator="containsText" text="Castanho">
      <formula>NOT(ISERROR(SEARCH("Castanho",W38)))</formula>
    </cfRule>
    <cfRule type="containsText" dxfId="1188" priority="1339" operator="containsText" text="Verde Água">
      <formula>NOT(ISERROR(SEARCH("Verde Água",W38)))</formula>
    </cfRule>
    <cfRule type="containsText" dxfId="1187" priority="1340" operator="containsText" text="Azul Petróleo">
      <formula>NOT(ISERROR(SEARCH("Azul Petróleo",W38)))</formula>
    </cfRule>
    <cfRule type="containsText" dxfId="1186" priority="1341" operator="containsText" text="Preto">
      <formula>NOT(ISERROR(SEARCH("Preto",W38)))</formula>
    </cfRule>
    <cfRule type="containsText" priority="1342" operator="containsText" text="Branco">
      <formula>NOT(ISERROR(SEARCH("Branco",W38)))</formula>
    </cfRule>
    <cfRule type="containsText" dxfId="1185" priority="1343" operator="containsText" text="Bege">
      <formula>NOT(ISERROR(SEARCH("Bege",W38)))</formula>
    </cfRule>
  </conditionalFormatting>
  <conditionalFormatting sqref="W38">
    <cfRule type="containsText" dxfId="1184" priority="1326" operator="containsText" text="Cinza">
      <formula>NOT(ISERROR(SEARCH("Cinza",W38)))</formula>
    </cfRule>
    <cfRule type="containsText" dxfId="1183" priority="1327" operator="containsText" text="Púrpura">
      <formula>NOT(ISERROR(SEARCH("Púrpura",W38)))</formula>
    </cfRule>
    <cfRule type="containsText" dxfId="1182" priority="1328" operator="containsText" text="Rosa">
      <formula>NOT(ISERROR(SEARCH("Rosa",W38)))</formula>
    </cfRule>
    <cfRule type="containsText" dxfId="1181" priority="1329" operator="containsText" text="Castanho">
      <formula>NOT(ISERROR(SEARCH("Castanho",W38)))</formula>
    </cfRule>
    <cfRule type="containsText" dxfId="1180" priority="1330" operator="containsText" text="Verde Água">
      <formula>NOT(ISERROR(SEARCH("Verde Água",W38)))</formula>
    </cfRule>
    <cfRule type="containsText" dxfId="1179" priority="1331" operator="containsText" text="Azul Petróleo">
      <formula>NOT(ISERROR(SEARCH("Azul Petróleo",W38)))</formula>
    </cfRule>
    <cfRule type="containsText" dxfId="1178" priority="1332" operator="containsText" text="Preto">
      <formula>NOT(ISERROR(SEARCH("Preto",W38)))</formula>
    </cfRule>
    <cfRule type="containsText" priority="1333" operator="containsText" text="Branco">
      <formula>NOT(ISERROR(SEARCH("Branco",W38)))</formula>
    </cfRule>
    <cfRule type="containsText" dxfId="1177" priority="1334" operator="containsText" text="Bege">
      <formula>NOT(ISERROR(SEARCH("Bege",W38)))</formula>
    </cfRule>
  </conditionalFormatting>
  <conditionalFormatting sqref="W38">
    <cfRule type="containsText" dxfId="1176" priority="1317" operator="containsText" text="Cinza">
      <formula>NOT(ISERROR(SEARCH("Cinza",W38)))</formula>
    </cfRule>
    <cfRule type="containsText" dxfId="1175" priority="1318" operator="containsText" text="Púrpura">
      <formula>NOT(ISERROR(SEARCH("Púrpura",W38)))</formula>
    </cfRule>
    <cfRule type="containsText" dxfId="1174" priority="1319" operator="containsText" text="Rosa">
      <formula>NOT(ISERROR(SEARCH("Rosa",W38)))</formula>
    </cfRule>
    <cfRule type="containsText" dxfId="1173" priority="1320" operator="containsText" text="Castanho">
      <formula>NOT(ISERROR(SEARCH("Castanho",W38)))</formula>
    </cfRule>
    <cfRule type="containsText" dxfId="1172" priority="1321" operator="containsText" text="Verde Água">
      <formula>NOT(ISERROR(SEARCH("Verde Água",W38)))</formula>
    </cfRule>
    <cfRule type="containsText" dxfId="1171" priority="1322" operator="containsText" text="Azul Petróleo">
      <formula>NOT(ISERROR(SEARCH("Azul Petróleo",W38)))</formula>
    </cfRule>
    <cfRule type="containsText" dxfId="1170" priority="1323" operator="containsText" text="Preto">
      <formula>NOT(ISERROR(SEARCH("Preto",W38)))</formula>
    </cfRule>
    <cfRule type="containsText" priority="1324" operator="containsText" text="Branco">
      <formula>NOT(ISERROR(SEARCH("Branco",W38)))</formula>
    </cfRule>
    <cfRule type="containsText" dxfId="1169" priority="1325" operator="containsText" text="Bege">
      <formula>NOT(ISERROR(SEARCH("Bege",W38)))</formula>
    </cfRule>
  </conditionalFormatting>
  <conditionalFormatting sqref="W38">
    <cfRule type="containsText" dxfId="1168" priority="1308" operator="containsText" text="Escuro">
      <formula>NOT(ISERROR(SEARCH("Escuro",W38)))</formula>
    </cfRule>
    <cfRule type="containsText" dxfId="1167" priority="1309" operator="containsText" text="Cinza">
      <formula>NOT(ISERROR(SEARCH("Cinza",W38)))</formula>
    </cfRule>
    <cfRule type="containsText" dxfId="1166" priority="1310" operator="containsText" text="Púrpura">
      <formula>NOT(ISERROR(SEARCH("Púrpura",W38)))</formula>
    </cfRule>
    <cfRule type="containsText" dxfId="1165" priority="1311" operator="containsText" text="Rosa">
      <formula>NOT(ISERROR(SEARCH("Rosa",W38)))</formula>
    </cfRule>
    <cfRule type="containsText" dxfId="1164" priority="1312" operator="containsText" text="Castanho">
      <formula>NOT(ISERROR(SEARCH("Castanho",W38)))</formula>
    </cfRule>
    <cfRule type="containsText" dxfId="1163" priority="1313" operator="containsText" text="Verde Água">
      <formula>NOT(ISERROR(SEARCH("Verde Água",W38)))</formula>
    </cfRule>
    <cfRule type="containsText" dxfId="1162" priority="1314" operator="containsText" text="Azul Petróleo">
      <formula>NOT(ISERROR(SEARCH("Azul Petróleo",W38)))</formula>
    </cfRule>
    <cfRule type="containsText" dxfId="1161" priority="1315" operator="containsText" text="Preto">
      <formula>NOT(ISERROR(SEARCH("Preto",W38)))</formula>
    </cfRule>
    <cfRule type="containsText" priority="1316" operator="containsText" text="Branco">
      <formula>NOT(ISERROR(SEARCH("Branco",W38)))</formula>
    </cfRule>
  </conditionalFormatting>
  <conditionalFormatting sqref="W42">
    <cfRule type="containsText" dxfId="1160" priority="1299" operator="containsText" text="Cinza">
      <formula>NOT(ISERROR(SEARCH("Cinza",W42)))</formula>
    </cfRule>
    <cfRule type="containsText" dxfId="1159" priority="1300" operator="containsText" text="Púrpura">
      <formula>NOT(ISERROR(SEARCH("Púrpura",W42)))</formula>
    </cfRule>
    <cfRule type="containsText" dxfId="1158" priority="1301" operator="containsText" text="Rosa">
      <formula>NOT(ISERROR(SEARCH("Rosa",W42)))</formula>
    </cfRule>
    <cfRule type="containsText" dxfId="1157" priority="1302" operator="containsText" text="Castanho">
      <formula>NOT(ISERROR(SEARCH("Castanho",W42)))</formula>
    </cfRule>
    <cfRule type="containsText" dxfId="1156" priority="1303" operator="containsText" text="Verde Água">
      <formula>NOT(ISERROR(SEARCH("Verde Água",W42)))</formula>
    </cfRule>
    <cfRule type="containsText" dxfId="1155" priority="1304" operator="containsText" text="Azul Petróleo">
      <formula>NOT(ISERROR(SEARCH("Azul Petróleo",W42)))</formula>
    </cfRule>
    <cfRule type="containsText" dxfId="1154" priority="1305" operator="containsText" text="Preto">
      <formula>NOT(ISERROR(SEARCH("Preto",W42)))</formula>
    </cfRule>
    <cfRule type="containsText" priority="1306" operator="containsText" text="Branco">
      <formula>NOT(ISERROR(SEARCH("Branco",W42)))</formula>
    </cfRule>
    <cfRule type="containsText" dxfId="1153" priority="1307" operator="containsText" text="Bege">
      <formula>NOT(ISERROR(SEARCH("Bege",W42)))</formula>
    </cfRule>
  </conditionalFormatting>
  <conditionalFormatting sqref="W42">
    <cfRule type="containsText" dxfId="1152" priority="1290" operator="containsText" text="Cinza">
      <formula>NOT(ISERROR(SEARCH("Cinza",W42)))</formula>
    </cfRule>
    <cfRule type="containsText" dxfId="1151" priority="1291" operator="containsText" text="Púrpura">
      <formula>NOT(ISERROR(SEARCH("Púrpura",W42)))</formula>
    </cfRule>
    <cfRule type="containsText" dxfId="1150" priority="1292" operator="containsText" text="Rosa">
      <formula>NOT(ISERROR(SEARCH("Rosa",W42)))</formula>
    </cfRule>
    <cfRule type="containsText" dxfId="1149" priority="1293" operator="containsText" text="Castanho">
      <formula>NOT(ISERROR(SEARCH("Castanho",W42)))</formula>
    </cfRule>
    <cfRule type="containsText" dxfId="1148" priority="1294" operator="containsText" text="Verde Água">
      <formula>NOT(ISERROR(SEARCH("Verde Água",W42)))</formula>
    </cfRule>
    <cfRule type="containsText" dxfId="1147" priority="1295" operator="containsText" text="Azul Petróleo">
      <formula>NOT(ISERROR(SEARCH("Azul Petróleo",W42)))</formula>
    </cfRule>
    <cfRule type="containsText" dxfId="1146" priority="1296" operator="containsText" text="Preto">
      <formula>NOT(ISERROR(SEARCH("Preto",W42)))</formula>
    </cfRule>
    <cfRule type="containsText" priority="1297" operator="containsText" text="Branco">
      <formula>NOT(ISERROR(SEARCH("Branco",W42)))</formula>
    </cfRule>
    <cfRule type="containsText" dxfId="1145" priority="1298" operator="containsText" text="Bege">
      <formula>NOT(ISERROR(SEARCH("Bege",W42)))</formula>
    </cfRule>
  </conditionalFormatting>
  <conditionalFormatting sqref="W42">
    <cfRule type="containsText" dxfId="1144" priority="1281" operator="containsText" text="Cinza">
      <formula>NOT(ISERROR(SEARCH("Cinza",W42)))</formula>
    </cfRule>
    <cfRule type="containsText" dxfId="1143" priority="1282" operator="containsText" text="Púrpura">
      <formula>NOT(ISERROR(SEARCH("Púrpura",W42)))</formula>
    </cfRule>
    <cfRule type="containsText" dxfId="1142" priority="1283" operator="containsText" text="Rosa">
      <formula>NOT(ISERROR(SEARCH("Rosa",W42)))</formula>
    </cfRule>
    <cfRule type="containsText" dxfId="1141" priority="1284" operator="containsText" text="Castanho">
      <formula>NOT(ISERROR(SEARCH("Castanho",W42)))</formula>
    </cfRule>
    <cfRule type="containsText" dxfId="1140" priority="1285" operator="containsText" text="Verde Água">
      <formula>NOT(ISERROR(SEARCH("Verde Água",W42)))</formula>
    </cfRule>
    <cfRule type="containsText" dxfId="1139" priority="1286" operator="containsText" text="Azul Petróleo">
      <formula>NOT(ISERROR(SEARCH("Azul Petróleo",W42)))</formula>
    </cfRule>
    <cfRule type="containsText" dxfId="1138" priority="1287" operator="containsText" text="Preto">
      <formula>NOT(ISERROR(SEARCH("Preto",W42)))</formula>
    </cfRule>
    <cfRule type="containsText" priority="1288" operator="containsText" text="Branco">
      <formula>NOT(ISERROR(SEARCH("Branco",W42)))</formula>
    </cfRule>
    <cfRule type="containsText" dxfId="1137" priority="1289" operator="containsText" text="Bege">
      <formula>NOT(ISERROR(SEARCH("Bege",W42)))</formula>
    </cfRule>
  </conditionalFormatting>
  <conditionalFormatting sqref="W42">
    <cfRule type="containsText" dxfId="1136" priority="1272" operator="containsText" text="Cinza">
      <formula>NOT(ISERROR(SEARCH("Cinza",W42)))</formula>
    </cfRule>
    <cfRule type="containsText" dxfId="1135" priority="1273" operator="containsText" text="Púrpura">
      <formula>NOT(ISERROR(SEARCH("Púrpura",W42)))</formula>
    </cfRule>
    <cfRule type="containsText" dxfId="1134" priority="1274" operator="containsText" text="Rosa">
      <formula>NOT(ISERROR(SEARCH("Rosa",W42)))</formula>
    </cfRule>
    <cfRule type="containsText" dxfId="1133" priority="1275" operator="containsText" text="Castanho">
      <formula>NOT(ISERROR(SEARCH("Castanho",W42)))</formula>
    </cfRule>
    <cfRule type="containsText" dxfId="1132" priority="1276" operator="containsText" text="Verde Água">
      <formula>NOT(ISERROR(SEARCH("Verde Água",W42)))</formula>
    </cfRule>
    <cfRule type="containsText" dxfId="1131" priority="1277" operator="containsText" text="Azul Petróleo">
      <formula>NOT(ISERROR(SEARCH("Azul Petróleo",W42)))</formula>
    </cfRule>
    <cfRule type="containsText" dxfId="1130" priority="1278" operator="containsText" text="Preto">
      <formula>NOT(ISERROR(SEARCH("Preto",W42)))</formula>
    </cfRule>
    <cfRule type="containsText" priority="1279" operator="containsText" text="Branco">
      <formula>NOT(ISERROR(SEARCH("Branco",W42)))</formula>
    </cfRule>
    <cfRule type="containsText" dxfId="1129" priority="1280" operator="containsText" text="Bege">
      <formula>NOT(ISERROR(SEARCH("Bege",W42)))</formula>
    </cfRule>
  </conditionalFormatting>
  <conditionalFormatting sqref="W42">
    <cfRule type="containsText" dxfId="1128" priority="1263" operator="containsText" text="Cinza">
      <formula>NOT(ISERROR(SEARCH("Cinza",W42)))</formula>
    </cfRule>
    <cfRule type="containsText" dxfId="1127" priority="1264" operator="containsText" text="Púrpura">
      <formula>NOT(ISERROR(SEARCH("Púrpura",W42)))</formula>
    </cfRule>
    <cfRule type="containsText" dxfId="1126" priority="1265" operator="containsText" text="Rosa">
      <formula>NOT(ISERROR(SEARCH("Rosa",W42)))</formula>
    </cfRule>
    <cfRule type="containsText" dxfId="1125" priority="1266" operator="containsText" text="Castanho">
      <formula>NOT(ISERROR(SEARCH("Castanho",W42)))</formula>
    </cfRule>
    <cfRule type="containsText" dxfId="1124" priority="1267" operator="containsText" text="Verde Água">
      <formula>NOT(ISERROR(SEARCH("Verde Água",W42)))</formula>
    </cfRule>
    <cfRule type="containsText" dxfId="1123" priority="1268" operator="containsText" text="Azul Petróleo">
      <formula>NOT(ISERROR(SEARCH("Azul Petróleo",W42)))</formula>
    </cfRule>
    <cfRule type="containsText" dxfId="1122" priority="1269" operator="containsText" text="Preto">
      <formula>NOT(ISERROR(SEARCH("Preto",W42)))</formula>
    </cfRule>
    <cfRule type="containsText" priority="1270" operator="containsText" text="Branco">
      <formula>NOT(ISERROR(SEARCH("Branco",W42)))</formula>
    </cfRule>
    <cfRule type="containsText" dxfId="1121" priority="1271" operator="containsText" text="Bege">
      <formula>NOT(ISERROR(SEARCH("Bege",W42)))</formula>
    </cfRule>
  </conditionalFormatting>
  <conditionalFormatting sqref="W42">
    <cfRule type="containsText" dxfId="1120" priority="1254" operator="containsText" text="Cinza">
      <formula>NOT(ISERROR(SEARCH("Cinza",W42)))</formula>
    </cfRule>
    <cfRule type="containsText" dxfId="1119" priority="1255" operator="containsText" text="Púrpura">
      <formula>NOT(ISERROR(SEARCH("Púrpura",W42)))</formula>
    </cfRule>
    <cfRule type="containsText" dxfId="1118" priority="1256" operator="containsText" text="Rosa">
      <formula>NOT(ISERROR(SEARCH("Rosa",W42)))</formula>
    </cfRule>
    <cfRule type="containsText" dxfId="1117" priority="1257" operator="containsText" text="Castanho">
      <formula>NOT(ISERROR(SEARCH("Castanho",W42)))</formula>
    </cfRule>
    <cfRule type="containsText" dxfId="1116" priority="1258" operator="containsText" text="Verde Água">
      <formula>NOT(ISERROR(SEARCH("Verde Água",W42)))</formula>
    </cfRule>
    <cfRule type="containsText" dxfId="1115" priority="1259" operator="containsText" text="Azul Petróleo">
      <formula>NOT(ISERROR(SEARCH("Azul Petróleo",W42)))</formula>
    </cfRule>
    <cfRule type="containsText" dxfId="1114" priority="1260" operator="containsText" text="Preto">
      <formula>NOT(ISERROR(SEARCH("Preto",W42)))</formula>
    </cfRule>
    <cfRule type="containsText" priority="1261" operator="containsText" text="Branco">
      <formula>NOT(ISERROR(SEARCH("Branco",W42)))</formula>
    </cfRule>
    <cfRule type="containsText" dxfId="1113" priority="1262" operator="containsText" text="Bege">
      <formula>NOT(ISERROR(SEARCH("Bege",W42)))</formula>
    </cfRule>
  </conditionalFormatting>
  <conditionalFormatting sqref="W42">
    <cfRule type="containsText" dxfId="1112" priority="1245" operator="containsText" text="Cinza">
      <formula>NOT(ISERROR(SEARCH("Cinza",W42)))</formula>
    </cfRule>
    <cfRule type="containsText" dxfId="1111" priority="1246" operator="containsText" text="Púrpura">
      <formula>NOT(ISERROR(SEARCH("Púrpura",W42)))</formula>
    </cfRule>
    <cfRule type="containsText" dxfId="1110" priority="1247" operator="containsText" text="Rosa">
      <formula>NOT(ISERROR(SEARCH("Rosa",W42)))</formula>
    </cfRule>
    <cfRule type="containsText" dxfId="1109" priority="1248" operator="containsText" text="Castanho">
      <formula>NOT(ISERROR(SEARCH("Castanho",W42)))</formula>
    </cfRule>
    <cfRule type="containsText" dxfId="1108" priority="1249" operator="containsText" text="Verde Água">
      <formula>NOT(ISERROR(SEARCH("Verde Água",W42)))</formula>
    </cfRule>
    <cfRule type="containsText" dxfId="1107" priority="1250" operator="containsText" text="Azul Petróleo">
      <formula>NOT(ISERROR(SEARCH("Azul Petróleo",W42)))</formula>
    </cfRule>
    <cfRule type="containsText" dxfId="1106" priority="1251" operator="containsText" text="Preto">
      <formula>NOT(ISERROR(SEARCH("Preto",W42)))</formula>
    </cfRule>
    <cfRule type="containsText" priority="1252" operator="containsText" text="Branco">
      <formula>NOT(ISERROR(SEARCH("Branco",W42)))</formula>
    </cfRule>
    <cfRule type="containsText" dxfId="1105" priority="1253" operator="containsText" text="Bege">
      <formula>NOT(ISERROR(SEARCH("Bege",W42)))</formula>
    </cfRule>
  </conditionalFormatting>
  <conditionalFormatting sqref="W42">
    <cfRule type="containsText" dxfId="1104" priority="1236" operator="containsText" text="Cinza">
      <formula>NOT(ISERROR(SEARCH("Cinza",W42)))</formula>
    </cfRule>
    <cfRule type="containsText" dxfId="1103" priority="1237" operator="containsText" text="Púrpura">
      <formula>NOT(ISERROR(SEARCH("Púrpura",W42)))</formula>
    </cfRule>
    <cfRule type="containsText" dxfId="1102" priority="1238" operator="containsText" text="Rosa">
      <formula>NOT(ISERROR(SEARCH("Rosa",W42)))</formula>
    </cfRule>
    <cfRule type="containsText" dxfId="1101" priority="1239" operator="containsText" text="Castanho">
      <formula>NOT(ISERROR(SEARCH("Castanho",W42)))</formula>
    </cfRule>
    <cfRule type="containsText" dxfId="1100" priority="1240" operator="containsText" text="Verde Água">
      <formula>NOT(ISERROR(SEARCH("Verde Água",W42)))</formula>
    </cfRule>
    <cfRule type="containsText" dxfId="1099" priority="1241" operator="containsText" text="Azul Petróleo">
      <formula>NOT(ISERROR(SEARCH("Azul Petróleo",W42)))</formula>
    </cfRule>
    <cfRule type="containsText" dxfId="1098" priority="1242" operator="containsText" text="Preto">
      <formula>NOT(ISERROR(SEARCH("Preto",W42)))</formula>
    </cfRule>
    <cfRule type="containsText" priority="1243" operator="containsText" text="Branco">
      <formula>NOT(ISERROR(SEARCH("Branco",W42)))</formula>
    </cfRule>
    <cfRule type="containsText" dxfId="1097" priority="1244" operator="containsText" text="Bege">
      <formula>NOT(ISERROR(SEARCH("Bege",W42)))</formula>
    </cfRule>
  </conditionalFormatting>
  <conditionalFormatting sqref="W42">
    <cfRule type="containsText" dxfId="1096" priority="1227" operator="containsText" text="Cinza">
      <formula>NOT(ISERROR(SEARCH("Cinza",W42)))</formula>
    </cfRule>
    <cfRule type="containsText" dxfId="1095" priority="1228" operator="containsText" text="Púrpura">
      <formula>NOT(ISERROR(SEARCH("Púrpura",W42)))</formula>
    </cfRule>
    <cfRule type="containsText" dxfId="1094" priority="1229" operator="containsText" text="Rosa">
      <formula>NOT(ISERROR(SEARCH("Rosa",W42)))</formula>
    </cfRule>
    <cfRule type="containsText" dxfId="1093" priority="1230" operator="containsText" text="Castanho">
      <formula>NOT(ISERROR(SEARCH("Castanho",W42)))</formula>
    </cfRule>
    <cfRule type="containsText" dxfId="1092" priority="1231" operator="containsText" text="Verde Água">
      <formula>NOT(ISERROR(SEARCH("Verde Água",W42)))</formula>
    </cfRule>
    <cfRule type="containsText" dxfId="1091" priority="1232" operator="containsText" text="Azul Petróleo">
      <formula>NOT(ISERROR(SEARCH("Azul Petróleo",W42)))</formula>
    </cfRule>
    <cfRule type="containsText" dxfId="1090" priority="1233" operator="containsText" text="Preto">
      <formula>NOT(ISERROR(SEARCH("Preto",W42)))</formula>
    </cfRule>
    <cfRule type="containsText" priority="1234" operator="containsText" text="Branco">
      <formula>NOT(ISERROR(SEARCH("Branco",W42)))</formula>
    </cfRule>
    <cfRule type="containsText" dxfId="1089" priority="1235" operator="containsText" text="Bege">
      <formula>NOT(ISERROR(SEARCH("Bege",W42)))</formula>
    </cfRule>
  </conditionalFormatting>
  <conditionalFormatting sqref="W42">
    <cfRule type="containsText" dxfId="1088" priority="1218" operator="containsText" text="Cinza">
      <formula>NOT(ISERROR(SEARCH("Cinza",W42)))</formula>
    </cfRule>
    <cfRule type="containsText" dxfId="1087" priority="1219" operator="containsText" text="Púrpura">
      <formula>NOT(ISERROR(SEARCH("Púrpura",W42)))</formula>
    </cfRule>
    <cfRule type="containsText" dxfId="1086" priority="1220" operator="containsText" text="Rosa">
      <formula>NOT(ISERROR(SEARCH("Rosa",W42)))</formula>
    </cfRule>
    <cfRule type="containsText" dxfId="1085" priority="1221" operator="containsText" text="Castanho">
      <formula>NOT(ISERROR(SEARCH("Castanho",W42)))</formula>
    </cfRule>
    <cfRule type="containsText" dxfId="1084" priority="1222" operator="containsText" text="Verde Água">
      <formula>NOT(ISERROR(SEARCH("Verde Água",W42)))</formula>
    </cfRule>
    <cfRule type="containsText" dxfId="1083" priority="1223" operator="containsText" text="Azul Petróleo">
      <formula>NOT(ISERROR(SEARCH("Azul Petróleo",W42)))</formula>
    </cfRule>
    <cfRule type="containsText" dxfId="1082" priority="1224" operator="containsText" text="Preto">
      <formula>NOT(ISERROR(SEARCH("Preto",W42)))</formula>
    </cfRule>
    <cfRule type="containsText" priority="1225" operator="containsText" text="Branco">
      <formula>NOT(ISERROR(SEARCH("Branco",W42)))</formula>
    </cfRule>
    <cfRule type="containsText" dxfId="1081" priority="1226" operator="containsText" text="Bege">
      <formula>NOT(ISERROR(SEARCH("Bege",W42)))</formula>
    </cfRule>
  </conditionalFormatting>
  <conditionalFormatting sqref="W42">
    <cfRule type="containsText" dxfId="1080" priority="1209" operator="containsText" text="Cinza">
      <formula>NOT(ISERROR(SEARCH("Cinza",W42)))</formula>
    </cfRule>
    <cfRule type="containsText" dxfId="1079" priority="1210" operator="containsText" text="Púrpura">
      <formula>NOT(ISERROR(SEARCH("Púrpura",W42)))</formula>
    </cfRule>
    <cfRule type="containsText" dxfId="1078" priority="1211" operator="containsText" text="Rosa">
      <formula>NOT(ISERROR(SEARCH("Rosa",W42)))</formula>
    </cfRule>
    <cfRule type="containsText" dxfId="1077" priority="1212" operator="containsText" text="Castanho">
      <formula>NOT(ISERROR(SEARCH("Castanho",W42)))</formula>
    </cfRule>
    <cfRule type="containsText" dxfId="1076" priority="1213" operator="containsText" text="Verde Água">
      <formula>NOT(ISERROR(SEARCH("Verde Água",W42)))</formula>
    </cfRule>
    <cfRule type="containsText" dxfId="1075" priority="1214" operator="containsText" text="Azul Petróleo">
      <formula>NOT(ISERROR(SEARCH("Azul Petróleo",W42)))</formula>
    </cfRule>
    <cfRule type="containsText" dxfId="1074" priority="1215" operator="containsText" text="Preto">
      <formula>NOT(ISERROR(SEARCH("Preto",W42)))</formula>
    </cfRule>
    <cfRule type="containsText" priority="1216" operator="containsText" text="Branco">
      <formula>NOT(ISERROR(SEARCH("Branco",W42)))</formula>
    </cfRule>
    <cfRule type="containsText" dxfId="1073" priority="1217" operator="containsText" text="Bege">
      <formula>NOT(ISERROR(SEARCH("Bege",W42)))</formula>
    </cfRule>
  </conditionalFormatting>
  <conditionalFormatting sqref="W42">
    <cfRule type="containsText" dxfId="1072" priority="1200" operator="containsText" text="Cinza">
      <formula>NOT(ISERROR(SEARCH("Cinza",W42)))</formula>
    </cfRule>
    <cfRule type="containsText" dxfId="1071" priority="1201" operator="containsText" text="Púrpura">
      <formula>NOT(ISERROR(SEARCH("Púrpura",W42)))</formula>
    </cfRule>
    <cfRule type="containsText" dxfId="1070" priority="1202" operator="containsText" text="Rosa">
      <formula>NOT(ISERROR(SEARCH("Rosa",W42)))</formula>
    </cfRule>
    <cfRule type="containsText" dxfId="1069" priority="1203" operator="containsText" text="Castanho">
      <formula>NOT(ISERROR(SEARCH("Castanho",W42)))</formula>
    </cfRule>
    <cfRule type="containsText" dxfId="1068" priority="1204" operator="containsText" text="Verde Água">
      <formula>NOT(ISERROR(SEARCH("Verde Água",W42)))</formula>
    </cfRule>
    <cfRule type="containsText" dxfId="1067" priority="1205" operator="containsText" text="Azul Petróleo">
      <formula>NOT(ISERROR(SEARCH("Azul Petróleo",W42)))</formula>
    </cfRule>
    <cfRule type="containsText" dxfId="1066" priority="1206" operator="containsText" text="Preto">
      <formula>NOT(ISERROR(SEARCH("Preto",W42)))</formula>
    </cfRule>
    <cfRule type="containsText" priority="1207" operator="containsText" text="Branco">
      <formula>NOT(ISERROR(SEARCH("Branco",W42)))</formula>
    </cfRule>
    <cfRule type="containsText" dxfId="1065" priority="1208" operator="containsText" text="Bege">
      <formula>NOT(ISERROR(SEARCH("Bege",W42)))</formula>
    </cfRule>
  </conditionalFormatting>
  <conditionalFormatting sqref="W42">
    <cfRule type="containsText" dxfId="1064" priority="1191" operator="containsText" text="Cinza">
      <formula>NOT(ISERROR(SEARCH("Cinza",W42)))</formula>
    </cfRule>
    <cfRule type="containsText" dxfId="1063" priority="1192" operator="containsText" text="Púrpura">
      <formula>NOT(ISERROR(SEARCH("Púrpura",W42)))</formula>
    </cfRule>
    <cfRule type="containsText" dxfId="1062" priority="1193" operator="containsText" text="Rosa">
      <formula>NOT(ISERROR(SEARCH("Rosa",W42)))</formula>
    </cfRule>
    <cfRule type="containsText" dxfId="1061" priority="1194" operator="containsText" text="Castanho">
      <formula>NOT(ISERROR(SEARCH("Castanho",W42)))</formula>
    </cfRule>
    <cfRule type="containsText" dxfId="1060" priority="1195" operator="containsText" text="Verde Água">
      <formula>NOT(ISERROR(SEARCH("Verde Água",W42)))</formula>
    </cfRule>
    <cfRule type="containsText" dxfId="1059" priority="1196" operator="containsText" text="Azul Petróleo">
      <formula>NOT(ISERROR(SEARCH("Azul Petróleo",W42)))</formula>
    </cfRule>
    <cfRule type="containsText" dxfId="1058" priority="1197" operator="containsText" text="Preto">
      <formula>NOT(ISERROR(SEARCH("Preto",W42)))</formula>
    </cfRule>
    <cfRule type="containsText" priority="1198" operator="containsText" text="Branco">
      <formula>NOT(ISERROR(SEARCH("Branco",W42)))</formula>
    </cfRule>
    <cfRule type="containsText" dxfId="1057" priority="1199" operator="containsText" text="Bege">
      <formula>NOT(ISERROR(SEARCH("Bege",W42)))</formula>
    </cfRule>
  </conditionalFormatting>
  <conditionalFormatting sqref="W42">
    <cfRule type="containsText" dxfId="1056" priority="1182" operator="containsText" text="Cinza">
      <formula>NOT(ISERROR(SEARCH("Cinza",W42)))</formula>
    </cfRule>
    <cfRule type="containsText" dxfId="1055" priority="1183" operator="containsText" text="Púrpura">
      <formula>NOT(ISERROR(SEARCH("Púrpura",W42)))</formula>
    </cfRule>
    <cfRule type="containsText" dxfId="1054" priority="1184" operator="containsText" text="Rosa">
      <formula>NOT(ISERROR(SEARCH("Rosa",W42)))</formula>
    </cfRule>
    <cfRule type="containsText" dxfId="1053" priority="1185" operator="containsText" text="Castanho">
      <formula>NOT(ISERROR(SEARCH("Castanho",W42)))</formula>
    </cfRule>
    <cfRule type="containsText" dxfId="1052" priority="1186" operator="containsText" text="Verde Água">
      <formula>NOT(ISERROR(SEARCH("Verde Água",W42)))</formula>
    </cfRule>
    <cfRule type="containsText" dxfId="1051" priority="1187" operator="containsText" text="Azul Petróleo">
      <formula>NOT(ISERROR(SEARCH("Azul Petróleo",W42)))</formula>
    </cfRule>
    <cfRule type="containsText" dxfId="1050" priority="1188" operator="containsText" text="Preto">
      <formula>NOT(ISERROR(SEARCH("Preto",W42)))</formula>
    </cfRule>
    <cfRule type="containsText" priority="1189" operator="containsText" text="Branco">
      <formula>NOT(ISERROR(SEARCH("Branco",W42)))</formula>
    </cfRule>
    <cfRule type="containsText" dxfId="1049" priority="1190" operator="containsText" text="Bege">
      <formula>NOT(ISERROR(SEARCH("Bege",W42)))</formula>
    </cfRule>
  </conditionalFormatting>
  <conditionalFormatting sqref="W42">
    <cfRule type="containsText" dxfId="1048" priority="1173" operator="containsText" text="Cinza">
      <formula>NOT(ISERROR(SEARCH("Cinza",W42)))</formula>
    </cfRule>
    <cfRule type="containsText" dxfId="1047" priority="1174" operator="containsText" text="Púrpura">
      <formula>NOT(ISERROR(SEARCH("Púrpura",W42)))</formula>
    </cfRule>
    <cfRule type="containsText" dxfId="1046" priority="1175" operator="containsText" text="Rosa">
      <formula>NOT(ISERROR(SEARCH("Rosa",W42)))</formula>
    </cfRule>
    <cfRule type="containsText" dxfId="1045" priority="1176" operator="containsText" text="Castanho">
      <formula>NOT(ISERROR(SEARCH("Castanho",W42)))</formula>
    </cfRule>
    <cfRule type="containsText" dxfId="1044" priority="1177" operator="containsText" text="Verde Água">
      <formula>NOT(ISERROR(SEARCH("Verde Água",W42)))</formula>
    </cfRule>
    <cfRule type="containsText" dxfId="1043" priority="1178" operator="containsText" text="Azul Petróleo">
      <formula>NOT(ISERROR(SEARCH("Azul Petróleo",W42)))</formula>
    </cfRule>
    <cfRule type="containsText" dxfId="1042" priority="1179" operator="containsText" text="Preto">
      <formula>NOT(ISERROR(SEARCH("Preto",W42)))</formula>
    </cfRule>
    <cfRule type="containsText" priority="1180" operator="containsText" text="Branco">
      <formula>NOT(ISERROR(SEARCH("Branco",W42)))</formula>
    </cfRule>
    <cfRule type="containsText" dxfId="1041" priority="1181" operator="containsText" text="Bege">
      <formula>NOT(ISERROR(SEARCH("Bege",W42)))</formula>
    </cfRule>
  </conditionalFormatting>
  <conditionalFormatting sqref="W42">
    <cfRule type="containsText" dxfId="1040" priority="1164" operator="containsText" text="Cinza">
      <formula>NOT(ISERROR(SEARCH("Cinza",W42)))</formula>
    </cfRule>
    <cfRule type="containsText" dxfId="1039" priority="1165" operator="containsText" text="Púrpura">
      <formula>NOT(ISERROR(SEARCH("Púrpura",W42)))</formula>
    </cfRule>
    <cfRule type="containsText" dxfId="1038" priority="1166" operator="containsText" text="Rosa">
      <formula>NOT(ISERROR(SEARCH("Rosa",W42)))</formula>
    </cfRule>
    <cfRule type="containsText" dxfId="1037" priority="1167" operator="containsText" text="Castanho">
      <formula>NOT(ISERROR(SEARCH("Castanho",W42)))</formula>
    </cfRule>
    <cfRule type="containsText" dxfId="1036" priority="1168" operator="containsText" text="Verde Água">
      <formula>NOT(ISERROR(SEARCH("Verde Água",W42)))</formula>
    </cfRule>
    <cfRule type="containsText" dxfId="1035" priority="1169" operator="containsText" text="Azul Petróleo">
      <formula>NOT(ISERROR(SEARCH("Azul Petróleo",W42)))</formula>
    </cfRule>
    <cfRule type="containsText" dxfId="1034" priority="1170" operator="containsText" text="Preto">
      <formula>NOT(ISERROR(SEARCH("Preto",W42)))</formula>
    </cfRule>
    <cfRule type="containsText" priority="1171" operator="containsText" text="Branco">
      <formula>NOT(ISERROR(SEARCH("Branco",W42)))</formula>
    </cfRule>
    <cfRule type="containsText" dxfId="1033" priority="1172" operator="containsText" text="Bege">
      <formula>NOT(ISERROR(SEARCH("Bege",W42)))</formula>
    </cfRule>
  </conditionalFormatting>
  <conditionalFormatting sqref="W42">
    <cfRule type="containsText" dxfId="1032" priority="1155" operator="containsText" text="Escuro">
      <formula>NOT(ISERROR(SEARCH("Escuro",W42)))</formula>
    </cfRule>
    <cfRule type="containsText" dxfId="1031" priority="1156" operator="containsText" text="Cinza">
      <formula>NOT(ISERROR(SEARCH("Cinza",W42)))</formula>
    </cfRule>
    <cfRule type="containsText" dxfId="1030" priority="1157" operator="containsText" text="Púrpura">
      <formula>NOT(ISERROR(SEARCH("Púrpura",W42)))</formula>
    </cfRule>
    <cfRule type="containsText" dxfId="1029" priority="1158" operator="containsText" text="Rosa">
      <formula>NOT(ISERROR(SEARCH("Rosa",W42)))</formula>
    </cfRule>
    <cfRule type="containsText" dxfId="1028" priority="1159" operator="containsText" text="Castanho">
      <formula>NOT(ISERROR(SEARCH("Castanho",W42)))</formula>
    </cfRule>
    <cfRule type="containsText" dxfId="1027" priority="1160" operator="containsText" text="Verde Água">
      <formula>NOT(ISERROR(SEARCH("Verde Água",W42)))</formula>
    </cfRule>
    <cfRule type="containsText" dxfId="1026" priority="1161" operator="containsText" text="Azul Petróleo">
      <formula>NOT(ISERROR(SEARCH("Azul Petróleo",W42)))</formula>
    </cfRule>
    <cfRule type="containsText" dxfId="1025" priority="1162" operator="containsText" text="Preto">
      <formula>NOT(ISERROR(SEARCH("Preto",W42)))</formula>
    </cfRule>
    <cfRule type="containsText" priority="1163" operator="containsText" text="Branco">
      <formula>NOT(ISERROR(SEARCH("Branco",W42)))</formula>
    </cfRule>
  </conditionalFormatting>
  <conditionalFormatting sqref="W40">
    <cfRule type="containsText" dxfId="1024" priority="1146" operator="containsText" text="Cinza">
      <formula>NOT(ISERROR(SEARCH("Cinza",W40)))</formula>
    </cfRule>
    <cfRule type="containsText" dxfId="1023" priority="1147" operator="containsText" text="Púrpura">
      <formula>NOT(ISERROR(SEARCH("Púrpura",W40)))</formula>
    </cfRule>
    <cfRule type="containsText" dxfId="1022" priority="1148" operator="containsText" text="Rosa">
      <formula>NOT(ISERROR(SEARCH("Rosa",W40)))</formula>
    </cfRule>
    <cfRule type="containsText" dxfId="1021" priority="1149" operator="containsText" text="Castanho">
      <formula>NOT(ISERROR(SEARCH("Castanho",W40)))</formula>
    </cfRule>
    <cfRule type="containsText" dxfId="1020" priority="1150" operator="containsText" text="Verde Água">
      <formula>NOT(ISERROR(SEARCH("Verde Água",W40)))</formula>
    </cfRule>
    <cfRule type="containsText" dxfId="1019" priority="1151" operator="containsText" text="Azul Petróleo">
      <formula>NOT(ISERROR(SEARCH("Azul Petróleo",W40)))</formula>
    </cfRule>
    <cfRule type="containsText" dxfId="1018" priority="1152" operator="containsText" text="Preto">
      <formula>NOT(ISERROR(SEARCH("Preto",W40)))</formula>
    </cfRule>
    <cfRule type="containsText" priority="1153" operator="containsText" text="Branco">
      <formula>NOT(ISERROR(SEARCH("Branco",W40)))</formula>
    </cfRule>
    <cfRule type="containsText" dxfId="1017" priority="1154" operator="containsText" text="Bege">
      <formula>NOT(ISERROR(SEARCH("Bege",W40)))</formula>
    </cfRule>
  </conditionalFormatting>
  <conditionalFormatting sqref="W40">
    <cfRule type="containsText" dxfId="1016" priority="1137" operator="containsText" text="Cinza">
      <formula>NOT(ISERROR(SEARCH("Cinza",W40)))</formula>
    </cfRule>
    <cfRule type="containsText" dxfId="1015" priority="1138" operator="containsText" text="Púrpura">
      <formula>NOT(ISERROR(SEARCH("Púrpura",W40)))</formula>
    </cfRule>
    <cfRule type="containsText" dxfId="1014" priority="1139" operator="containsText" text="Rosa">
      <formula>NOT(ISERROR(SEARCH("Rosa",W40)))</formula>
    </cfRule>
    <cfRule type="containsText" dxfId="1013" priority="1140" operator="containsText" text="Castanho">
      <formula>NOT(ISERROR(SEARCH("Castanho",W40)))</formula>
    </cfRule>
    <cfRule type="containsText" dxfId="1012" priority="1141" operator="containsText" text="Verde Água">
      <formula>NOT(ISERROR(SEARCH("Verde Água",W40)))</formula>
    </cfRule>
    <cfRule type="containsText" dxfId="1011" priority="1142" operator="containsText" text="Azul Petróleo">
      <formula>NOT(ISERROR(SEARCH("Azul Petróleo",W40)))</formula>
    </cfRule>
    <cfRule type="containsText" dxfId="1010" priority="1143" operator="containsText" text="Preto">
      <formula>NOT(ISERROR(SEARCH("Preto",W40)))</formula>
    </cfRule>
    <cfRule type="containsText" priority="1144" operator="containsText" text="Branco">
      <formula>NOT(ISERROR(SEARCH("Branco",W40)))</formula>
    </cfRule>
    <cfRule type="containsText" dxfId="1009" priority="1145" operator="containsText" text="Bege">
      <formula>NOT(ISERROR(SEARCH("Bege",W40)))</formula>
    </cfRule>
  </conditionalFormatting>
  <conditionalFormatting sqref="W40">
    <cfRule type="containsText" dxfId="1008" priority="1128" operator="containsText" text="Cinza">
      <formula>NOT(ISERROR(SEARCH("Cinza",W40)))</formula>
    </cfRule>
    <cfRule type="containsText" dxfId="1007" priority="1129" operator="containsText" text="Púrpura">
      <formula>NOT(ISERROR(SEARCH("Púrpura",W40)))</formula>
    </cfRule>
    <cfRule type="containsText" dxfId="1006" priority="1130" operator="containsText" text="Rosa">
      <formula>NOT(ISERROR(SEARCH("Rosa",W40)))</formula>
    </cfRule>
    <cfRule type="containsText" dxfId="1005" priority="1131" operator="containsText" text="Castanho">
      <formula>NOT(ISERROR(SEARCH("Castanho",W40)))</formula>
    </cfRule>
    <cfRule type="containsText" dxfId="1004" priority="1132" operator="containsText" text="Verde Água">
      <formula>NOT(ISERROR(SEARCH("Verde Água",W40)))</formula>
    </cfRule>
    <cfRule type="containsText" dxfId="1003" priority="1133" operator="containsText" text="Azul Petróleo">
      <formula>NOT(ISERROR(SEARCH("Azul Petróleo",W40)))</formula>
    </cfRule>
    <cfRule type="containsText" dxfId="1002" priority="1134" operator="containsText" text="Preto">
      <formula>NOT(ISERROR(SEARCH("Preto",W40)))</formula>
    </cfRule>
    <cfRule type="containsText" priority="1135" operator="containsText" text="Branco">
      <formula>NOT(ISERROR(SEARCH("Branco",W40)))</formula>
    </cfRule>
    <cfRule type="containsText" dxfId="1001" priority="1136" operator="containsText" text="Bege">
      <formula>NOT(ISERROR(SEARCH("Bege",W40)))</formula>
    </cfRule>
  </conditionalFormatting>
  <conditionalFormatting sqref="W40">
    <cfRule type="containsText" dxfId="1000" priority="1119" operator="containsText" text="Cinza">
      <formula>NOT(ISERROR(SEARCH("Cinza",W40)))</formula>
    </cfRule>
    <cfRule type="containsText" dxfId="999" priority="1120" operator="containsText" text="Púrpura">
      <formula>NOT(ISERROR(SEARCH("Púrpura",W40)))</formula>
    </cfRule>
    <cfRule type="containsText" dxfId="998" priority="1121" operator="containsText" text="Rosa">
      <formula>NOT(ISERROR(SEARCH("Rosa",W40)))</formula>
    </cfRule>
    <cfRule type="containsText" dxfId="997" priority="1122" operator="containsText" text="Castanho">
      <formula>NOT(ISERROR(SEARCH("Castanho",W40)))</formula>
    </cfRule>
    <cfRule type="containsText" dxfId="996" priority="1123" operator="containsText" text="Verde Água">
      <formula>NOT(ISERROR(SEARCH("Verde Água",W40)))</formula>
    </cfRule>
    <cfRule type="containsText" dxfId="995" priority="1124" operator="containsText" text="Azul Petróleo">
      <formula>NOT(ISERROR(SEARCH("Azul Petróleo",W40)))</formula>
    </cfRule>
    <cfRule type="containsText" dxfId="994" priority="1125" operator="containsText" text="Preto">
      <formula>NOT(ISERROR(SEARCH("Preto",W40)))</formula>
    </cfRule>
    <cfRule type="containsText" priority="1126" operator="containsText" text="Branco">
      <formula>NOT(ISERROR(SEARCH("Branco",W40)))</formula>
    </cfRule>
    <cfRule type="containsText" dxfId="993" priority="1127" operator="containsText" text="Bege">
      <formula>NOT(ISERROR(SEARCH("Bege",W40)))</formula>
    </cfRule>
  </conditionalFormatting>
  <conditionalFormatting sqref="W40">
    <cfRule type="containsText" dxfId="992" priority="1110" operator="containsText" text="Cinza">
      <formula>NOT(ISERROR(SEARCH("Cinza",W40)))</formula>
    </cfRule>
    <cfRule type="containsText" dxfId="991" priority="1111" operator="containsText" text="Púrpura">
      <formula>NOT(ISERROR(SEARCH("Púrpura",W40)))</formula>
    </cfRule>
    <cfRule type="containsText" dxfId="990" priority="1112" operator="containsText" text="Rosa">
      <formula>NOT(ISERROR(SEARCH("Rosa",W40)))</formula>
    </cfRule>
    <cfRule type="containsText" dxfId="989" priority="1113" operator="containsText" text="Castanho">
      <formula>NOT(ISERROR(SEARCH("Castanho",W40)))</formula>
    </cfRule>
    <cfRule type="containsText" dxfId="988" priority="1114" operator="containsText" text="Verde Água">
      <formula>NOT(ISERROR(SEARCH("Verde Água",W40)))</formula>
    </cfRule>
    <cfRule type="containsText" dxfId="987" priority="1115" operator="containsText" text="Azul Petróleo">
      <formula>NOT(ISERROR(SEARCH("Azul Petróleo",W40)))</formula>
    </cfRule>
    <cfRule type="containsText" dxfId="986" priority="1116" operator="containsText" text="Preto">
      <formula>NOT(ISERROR(SEARCH("Preto",W40)))</formula>
    </cfRule>
    <cfRule type="containsText" priority="1117" operator="containsText" text="Branco">
      <formula>NOT(ISERROR(SEARCH("Branco",W40)))</formula>
    </cfRule>
    <cfRule type="containsText" dxfId="985" priority="1118" operator="containsText" text="Bege">
      <formula>NOT(ISERROR(SEARCH("Bege",W40)))</formula>
    </cfRule>
  </conditionalFormatting>
  <conditionalFormatting sqref="W40">
    <cfRule type="containsText" dxfId="984" priority="1101" operator="containsText" text="Cinza">
      <formula>NOT(ISERROR(SEARCH("Cinza",W40)))</formula>
    </cfRule>
    <cfRule type="containsText" dxfId="983" priority="1102" operator="containsText" text="Púrpura">
      <formula>NOT(ISERROR(SEARCH("Púrpura",W40)))</formula>
    </cfRule>
    <cfRule type="containsText" dxfId="982" priority="1103" operator="containsText" text="Rosa">
      <formula>NOT(ISERROR(SEARCH("Rosa",W40)))</formula>
    </cfRule>
    <cfRule type="containsText" dxfId="981" priority="1104" operator="containsText" text="Castanho">
      <formula>NOT(ISERROR(SEARCH("Castanho",W40)))</formula>
    </cfRule>
    <cfRule type="containsText" dxfId="980" priority="1105" operator="containsText" text="Verde Água">
      <formula>NOT(ISERROR(SEARCH("Verde Água",W40)))</formula>
    </cfRule>
    <cfRule type="containsText" dxfId="979" priority="1106" operator="containsText" text="Azul Petróleo">
      <formula>NOT(ISERROR(SEARCH("Azul Petróleo",W40)))</formula>
    </cfRule>
    <cfRule type="containsText" dxfId="978" priority="1107" operator="containsText" text="Preto">
      <formula>NOT(ISERROR(SEARCH("Preto",W40)))</formula>
    </cfRule>
    <cfRule type="containsText" priority="1108" operator="containsText" text="Branco">
      <formula>NOT(ISERROR(SEARCH("Branco",W40)))</formula>
    </cfRule>
    <cfRule type="containsText" dxfId="977" priority="1109" operator="containsText" text="Bege">
      <formula>NOT(ISERROR(SEARCH("Bege",W40)))</formula>
    </cfRule>
  </conditionalFormatting>
  <conditionalFormatting sqref="W40">
    <cfRule type="containsText" dxfId="976" priority="1092" operator="containsText" text="Cinza">
      <formula>NOT(ISERROR(SEARCH("Cinza",W40)))</formula>
    </cfRule>
    <cfRule type="containsText" dxfId="975" priority="1093" operator="containsText" text="Púrpura">
      <formula>NOT(ISERROR(SEARCH("Púrpura",W40)))</formula>
    </cfRule>
    <cfRule type="containsText" dxfId="974" priority="1094" operator="containsText" text="Rosa">
      <formula>NOT(ISERROR(SEARCH("Rosa",W40)))</formula>
    </cfRule>
    <cfRule type="containsText" dxfId="973" priority="1095" operator="containsText" text="Castanho">
      <formula>NOT(ISERROR(SEARCH("Castanho",W40)))</formula>
    </cfRule>
    <cfRule type="containsText" dxfId="972" priority="1096" operator="containsText" text="Verde Água">
      <formula>NOT(ISERROR(SEARCH("Verde Água",W40)))</formula>
    </cfRule>
    <cfRule type="containsText" dxfId="971" priority="1097" operator="containsText" text="Azul Petróleo">
      <formula>NOT(ISERROR(SEARCH("Azul Petróleo",W40)))</formula>
    </cfRule>
    <cfRule type="containsText" dxfId="970" priority="1098" operator="containsText" text="Preto">
      <formula>NOT(ISERROR(SEARCH("Preto",W40)))</formula>
    </cfRule>
    <cfRule type="containsText" priority="1099" operator="containsText" text="Branco">
      <formula>NOT(ISERROR(SEARCH("Branco",W40)))</formula>
    </cfRule>
    <cfRule type="containsText" dxfId="969" priority="1100" operator="containsText" text="Bege">
      <formula>NOT(ISERROR(SEARCH("Bege",W40)))</formula>
    </cfRule>
  </conditionalFormatting>
  <conditionalFormatting sqref="W40">
    <cfRule type="containsText" dxfId="968" priority="1083" operator="containsText" text="Cinza">
      <formula>NOT(ISERROR(SEARCH("Cinza",W40)))</formula>
    </cfRule>
    <cfRule type="containsText" dxfId="967" priority="1084" operator="containsText" text="Púrpura">
      <formula>NOT(ISERROR(SEARCH("Púrpura",W40)))</formula>
    </cfRule>
    <cfRule type="containsText" dxfId="966" priority="1085" operator="containsText" text="Rosa">
      <formula>NOT(ISERROR(SEARCH("Rosa",W40)))</formula>
    </cfRule>
    <cfRule type="containsText" dxfId="965" priority="1086" operator="containsText" text="Castanho">
      <formula>NOT(ISERROR(SEARCH("Castanho",W40)))</formula>
    </cfRule>
    <cfRule type="containsText" dxfId="964" priority="1087" operator="containsText" text="Verde Água">
      <formula>NOT(ISERROR(SEARCH("Verde Água",W40)))</formula>
    </cfRule>
    <cfRule type="containsText" dxfId="963" priority="1088" operator="containsText" text="Azul Petróleo">
      <formula>NOT(ISERROR(SEARCH("Azul Petróleo",W40)))</formula>
    </cfRule>
    <cfRule type="containsText" dxfId="962" priority="1089" operator="containsText" text="Preto">
      <formula>NOT(ISERROR(SEARCH("Preto",W40)))</formula>
    </cfRule>
    <cfRule type="containsText" priority="1090" operator="containsText" text="Branco">
      <formula>NOT(ISERROR(SEARCH("Branco",W40)))</formula>
    </cfRule>
    <cfRule type="containsText" dxfId="961" priority="1091" operator="containsText" text="Bege">
      <formula>NOT(ISERROR(SEARCH("Bege",W40)))</formula>
    </cfRule>
  </conditionalFormatting>
  <conditionalFormatting sqref="W40">
    <cfRule type="containsText" dxfId="960" priority="1074" operator="containsText" text="Cinza">
      <formula>NOT(ISERROR(SEARCH("Cinza",W40)))</formula>
    </cfRule>
    <cfRule type="containsText" dxfId="959" priority="1075" operator="containsText" text="Púrpura">
      <formula>NOT(ISERROR(SEARCH("Púrpura",W40)))</formula>
    </cfRule>
    <cfRule type="containsText" dxfId="958" priority="1076" operator="containsText" text="Rosa">
      <formula>NOT(ISERROR(SEARCH("Rosa",W40)))</formula>
    </cfRule>
    <cfRule type="containsText" dxfId="957" priority="1077" operator="containsText" text="Castanho">
      <formula>NOT(ISERROR(SEARCH("Castanho",W40)))</formula>
    </cfRule>
    <cfRule type="containsText" dxfId="956" priority="1078" operator="containsText" text="Verde Água">
      <formula>NOT(ISERROR(SEARCH("Verde Água",W40)))</formula>
    </cfRule>
    <cfRule type="containsText" dxfId="955" priority="1079" operator="containsText" text="Azul Petróleo">
      <formula>NOT(ISERROR(SEARCH("Azul Petróleo",W40)))</formula>
    </cfRule>
    <cfRule type="containsText" dxfId="954" priority="1080" operator="containsText" text="Preto">
      <formula>NOT(ISERROR(SEARCH("Preto",W40)))</formula>
    </cfRule>
    <cfRule type="containsText" priority="1081" operator="containsText" text="Branco">
      <formula>NOT(ISERROR(SEARCH("Branco",W40)))</formula>
    </cfRule>
    <cfRule type="containsText" dxfId="953" priority="1082" operator="containsText" text="Bege">
      <formula>NOT(ISERROR(SEARCH("Bege",W40)))</formula>
    </cfRule>
  </conditionalFormatting>
  <conditionalFormatting sqref="W40">
    <cfRule type="containsText" dxfId="952" priority="1065" operator="containsText" text="Cinza">
      <formula>NOT(ISERROR(SEARCH("Cinza",W40)))</formula>
    </cfRule>
    <cfRule type="containsText" dxfId="951" priority="1066" operator="containsText" text="Púrpura">
      <formula>NOT(ISERROR(SEARCH("Púrpura",W40)))</formula>
    </cfRule>
    <cfRule type="containsText" dxfId="950" priority="1067" operator="containsText" text="Rosa">
      <formula>NOT(ISERROR(SEARCH("Rosa",W40)))</formula>
    </cfRule>
    <cfRule type="containsText" dxfId="949" priority="1068" operator="containsText" text="Castanho">
      <formula>NOT(ISERROR(SEARCH("Castanho",W40)))</formula>
    </cfRule>
    <cfRule type="containsText" dxfId="948" priority="1069" operator="containsText" text="Verde Água">
      <formula>NOT(ISERROR(SEARCH("Verde Água",W40)))</formula>
    </cfRule>
    <cfRule type="containsText" dxfId="947" priority="1070" operator="containsText" text="Azul Petróleo">
      <formula>NOT(ISERROR(SEARCH("Azul Petróleo",W40)))</formula>
    </cfRule>
    <cfRule type="containsText" dxfId="946" priority="1071" operator="containsText" text="Preto">
      <formula>NOT(ISERROR(SEARCH("Preto",W40)))</formula>
    </cfRule>
    <cfRule type="containsText" priority="1072" operator="containsText" text="Branco">
      <formula>NOT(ISERROR(SEARCH("Branco",W40)))</formula>
    </cfRule>
    <cfRule type="containsText" dxfId="945" priority="1073" operator="containsText" text="Bege">
      <formula>NOT(ISERROR(SEARCH("Bege",W40)))</formula>
    </cfRule>
  </conditionalFormatting>
  <conditionalFormatting sqref="W40">
    <cfRule type="containsText" dxfId="944" priority="1056" operator="containsText" text="Cinza">
      <formula>NOT(ISERROR(SEARCH("Cinza",W40)))</formula>
    </cfRule>
    <cfRule type="containsText" dxfId="943" priority="1057" operator="containsText" text="Púrpura">
      <formula>NOT(ISERROR(SEARCH("Púrpura",W40)))</formula>
    </cfRule>
    <cfRule type="containsText" dxfId="942" priority="1058" operator="containsText" text="Rosa">
      <formula>NOT(ISERROR(SEARCH("Rosa",W40)))</formula>
    </cfRule>
    <cfRule type="containsText" dxfId="941" priority="1059" operator="containsText" text="Castanho">
      <formula>NOT(ISERROR(SEARCH("Castanho",W40)))</formula>
    </cfRule>
    <cfRule type="containsText" dxfId="940" priority="1060" operator="containsText" text="Verde Água">
      <formula>NOT(ISERROR(SEARCH("Verde Água",W40)))</formula>
    </cfRule>
    <cfRule type="containsText" dxfId="939" priority="1061" operator="containsText" text="Azul Petróleo">
      <formula>NOT(ISERROR(SEARCH("Azul Petróleo",W40)))</formula>
    </cfRule>
    <cfRule type="containsText" dxfId="938" priority="1062" operator="containsText" text="Preto">
      <formula>NOT(ISERROR(SEARCH("Preto",W40)))</formula>
    </cfRule>
    <cfRule type="containsText" priority="1063" operator="containsText" text="Branco">
      <formula>NOT(ISERROR(SEARCH("Branco",W40)))</formula>
    </cfRule>
    <cfRule type="containsText" dxfId="937" priority="1064" operator="containsText" text="Bege">
      <formula>NOT(ISERROR(SEARCH("Bege",W40)))</formula>
    </cfRule>
  </conditionalFormatting>
  <conditionalFormatting sqref="W40">
    <cfRule type="containsText" dxfId="936" priority="1047" operator="containsText" text="Cinza">
      <formula>NOT(ISERROR(SEARCH("Cinza",W40)))</formula>
    </cfRule>
    <cfRule type="containsText" dxfId="935" priority="1048" operator="containsText" text="Púrpura">
      <formula>NOT(ISERROR(SEARCH("Púrpura",W40)))</formula>
    </cfRule>
    <cfRule type="containsText" dxfId="934" priority="1049" operator="containsText" text="Rosa">
      <formula>NOT(ISERROR(SEARCH("Rosa",W40)))</formula>
    </cfRule>
    <cfRule type="containsText" dxfId="933" priority="1050" operator="containsText" text="Castanho">
      <formula>NOT(ISERROR(SEARCH("Castanho",W40)))</formula>
    </cfRule>
    <cfRule type="containsText" dxfId="932" priority="1051" operator="containsText" text="Verde Água">
      <formula>NOT(ISERROR(SEARCH("Verde Água",W40)))</formula>
    </cfRule>
    <cfRule type="containsText" dxfId="931" priority="1052" operator="containsText" text="Azul Petróleo">
      <formula>NOT(ISERROR(SEARCH("Azul Petróleo",W40)))</formula>
    </cfRule>
    <cfRule type="containsText" dxfId="930" priority="1053" operator="containsText" text="Preto">
      <formula>NOT(ISERROR(SEARCH("Preto",W40)))</formula>
    </cfRule>
    <cfRule type="containsText" priority="1054" operator="containsText" text="Branco">
      <formula>NOT(ISERROR(SEARCH("Branco",W40)))</formula>
    </cfRule>
    <cfRule type="containsText" dxfId="929" priority="1055" operator="containsText" text="Bege">
      <formula>NOT(ISERROR(SEARCH("Bege",W40)))</formula>
    </cfRule>
  </conditionalFormatting>
  <conditionalFormatting sqref="W40">
    <cfRule type="containsText" dxfId="928" priority="1038" operator="containsText" text="Cinza">
      <formula>NOT(ISERROR(SEARCH("Cinza",W40)))</formula>
    </cfRule>
    <cfRule type="containsText" dxfId="927" priority="1039" operator="containsText" text="Púrpura">
      <formula>NOT(ISERROR(SEARCH("Púrpura",W40)))</formula>
    </cfRule>
    <cfRule type="containsText" dxfId="926" priority="1040" operator="containsText" text="Rosa">
      <formula>NOT(ISERROR(SEARCH("Rosa",W40)))</formula>
    </cfRule>
    <cfRule type="containsText" dxfId="925" priority="1041" operator="containsText" text="Castanho">
      <formula>NOT(ISERROR(SEARCH("Castanho",W40)))</formula>
    </cfRule>
    <cfRule type="containsText" dxfId="924" priority="1042" operator="containsText" text="Verde Água">
      <formula>NOT(ISERROR(SEARCH("Verde Água",W40)))</formula>
    </cfRule>
    <cfRule type="containsText" dxfId="923" priority="1043" operator="containsText" text="Azul Petróleo">
      <formula>NOT(ISERROR(SEARCH("Azul Petróleo",W40)))</formula>
    </cfRule>
    <cfRule type="containsText" dxfId="922" priority="1044" operator="containsText" text="Preto">
      <formula>NOT(ISERROR(SEARCH("Preto",W40)))</formula>
    </cfRule>
    <cfRule type="containsText" priority="1045" operator="containsText" text="Branco">
      <formula>NOT(ISERROR(SEARCH("Branco",W40)))</formula>
    </cfRule>
    <cfRule type="containsText" dxfId="921" priority="1046" operator="containsText" text="Bege">
      <formula>NOT(ISERROR(SEARCH("Bege",W40)))</formula>
    </cfRule>
  </conditionalFormatting>
  <conditionalFormatting sqref="W40">
    <cfRule type="containsText" dxfId="920" priority="1029" operator="containsText" text="Cinza">
      <formula>NOT(ISERROR(SEARCH("Cinza",W40)))</formula>
    </cfRule>
    <cfRule type="containsText" dxfId="919" priority="1030" operator="containsText" text="Púrpura">
      <formula>NOT(ISERROR(SEARCH("Púrpura",W40)))</formula>
    </cfRule>
    <cfRule type="containsText" dxfId="918" priority="1031" operator="containsText" text="Rosa">
      <formula>NOT(ISERROR(SEARCH("Rosa",W40)))</formula>
    </cfRule>
    <cfRule type="containsText" dxfId="917" priority="1032" operator="containsText" text="Castanho">
      <formula>NOT(ISERROR(SEARCH("Castanho",W40)))</formula>
    </cfRule>
    <cfRule type="containsText" dxfId="916" priority="1033" operator="containsText" text="Verde Água">
      <formula>NOT(ISERROR(SEARCH("Verde Água",W40)))</formula>
    </cfRule>
    <cfRule type="containsText" dxfId="915" priority="1034" operator="containsText" text="Azul Petróleo">
      <formula>NOT(ISERROR(SEARCH("Azul Petróleo",W40)))</formula>
    </cfRule>
    <cfRule type="containsText" dxfId="914" priority="1035" operator="containsText" text="Preto">
      <formula>NOT(ISERROR(SEARCH("Preto",W40)))</formula>
    </cfRule>
    <cfRule type="containsText" priority="1036" operator="containsText" text="Branco">
      <formula>NOT(ISERROR(SEARCH("Branco",W40)))</formula>
    </cfRule>
    <cfRule type="containsText" dxfId="913" priority="1037" operator="containsText" text="Bege">
      <formula>NOT(ISERROR(SEARCH("Bege",W40)))</formula>
    </cfRule>
  </conditionalFormatting>
  <conditionalFormatting sqref="W40">
    <cfRule type="containsText" dxfId="912" priority="1020" operator="containsText" text="Cinza">
      <formula>NOT(ISERROR(SEARCH("Cinza",W40)))</formula>
    </cfRule>
    <cfRule type="containsText" dxfId="911" priority="1021" operator="containsText" text="Púrpura">
      <formula>NOT(ISERROR(SEARCH("Púrpura",W40)))</formula>
    </cfRule>
    <cfRule type="containsText" dxfId="910" priority="1022" operator="containsText" text="Rosa">
      <formula>NOT(ISERROR(SEARCH("Rosa",W40)))</formula>
    </cfRule>
    <cfRule type="containsText" dxfId="909" priority="1023" operator="containsText" text="Castanho">
      <formula>NOT(ISERROR(SEARCH("Castanho",W40)))</formula>
    </cfRule>
    <cfRule type="containsText" dxfId="908" priority="1024" operator="containsText" text="Verde Água">
      <formula>NOT(ISERROR(SEARCH("Verde Água",W40)))</formula>
    </cfRule>
    <cfRule type="containsText" dxfId="907" priority="1025" operator="containsText" text="Azul Petróleo">
      <formula>NOT(ISERROR(SEARCH("Azul Petróleo",W40)))</formula>
    </cfRule>
    <cfRule type="containsText" dxfId="906" priority="1026" operator="containsText" text="Preto">
      <formula>NOT(ISERROR(SEARCH("Preto",W40)))</formula>
    </cfRule>
    <cfRule type="containsText" priority="1027" operator="containsText" text="Branco">
      <formula>NOT(ISERROR(SEARCH("Branco",W40)))</formula>
    </cfRule>
    <cfRule type="containsText" dxfId="905" priority="1028" operator="containsText" text="Bege">
      <formula>NOT(ISERROR(SEARCH("Bege",W40)))</formula>
    </cfRule>
  </conditionalFormatting>
  <conditionalFormatting sqref="W40">
    <cfRule type="containsText" dxfId="904" priority="1011" operator="containsText" text="Cinza">
      <formula>NOT(ISERROR(SEARCH("Cinza",W40)))</formula>
    </cfRule>
    <cfRule type="containsText" dxfId="903" priority="1012" operator="containsText" text="Púrpura">
      <formula>NOT(ISERROR(SEARCH("Púrpura",W40)))</formula>
    </cfRule>
    <cfRule type="containsText" dxfId="902" priority="1013" operator="containsText" text="Rosa">
      <formula>NOT(ISERROR(SEARCH("Rosa",W40)))</formula>
    </cfRule>
    <cfRule type="containsText" dxfId="901" priority="1014" operator="containsText" text="Castanho">
      <formula>NOT(ISERROR(SEARCH("Castanho",W40)))</formula>
    </cfRule>
    <cfRule type="containsText" dxfId="900" priority="1015" operator="containsText" text="Verde Água">
      <formula>NOT(ISERROR(SEARCH("Verde Água",W40)))</formula>
    </cfRule>
    <cfRule type="containsText" dxfId="899" priority="1016" operator="containsText" text="Azul Petróleo">
      <formula>NOT(ISERROR(SEARCH("Azul Petróleo",W40)))</formula>
    </cfRule>
    <cfRule type="containsText" dxfId="898" priority="1017" operator="containsText" text="Preto">
      <formula>NOT(ISERROR(SEARCH("Preto",W40)))</formula>
    </cfRule>
    <cfRule type="containsText" priority="1018" operator="containsText" text="Branco">
      <formula>NOT(ISERROR(SEARCH("Branco",W40)))</formula>
    </cfRule>
    <cfRule type="containsText" dxfId="897" priority="1019" operator="containsText" text="Bege">
      <formula>NOT(ISERROR(SEARCH("Bege",W40)))</formula>
    </cfRule>
  </conditionalFormatting>
  <conditionalFormatting sqref="W40">
    <cfRule type="containsText" dxfId="896" priority="1002" operator="containsText" text="Escuro">
      <formula>NOT(ISERROR(SEARCH("Escuro",W40)))</formula>
    </cfRule>
    <cfRule type="containsText" dxfId="895" priority="1003" operator="containsText" text="Cinza">
      <formula>NOT(ISERROR(SEARCH("Cinza",W40)))</formula>
    </cfRule>
    <cfRule type="containsText" dxfId="894" priority="1004" operator="containsText" text="Púrpura">
      <formula>NOT(ISERROR(SEARCH("Púrpura",W40)))</formula>
    </cfRule>
    <cfRule type="containsText" dxfId="893" priority="1005" operator="containsText" text="Rosa">
      <formula>NOT(ISERROR(SEARCH("Rosa",W40)))</formula>
    </cfRule>
    <cfRule type="containsText" dxfId="892" priority="1006" operator="containsText" text="Castanho">
      <formula>NOT(ISERROR(SEARCH("Castanho",W40)))</formula>
    </cfRule>
    <cfRule type="containsText" dxfId="891" priority="1007" operator="containsText" text="Verde Água">
      <formula>NOT(ISERROR(SEARCH("Verde Água",W40)))</formula>
    </cfRule>
    <cfRule type="containsText" dxfId="890" priority="1008" operator="containsText" text="Azul Petróleo">
      <formula>NOT(ISERROR(SEARCH("Azul Petróleo",W40)))</formula>
    </cfRule>
    <cfRule type="containsText" dxfId="889" priority="1009" operator="containsText" text="Preto">
      <formula>NOT(ISERROR(SEARCH("Preto",W40)))</formula>
    </cfRule>
    <cfRule type="containsText" priority="1010" operator="containsText" text="Branco">
      <formula>NOT(ISERROR(SEARCH("Branco",W40)))</formula>
    </cfRule>
  </conditionalFormatting>
  <conditionalFormatting sqref="W15">
    <cfRule type="containsText" dxfId="888" priority="993" operator="containsText" text="Cinza">
      <formula>NOT(ISERROR(SEARCH("Cinza",W15)))</formula>
    </cfRule>
    <cfRule type="containsText" dxfId="887" priority="994" operator="containsText" text="Púrpura">
      <formula>NOT(ISERROR(SEARCH("Púrpura",W15)))</formula>
    </cfRule>
    <cfRule type="containsText" dxfId="886" priority="995" operator="containsText" text="Rosa">
      <formula>NOT(ISERROR(SEARCH("Rosa",W15)))</formula>
    </cfRule>
    <cfRule type="containsText" dxfId="885" priority="996" operator="containsText" text="Castanho">
      <formula>NOT(ISERROR(SEARCH("Castanho",W15)))</formula>
    </cfRule>
    <cfRule type="containsText" dxfId="884" priority="997" operator="containsText" text="Verde Água">
      <formula>NOT(ISERROR(SEARCH("Verde Água",W15)))</formula>
    </cfRule>
    <cfRule type="containsText" dxfId="883" priority="998" operator="containsText" text="Azul Petróleo">
      <formula>NOT(ISERROR(SEARCH("Azul Petróleo",W15)))</formula>
    </cfRule>
    <cfRule type="containsText" dxfId="882" priority="999" operator="containsText" text="Preto">
      <formula>NOT(ISERROR(SEARCH("Preto",W15)))</formula>
    </cfRule>
    <cfRule type="containsText" priority="1000" operator="containsText" text="Branco">
      <formula>NOT(ISERROR(SEARCH("Branco",W15)))</formula>
    </cfRule>
    <cfRule type="containsText" dxfId="881" priority="1001" operator="containsText" text="Bege">
      <formula>NOT(ISERROR(SEARCH("Bege",W15)))</formula>
    </cfRule>
  </conditionalFormatting>
  <conditionalFormatting sqref="W15">
    <cfRule type="containsText" dxfId="880" priority="984" operator="containsText" text="Escuro">
      <formula>NOT(ISERROR(SEARCH("Escuro",W15)))</formula>
    </cfRule>
    <cfRule type="containsText" dxfId="879" priority="985" operator="containsText" text="Cinza">
      <formula>NOT(ISERROR(SEARCH("Cinza",W15)))</formula>
    </cfRule>
    <cfRule type="containsText" dxfId="878" priority="986" operator="containsText" text="Púrpura">
      <formula>NOT(ISERROR(SEARCH("Púrpura",W15)))</formula>
    </cfRule>
    <cfRule type="containsText" dxfId="877" priority="987" operator="containsText" text="Rosa">
      <formula>NOT(ISERROR(SEARCH("Rosa",W15)))</formula>
    </cfRule>
    <cfRule type="containsText" dxfId="876" priority="988" operator="containsText" text="Castanho">
      <formula>NOT(ISERROR(SEARCH("Castanho",W15)))</formula>
    </cfRule>
    <cfRule type="containsText" dxfId="875" priority="989" operator="containsText" text="Verde Água">
      <formula>NOT(ISERROR(SEARCH("Verde Água",W15)))</formula>
    </cfRule>
    <cfRule type="containsText" dxfId="874" priority="990" operator="containsText" text="Azul Petróleo">
      <formula>NOT(ISERROR(SEARCH("Azul Petróleo",W15)))</formula>
    </cfRule>
    <cfRule type="containsText" dxfId="873" priority="991" operator="containsText" text="Preto">
      <formula>NOT(ISERROR(SEARCH("Preto",W15)))</formula>
    </cfRule>
    <cfRule type="containsText" priority="992" operator="containsText" text="Branco">
      <formula>NOT(ISERROR(SEARCH("Branco",W15)))</formula>
    </cfRule>
  </conditionalFormatting>
  <conditionalFormatting sqref="W17">
    <cfRule type="containsText" dxfId="872" priority="975" operator="containsText" text="Cinza">
      <formula>NOT(ISERROR(SEARCH("Cinza",W17)))</formula>
    </cfRule>
    <cfRule type="containsText" dxfId="871" priority="976" operator="containsText" text="Púrpura">
      <formula>NOT(ISERROR(SEARCH("Púrpura",W17)))</formula>
    </cfRule>
    <cfRule type="containsText" dxfId="870" priority="977" operator="containsText" text="Rosa">
      <formula>NOT(ISERROR(SEARCH("Rosa",W17)))</formula>
    </cfRule>
    <cfRule type="containsText" dxfId="869" priority="978" operator="containsText" text="Castanho">
      <formula>NOT(ISERROR(SEARCH("Castanho",W17)))</formula>
    </cfRule>
    <cfRule type="containsText" dxfId="868" priority="979" operator="containsText" text="Verde Água">
      <formula>NOT(ISERROR(SEARCH("Verde Água",W17)))</formula>
    </cfRule>
    <cfRule type="containsText" dxfId="867" priority="980" operator="containsText" text="Azul Petróleo">
      <formula>NOT(ISERROR(SEARCH("Azul Petróleo",W17)))</formula>
    </cfRule>
    <cfRule type="containsText" dxfId="866" priority="981" operator="containsText" text="Preto">
      <formula>NOT(ISERROR(SEARCH("Preto",W17)))</formula>
    </cfRule>
    <cfRule type="containsText" priority="982" operator="containsText" text="Branco">
      <formula>NOT(ISERROR(SEARCH("Branco",W17)))</formula>
    </cfRule>
    <cfRule type="containsText" dxfId="865" priority="983" operator="containsText" text="Bege">
      <formula>NOT(ISERROR(SEARCH("Bege",W17)))</formula>
    </cfRule>
  </conditionalFormatting>
  <conditionalFormatting sqref="W17">
    <cfRule type="containsText" dxfId="864" priority="966" operator="containsText" text="Escuro">
      <formula>NOT(ISERROR(SEARCH("Escuro",W17)))</formula>
    </cfRule>
    <cfRule type="containsText" dxfId="863" priority="967" operator="containsText" text="Cinza">
      <formula>NOT(ISERROR(SEARCH("Cinza",W17)))</formula>
    </cfRule>
    <cfRule type="containsText" dxfId="862" priority="968" operator="containsText" text="Púrpura">
      <formula>NOT(ISERROR(SEARCH("Púrpura",W17)))</formula>
    </cfRule>
    <cfRule type="containsText" dxfId="861" priority="969" operator="containsText" text="Rosa">
      <formula>NOT(ISERROR(SEARCH("Rosa",W17)))</formula>
    </cfRule>
    <cfRule type="containsText" dxfId="860" priority="970" operator="containsText" text="Castanho">
      <formula>NOT(ISERROR(SEARCH("Castanho",W17)))</formula>
    </cfRule>
    <cfRule type="containsText" dxfId="859" priority="971" operator="containsText" text="Verde Água">
      <formula>NOT(ISERROR(SEARCH("Verde Água",W17)))</formula>
    </cfRule>
    <cfRule type="containsText" dxfId="858" priority="972" operator="containsText" text="Azul Petróleo">
      <formula>NOT(ISERROR(SEARCH("Azul Petróleo",W17)))</formula>
    </cfRule>
    <cfRule type="containsText" dxfId="857" priority="973" operator="containsText" text="Preto">
      <formula>NOT(ISERROR(SEARCH("Preto",W17)))</formula>
    </cfRule>
    <cfRule type="containsText" priority="974" operator="containsText" text="Branco">
      <formula>NOT(ISERROR(SEARCH("Branco",W17)))</formula>
    </cfRule>
  </conditionalFormatting>
  <conditionalFormatting sqref="W19">
    <cfRule type="containsText" dxfId="856" priority="957" operator="containsText" text="Cinza">
      <formula>NOT(ISERROR(SEARCH("Cinza",W19)))</formula>
    </cfRule>
    <cfRule type="containsText" dxfId="855" priority="958" operator="containsText" text="Púrpura">
      <formula>NOT(ISERROR(SEARCH("Púrpura",W19)))</formula>
    </cfRule>
    <cfRule type="containsText" dxfId="854" priority="959" operator="containsText" text="Rosa">
      <formula>NOT(ISERROR(SEARCH("Rosa",W19)))</formula>
    </cfRule>
    <cfRule type="containsText" dxfId="853" priority="960" operator="containsText" text="Castanho">
      <formula>NOT(ISERROR(SEARCH("Castanho",W19)))</formula>
    </cfRule>
    <cfRule type="containsText" dxfId="852" priority="961" operator="containsText" text="Verde Água">
      <formula>NOT(ISERROR(SEARCH("Verde Água",W19)))</formula>
    </cfRule>
    <cfRule type="containsText" dxfId="851" priority="962" operator="containsText" text="Azul Petróleo">
      <formula>NOT(ISERROR(SEARCH("Azul Petróleo",W19)))</formula>
    </cfRule>
    <cfRule type="containsText" dxfId="850" priority="963" operator="containsText" text="Preto">
      <formula>NOT(ISERROR(SEARCH("Preto",W19)))</formula>
    </cfRule>
    <cfRule type="containsText" priority="964" operator="containsText" text="Branco">
      <formula>NOT(ISERROR(SEARCH("Branco",W19)))</formula>
    </cfRule>
    <cfRule type="containsText" dxfId="849" priority="965" operator="containsText" text="Bege">
      <formula>NOT(ISERROR(SEARCH("Bege",W19)))</formula>
    </cfRule>
  </conditionalFormatting>
  <conditionalFormatting sqref="W19">
    <cfRule type="containsText" dxfId="848" priority="948" operator="containsText" text="Escuro">
      <formula>NOT(ISERROR(SEARCH("Escuro",W19)))</formula>
    </cfRule>
    <cfRule type="containsText" dxfId="847" priority="949" operator="containsText" text="Cinza">
      <formula>NOT(ISERROR(SEARCH("Cinza",W19)))</formula>
    </cfRule>
    <cfRule type="containsText" dxfId="846" priority="950" operator="containsText" text="Púrpura">
      <formula>NOT(ISERROR(SEARCH("Púrpura",W19)))</formula>
    </cfRule>
    <cfRule type="containsText" dxfId="845" priority="951" operator="containsText" text="Rosa">
      <formula>NOT(ISERROR(SEARCH("Rosa",W19)))</formula>
    </cfRule>
    <cfRule type="containsText" dxfId="844" priority="952" operator="containsText" text="Castanho">
      <formula>NOT(ISERROR(SEARCH("Castanho",W19)))</formula>
    </cfRule>
    <cfRule type="containsText" dxfId="843" priority="953" operator="containsText" text="Verde Água">
      <formula>NOT(ISERROR(SEARCH("Verde Água",W19)))</formula>
    </cfRule>
    <cfRule type="containsText" dxfId="842" priority="954" operator="containsText" text="Azul Petróleo">
      <formula>NOT(ISERROR(SEARCH("Azul Petróleo",W19)))</formula>
    </cfRule>
    <cfRule type="containsText" dxfId="841" priority="955" operator="containsText" text="Preto">
      <formula>NOT(ISERROR(SEARCH("Preto",W19)))</formula>
    </cfRule>
    <cfRule type="containsText" priority="956" operator="containsText" text="Branco">
      <formula>NOT(ISERROR(SEARCH("Branco",W19)))</formula>
    </cfRule>
  </conditionalFormatting>
  <conditionalFormatting sqref="W21">
    <cfRule type="containsText" dxfId="840" priority="939" operator="containsText" text="Cinza">
      <formula>NOT(ISERROR(SEARCH("Cinza",W21)))</formula>
    </cfRule>
    <cfRule type="containsText" dxfId="839" priority="940" operator="containsText" text="Púrpura">
      <formula>NOT(ISERROR(SEARCH("Púrpura",W21)))</formula>
    </cfRule>
    <cfRule type="containsText" dxfId="838" priority="941" operator="containsText" text="Rosa">
      <formula>NOT(ISERROR(SEARCH("Rosa",W21)))</formula>
    </cfRule>
    <cfRule type="containsText" dxfId="837" priority="942" operator="containsText" text="Castanho">
      <formula>NOT(ISERROR(SEARCH("Castanho",W21)))</formula>
    </cfRule>
    <cfRule type="containsText" dxfId="836" priority="943" operator="containsText" text="Verde Água">
      <formula>NOT(ISERROR(SEARCH("Verde Água",W21)))</formula>
    </cfRule>
    <cfRule type="containsText" dxfId="835" priority="944" operator="containsText" text="Azul Petróleo">
      <formula>NOT(ISERROR(SEARCH("Azul Petróleo",W21)))</formula>
    </cfRule>
    <cfRule type="containsText" dxfId="834" priority="945" operator="containsText" text="Preto">
      <formula>NOT(ISERROR(SEARCH("Preto",W21)))</formula>
    </cfRule>
    <cfRule type="containsText" priority="946" operator="containsText" text="Branco">
      <formula>NOT(ISERROR(SEARCH("Branco",W21)))</formula>
    </cfRule>
    <cfRule type="containsText" dxfId="833" priority="947" operator="containsText" text="Bege">
      <formula>NOT(ISERROR(SEARCH("Bege",W21)))</formula>
    </cfRule>
  </conditionalFormatting>
  <conditionalFormatting sqref="W21">
    <cfRule type="containsText" dxfId="832" priority="930" operator="containsText" text="Escuro">
      <formula>NOT(ISERROR(SEARCH("Escuro",W21)))</formula>
    </cfRule>
    <cfRule type="containsText" dxfId="831" priority="931" operator="containsText" text="Cinza">
      <formula>NOT(ISERROR(SEARCH("Cinza",W21)))</formula>
    </cfRule>
    <cfRule type="containsText" dxfId="830" priority="932" operator="containsText" text="Púrpura">
      <formula>NOT(ISERROR(SEARCH("Púrpura",W21)))</formula>
    </cfRule>
    <cfRule type="containsText" dxfId="829" priority="933" operator="containsText" text="Rosa">
      <formula>NOT(ISERROR(SEARCH("Rosa",W21)))</formula>
    </cfRule>
    <cfRule type="containsText" dxfId="828" priority="934" operator="containsText" text="Castanho">
      <formula>NOT(ISERROR(SEARCH("Castanho",W21)))</formula>
    </cfRule>
    <cfRule type="containsText" dxfId="827" priority="935" operator="containsText" text="Verde Água">
      <formula>NOT(ISERROR(SEARCH("Verde Água",W21)))</formula>
    </cfRule>
    <cfRule type="containsText" dxfId="826" priority="936" operator="containsText" text="Azul Petróleo">
      <formula>NOT(ISERROR(SEARCH("Azul Petróleo",W21)))</formula>
    </cfRule>
    <cfRule type="containsText" dxfId="825" priority="937" operator="containsText" text="Preto">
      <formula>NOT(ISERROR(SEARCH("Preto",W21)))</formula>
    </cfRule>
    <cfRule type="containsText" priority="938" operator="containsText" text="Branco">
      <formula>NOT(ISERROR(SEARCH("Branco",W21)))</formula>
    </cfRule>
  </conditionalFormatting>
  <conditionalFormatting sqref="W23">
    <cfRule type="containsText" dxfId="824" priority="921" operator="containsText" text="Cinza">
      <formula>NOT(ISERROR(SEARCH("Cinza",W23)))</formula>
    </cfRule>
    <cfRule type="containsText" dxfId="823" priority="922" operator="containsText" text="Púrpura">
      <formula>NOT(ISERROR(SEARCH("Púrpura",W23)))</formula>
    </cfRule>
    <cfRule type="containsText" dxfId="822" priority="923" operator="containsText" text="Rosa">
      <formula>NOT(ISERROR(SEARCH("Rosa",W23)))</formula>
    </cfRule>
    <cfRule type="containsText" dxfId="821" priority="924" operator="containsText" text="Castanho">
      <formula>NOT(ISERROR(SEARCH("Castanho",W23)))</formula>
    </cfRule>
    <cfRule type="containsText" dxfId="820" priority="925" operator="containsText" text="Verde Água">
      <formula>NOT(ISERROR(SEARCH("Verde Água",W23)))</formula>
    </cfRule>
    <cfRule type="containsText" dxfId="819" priority="926" operator="containsText" text="Azul Petróleo">
      <formula>NOT(ISERROR(SEARCH("Azul Petróleo",W23)))</formula>
    </cfRule>
    <cfRule type="containsText" dxfId="818" priority="927" operator="containsText" text="Preto">
      <formula>NOT(ISERROR(SEARCH("Preto",W23)))</formula>
    </cfRule>
    <cfRule type="containsText" priority="928" operator="containsText" text="Branco">
      <formula>NOT(ISERROR(SEARCH("Branco",W23)))</formula>
    </cfRule>
    <cfRule type="containsText" dxfId="817" priority="929" operator="containsText" text="Bege">
      <formula>NOT(ISERROR(SEARCH("Bege",W23)))</formula>
    </cfRule>
  </conditionalFormatting>
  <conditionalFormatting sqref="W23">
    <cfRule type="containsText" dxfId="816" priority="912" operator="containsText" text="Escuro">
      <formula>NOT(ISERROR(SEARCH("Escuro",W23)))</formula>
    </cfRule>
    <cfRule type="containsText" dxfId="815" priority="913" operator="containsText" text="Cinza">
      <formula>NOT(ISERROR(SEARCH("Cinza",W23)))</formula>
    </cfRule>
    <cfRule type="containsText" dxfId="814" priority="914" operator="containsText" text="Púrpura">
      <formula>NOT(ISERROR(SEARCH("Púrpura",W23)))</formula>
    </cfRule>
    <cfRule type="containsText" dxfId="813" priority="915" operator="containsText" text="Rosa">
      <formula>NOT(ISERROR(SEARCH("Rosa",W23)))</formula>
    </cfRule>
    <cfRule type="containsText" dxfId="812" priority="916" operator="containsText" text="Castanho">
      <formula>NOT(ISERROR(SEARCH("Castanho",W23)))</formula>
    </cfRule>
    <cfRule type="containsText" dxfId="811" priority="917" operator="containsText" text="Verde Água">
      <formula>NOT(ISERROR(SEARCH("Verde Água",W23)))</formula>
    </cfRule>
    <cfRule type="containsText" dxfId="810" priority="918" operator="containsText" text="Azul Petróleo">
      <formula>NOT(ISERROR(SEARCH("Azul Petróleo",W23)))</formula>
    </cfRule>
    <cfRule type="containsText" dxfId="809" priority="919" operator="containsText" text="Preto">
      <formula>NOT(ISERROR(SEARCH("Preto",W23)))</formula>
    </cfRule>
    <cfRule type="containsText" priority="920" operator="containsText" text="Branco">
      <formula>NOT(ISERROR(SEARCH("Branco",W23)))</formula>
    </cfRule>
  </conditionalFormatting>
  <conditionalFormatting sqref="W25">
    <cfRule type="containsText" dxfId="808" priority="903" operator="containsText" text="Cinza">
      <formula>NOT(ISERROR(SEARCH("Cinza",W25)))</formula>
    </cfRule>
    <cfRule type="containsText" dxfId="807" priority="904" operator="containsText" text="Púrpura">
      <formula>NOT(ISERROR(SEARCH("Púrpura",W25)))</formula>
    </cfRule>
    <cfRule type="containsText" dxfId="806" priority="905" operator="containsText" text="Rosa">
      <formula>NOT(ISERROR(SEARCH("Rosa",W25)))</formula>
    </cfRule>
    <cfRule type="containsText" dxfId="805" priority="906" operator="containsText" text="Castanho">
      <formula>NOT(ISERROR(SEARCH("Castanho",W25)))</formula>
    </cfRule>
    <cfRule type="containsText" dxfId="804" priority="907" operator="containsText" text="Verde Água">
      <formula>NOT(ISERROR(SEARCH("Verde Água",W25)))</formula>
    </cfRule>
    <cfRule type="containsText" dxfId="803" priority="908" operator="containsText" text="Azul Petróleo">
      <formula>NOT(ISERROR(SEARCH("Azul Petróleo",W25)))</formula>
    </cfRule>
    <cfRule type="containsText" dxfId="802" priority="909" operator="containsText" text="Preto">
      <formula>NOT(ISERROR(SEARCH("Preto",W25)))</formula>
    </cfRule>
    <cfRule type="containsText" priority="910" operator="containsText" text="Branco">
      <formula>NOT(ISERROR(SEARCH("Branco",W25)))</formula>
    </cfRule>
    <cfRule type="containsText" dxfId="801" priority="911" operator="containsText" text="Bege">
      <formula>NOT(ISERROR(SEARCH("Bege",W25)))</formula>
    </cfRule>
  </conditionalFormatting>
  <conditionalFormatting sqref="W25">
    <cfRule type="containsText" dxfId="800" priority="894" operator="containsText" text="Escuro">
      <formula>NOT(ISERROR(SEARCH("Escuro",W25)))</formula>
    </cfRule>
    <cfRule type="containsText" dxfId="799" priority="895" operator="containsText" text="Cinza">
      <formula>NOT(ISERROR(SEARCH("Cinza",W25)))</formula>
    </cfRule>
    <cfRule type="containsText" dxfId="798" priority="896" operator="containsText" text="Púrpura">
      <formula>NOT(ISERROR(SEARCH("Púrpura",W25)))</formula>
    </cfRule>
    <cfRule type="containsText" dxfId="797" priority="897" operator="containsText" text="Rosa">
      <formula>NOT(ISERROR(SEARCH("Rosa",W25)))</formula>
    </cfRule>
    <cfRule type="containsText" dxfId="796" priority="898" operator="containsText" text="Castanho">
      <formula>NOT(ISERROR(SEARCH("Castanho",W25)))</formula>
    </cfRule>
    <cfRule type="containsText" dxfId="795" priority="899" operator="containsText" text="Verde Água">
      <formula>NOT(ISERROR(SEARCH("Verde Água",W25)))</formula>
    </cfRule>
    <cfRule type="containsText" dxfId="794" priority="900" operator="containsText" text="Azul Petróleo">
      <formula>NOT(ISERROR(SEARCH("Azul Petróleo",W25)))</formula>
    </cfRule>
    <cfRule type="containsText" dxfId="793" priority="901" operator="containsText" text="Preto">
      <formula>NOT(ISERROR(SEARCH("Preto",W25)))</formula>
    </cfRule>
    <cfRule type="containsText" priority="902" operator="containsText" text="Branco">
      <formula>NOT(ISERROR(SEARCH("Branco",W25)))</formula>
    </cfRule>
  </conditionalFormatting>
  <conditionalFormatting sqref="W27">
    <cfRule type="containsText" dxfId="792" priority="885" operator="containsText" text="Cinza">
      <formula>NOT(ISERROR(SEARCH("Cinza",W27)))</formula>
    </cfRule>
    <cfRule type="containsText" dxfId="791" priority="886" operator="containsText" text="Púrpura">
      <formula>NOT(ISERROR(SEARCH("Púrpura",W27)))</formula>
    </cfRule>
    <cfRule type="containsText" dxfId="790" priority="887" operator="containsText" text="Rosa">
      <formula>NOT(ISERROR(SEARCH("Rosa",W27)))</formula>
    </cfRule>
    <cfRule type="containsText" dxfId="789" priority="888" operator="containsText" text="Castanho">
      <formula>NOT(ISERROR(SEARCH("Castanho",W27)))</formula>
    </cfRule>
    <cfRule type="containsText" dxfId="788" priority="889" operator="containsText" text="Verde Água">
      <formula>NOT(ISERROR(SEARCH("Verde Água",W27)))</formula>
    </cfRule>
    <cfRule type="containsText" dxfId="787" priority="890" operator="containsText" text="Azul Petróleo">
      <formula>NOT(ISERROR(SEARCH("Azul Petróleo",W27)))</formula>
    </cfRule>
    <cfRule type="containsText" dxfId="786" priority="891" operator="containsText" text="Preto">
      <formula>NOT(ISERROR(SEARCH("Preto",W27)))</formula>
    </cfRule>
    <cfRule type="containsText" priority="892" operator="containsText" text="Branco">
      <formula>NOT(ISERROR(SEARCH("Branco",W27)))</formula>
    </cfRule>
    <cfRule type="containsText" dxfId="785" priority="893" operator="containsText" text="Bege">
      <formula>NOT(ISERROR(SEARCH("Bege",W27)))</formula>
    </cfRule>
  </conditionalFormatting>
  <conditionalFormatting sqref="W27">
    <cfRule type="containsText" dxfId="784" priority="876" operator="containsText" text="Escuro">
      <formula>NOT(ISERROR(SEARCH("Escuro",W27)))</formula>
    </cfRule>
    <cfRule type="containsText" dxfId="783" priority="877" operator="containsText" text="Cinza">
      <formula>NOT(ISERROR(SEARCH("Cinza",W27)))</formula>
    </cfRule>
    <cfRule type="containsText" dxfId="782" priority="878" operator="containsText" text="Púrpura">
      <formula>NOT(ISERROR(SEARCH("Púrpura",W27)))</formula>
    </cfRule>
    <cfRule type="containsText" dxfId="781" priority="879" operator="containsText" text="Rosa">
      <formula>NOT(ISERROR(SEARCH("Rosa",W27)))</formula>
    </cfRule>
    <cfRule type="containsText" dxfId="780" priority="880" operator="containsText" text="Castanho">
      <formula>NOT(ISERROR(SEARCH("Castanho",W27)))</formula>
    </cfRule>
    <cfRule type="containsText" dxfId="779" priority="881" operator="containsText" text="Verde Água">
      <formula>NOT(ISERROR(SEARCH("Verde Água",W27)))</formula>
    </cfRule>
    <cfRule type="containsText" dxfId="778" priority="882" operator="containsText" text="Azul Petróleo">
      <formula>NOT(ISERROR(SEARCH("Azul Petróleo",W27)))</formula>
    </cfRule>
    <cfRule type="containsText" dxfId="777" priority="883" operator="containsText" text="Preto">
      <formula>NOT(ISERROR(SEARCH("Preto",W27)))</formula>
    </cfRule>
    <cfRule type="containsText" priority="884" operator="containsText" text="Branco">
      <formula>NOT(ISERROR(SEARCH("Branco",W27)))</formula>
    </cfRule>
  </conditionalFormatting>
  <conditionalFormatting sqref="W48">
    <cfRule type="containsText" dxfId="776" priority="867" operator="containsText" text="Cinza">
      <formula>NOT(ISERROR(SEARCH("Cinza",W48)))</formula>
    </cfRule>
    <cfRule type="containsText" dxfId="775" priority="868" operator="containsText" text="Púrpura">
      <formula>NOT(ISERROR(SEARCH("Púrpura",W48)))</formula>
    </cfRule>
    <cfRule type="containsText" dxfId="774" priority="869" operator="containsText" text="Rosa">
      <formula>NOT(ISERROR(SEARCH("Rosa",W48)))</formula>
    </cfRule>
    <cfRule type="containsText" dxfId="773" priority="870" operator="containsText" text="Castanho">
      <formula>NOT(ISERROR(SEARCH("Castanho",W48)))</formula>
    </cfRule>
    <cfRule type="containsText" dxfId="772" priority="871" operator="containsText" text="Verde Água">
      <formula>NOT(ISERROR(SEARCH("Verde Água",W48)))</formula>
    </cfRule>
    <cfRule type="containsText" dxfId="771" priority="872" operator="containsText" text="Azul Petróleo">
      <formula>NOT(ISERROR(SEARCH("Azul Petróleo",W48)))</formula>
    </cfRule>
    <cfRule type="containsText" dxfId="770" priority="873" operator="containsText" text="Preto">
      <formula>NOT(ISERROR(SEARCH("Preto",W48)))</formula>
    </cfRule>
    <cfRule type="containsText" priority="874" operator="containsText" text="Branco">
      <formula>NOT(ISERROR(SEARCH("Branco",W48)))</formula>
    </cfRule>
    <cfRule type="containsText" dxfId="769" priority="875" operator="containsText" text="Bege">
      <formula>NOT(ISERROR(SEARCH("Bege",W48)))</formula>
    </cfRule>
  </conditionalFormatting>
  <conditionalFormatting sqref="W48">
    <cfRule type="containsText" dxfId="768" priority="858" operator="containsText" text="Cinza">
      <formula>NOT(ISERROR(SEARCH("Cinza",W48)))</formula>
    </cfRule>
    <cfRule type="containsText" dxfId="767" priority="859" operator="containsText" text="Púrpura">
      <formula>NOT(ISERROR(SEARCH("Púrpura",W48)))</formula>
    </cfRule>
    <cfRule type="containsText" dxfId="766" priority="860" operator="containsText" text="Rosa">
      <formula>NOT(ISERROR(SEARCH("Rosa",W48)))</formula>
    </cfRule>
    <cfRule type="containsText" dxfId="765" priority="861" operator="containsText" text="Castanho">
      <formula>NOT(ISERROR(SEARCH("Castanho",W48)))</formula>
    </cfRule>
    <cfRule type="containsText" dxfId="764" priority="862" operator="containsText" text="Verde Água">
      <formula>NOT(ISERROR(SEARCH("Verde Água",W48)))</formula>
    </cfRule>
    <cfRule type="containsText" dxfId="763" priority="863" operator="containsText" text="Azul Petróleo">
      <formula>NOT(ISERROR(SEARCH("Azul Petróleo",W48)))</formula>
    </cfRule>
    <cfRule type="containsText" dxfId="762" priority="864" operator="containsText" text="Preto">
      <formula>NOT(ISERROR(SEARCH("Preto",W48)))</formula>
    </cfRule>
    <cfRule type="containsText" priority="865" operator="containsText" text="Branco">
      <formula>NOT(ISERROR(SEARCH("Branco",W48)))</formula>
    </cfRule>
    <cfRule type="containsText" dxfId="761" priority="866" operator="containsText" text="Bege">
      <formula>NOT(ISERROR(SEARCH("Bege",W48)))</formula>
    </cfRule>
  </conditionalFormatting>
  <conditionalFormatting sqref="W48">
    <cfRule type="containsText" dxfId="760" priority="849" operator="containsText" text="Cinza">
      <formula>NOT(ISERROR(SEARCH("Cinza",W48)))</formula>
    </cfRule>
    <cfRule type="containsText" dxfId="759" priority="850" operator="containsText" text="Púrpura">
      <formula>NOT(ISERROR(SEARCH("Púrpura",W48)))</formula>
    </cfRule>
    <cfRule type="containsText" dxfId="758" priority="851" operator="containsText" text="Rosa">
      <formula>NOT(ISERROR(SEARCH("Rosa",W48)))</formula>
    </cfRule>
    <cfRule type="containsText" dxfId="757" priority="852" operator="containsText" text="Castanho">
      <formula>NOT(ISERROR(SEARCH("Castanho",W48)))</formula>
    </cfRule>
    <cfRule type="containsText" dxfId="756" priority="853" operator="containsText" text="Verde Água">
      <formula>NOT(ISERROR(SEARCH("Verde Água",W48)))</formula>
    </cfRule>
    <cfRule type="containsText" dxfId="755" priority="854" operator="containsText" text="Azul Petróleo">
      <formula>NOT(ISERROR(SEARCH("Azul Petróleo",W48)))</formula>
    </cfRule>
    <cfRule type="containsText" dxfId="754" priority="855" operator="containsText" text="Preto">
      <formula>NOT(ISERROR(SEARCH("Preto",W48)))</formula>
    </cfRule>
    <cfRule type="containsText" priority="856" operator="containsText" text="Branco">
      <formula>NOT(ISERROR(SEARCH("Branco",W48)))</formula>
    </cfRule>
    <cfRule type="containsText" dxfId="753" priority="857" operator="containsText" text="Bege">
      <formula>NOT(ISERROR(SEARCH("Bege",W48)))</formula>
    </cfRule>
  </conditionalFormatting>
  <conditionalFormatting sqref="W48">
    <cfRule type="containsText" dxfId="752" priority="840" operator="containsText" text="Cinza">
      <formula>NOT(ISERROR(SEARCH("Cinza",W48)))</formula>
    </cfRule>
    <cfRule type="containsText" dxfId="751" priority="841" operator="containsText" text="Púrpura">
      <formula>NOT(ISERROR(SEARCH("Púrpura",W48)))</formula>
    </cfRule>
    <cfRule type="containsText" dxfId="750" priority="842" operator="containsText" text="Rosa">
      <formula>NOT(ISERROR(SEARCH("Rosa",W48)))</formula>
    </cfRule>
    <cfRule type="containsText" dxfId="749" priority="843" operator="containsText" text="Castanho">
      <formula>NOT(ISERROR(SEARCH("Castanho",W48)))</formula>
    </cfRule>
    <cfRule type="containsText" dxfId="748" priority="844" operator="containsText" text="Verde Água">
      <formula>NOT(ISERROR(SEARCH("Verde Água",W48)))</formula>
    </cfRule>
    <cfRule type="containsText" dxfId="747" priority="845" operator="containsText" text="Azul Petróleo">
      <formula>NOT(ISERROR(SEARCH("Azul Petróleo",W48)))</formula>
    </cfRule>
    <cfRule type="containsText" dxfId="746" priority="846" operator="containsText" text="Preto">
      <formula>NOT(ISERROR(SEARCH("Preto",W48)))</formula>
    </cfRule>
    <cfRule type="containsText" priority="847" operator="containsText" text="Branco">
      <formula>NOT(ISERROR(SEARCH("Branco",W48)))</formula>
    </cfRule>
    <cfRule type="containsText" dxfId="745" priority="848" operator="containsText" text="Bege">
      <formula>NOT(ISERROR(SEARCH("Bege",W48)))</formula>
    </cfRule>
  </conditionalFormatting>
  <conditionalFormatting sqref="W48">
    <cfRule type="containsText" dxfId="744" priority="831" operator="containsText" text="Cinza">
      <formula>NOT(ISERROR(SEARCH("Cinza",W48)))</formula>
    </cfRule>
    <cfRule type="containsText" dxfId="743" priority="832" operator="containsText" text="Púrpura">
      <formula>NOT(ISERROR(SEARCH("Púrpura",W48)))</formula>
    </cfRule>
    <cfRule type="containsText" dxfId="742" priority="833" operator="containsText" text="Rosa">
      <formula>NOT(ISERROR(SEARCH("Rosa",W48)))</formula>
    </cfRule>
    <cfRule type="containsText" dxfId="741" priority="834" operator="containsText" text="Castanho">
      <formula>NOT(ISERROR(SEARCH("Castanho",W48)))</formula>
    </cfRule>
    <cfRule type="containsText" dxfId="740" priority="835" operator="containsText" text="Verde Água">
      <formula>NOT(ISERROR(SEARCH("Verde Água",W48)))</formula>
    </cfRule>
    <cfRule type="containsText" dxfId="739" priority="836" operator="containsText" text="Azul Petróleo">
      <formula>NOT(ISERROR(SEARCH("Azul Petróleo",W48)))</formula>
    </cfRule>
    <cfRule type="containsText" dxfId="738" priority="837" operator="containsText" text="Preto">
      <formula>NOT(ISERROR(SEARCH("Preto",W48)))</formula>
    </cfRule>
    <cfRule type="containsText" priority="838" operator="containsText" text="Branco">
      <formula>NOT(ISERROR(SEARCH("Branco",W48)))</formula>
    </cfRule>
    <cfRule type="containsText" dxfId="737" priority="839" operator="containsText" text="Bege">
      <formula>NOT(ISERROR(SEARCH("Bege",W48)))</formula>
    </cfRule>
  </conditionalFormatting>
  <conditionalFormatting sqref="W48">
    <cfRule type="containsText" dxfId="736" priority="822" operator="containsText" text="Cinza">
      <formula>NOT(ISERROR(SEARCH("Cinza",W48)))</formula>
    </cfRule>
    <cfRule type="containsText" dxfId="735" priority="823" operator="containsText" text="Púrpura">
      <formula>NOT(ISERROR(SEARCH("Púrpura",W48)))</formula>
    </cfRule>
    <cfRule type="containsText" dxfId="734" priority="824" operator="containsText" text="Rosa">
      <formula>NOT(ISERROR(SEARCH("Rosa",W48)))</formula>
    </cfRule>
    <cfRule type="containsText" dxfId="733" priority="825" operator="containsText" text="Castanho">
      <formula>NOT(ISERROR(SEARCH("Castanho",W48)))</formula>
    </cfRule>
    <cfRule type="containsText" dxfId="732" priority="826" operator="containsText" text="Verde Água">
      <formula>NOT(ISERROR(SEARCH("Verde Água",W48)))</formula>
    </cfRule>
    <cfRule type="containsText" dxfId="731" priority="827" operator="containsText" text="Azul Petróleo">
      <formula>NOT(ISERROR(SEARCH("Azul Petróleo",W48)))</formula>
    </cfRule>
    <cfRule type="containsText" dxfId="730" priority="828" operator="containsText" text="Preto">
      <formula>NOT(ISERROR(SEARCH("Preto",W48)))</formula>
    </cfRule>
    <cfRule type="containsText" priority="829" operator="containsText" text="Branco">
      <formula>NOT(ISERROR(SEARCH("Branco",W48)))</formula>
    </cfRule>
    <cfRule type="containsText" dxfId="729" priority="830" operator="containsText" text="Bege">
      <formula>NOT(ISERROR(SEARCH("Bege",W48)))</formula>
    </cfRule>
  </conditionalFormatting>
  <conditionalFormatting sqref="W48">
    <cfRule type="containsText" dxfId="728" priority="813" operator="containsText" text="Cinza">
      <formula>NOT(ISERROR(SEARCH("Cinza",W48)))</formula>
    </cfRule>
    <cfRule type="containsText" dxfId="727" priority="814" operator="containsText" text="Púrpura">
      <formula>NOT(ISERROR(SEARCH("Púrpura",W48)))</formula>
    </cfRule>
    <cfRule type="containsText" dxfId="726" priority="815" operator="containsText" text="Rosa">
      <formula>NOT(ISERROR(SEARCH("Rosa",W48)))</formula>
    </cfRule>
    <cfRule type="containsText" dxfId="725" priority="816" operator="containsText" text="Castanho">
      <formula>NOT(ISERROR(SEARCH("Castanho",W48)))</formula>
    </cfRule>
    <cfRule type="containsText" dxfId="724" priority="817" operator="containsText" text="Verde Água">
      <formula>NOT(ISERROR(SEARCH("Verde Água",W48)))</formula>
    </cfRule>
    <cfRule type="containsText" dxfId="723" priority="818" operator="containsText" text="Azul Petróleo">
      <formula>NOT(ISERROR(SEARCH("Azul Petróleo",W48)))</formula>
    </cfRule>
    <cfRule type="containsText" dxfId="722" priority="819" operator="containsText" text="Preto">
      <formula>NOT(ISERROR(SEARCH("Preto",W48)))</formula>
    </cfRule>
    <cfRule type="containsText" priority="820" operator="containsText" text="Branco">
      <formula>NOT(ISERROR(SEARCH("Branco",W48)))</formula>
    </cfRule>
    <cfRule type="containsText" dxfId="721" priority="821" operator="containsText" text="Bege">
      <formula>NOT(ISERROR(SEARCH("Bege",W48)))</formula>
    </cfRule>
  </conditionalFormatting>
  <conditionalFormatting sqref="W48">
    <cfRule type="containsText" dxfId="720" priority="804" operator="containsText" text="Cinza">
      <formula>NOT(ISERROR(SEARCH("Cinza",W48)))</formula>
    </cfRule>
    <cfRule type="containsText" dxfId="719" priority="805" operator="containsText" text="Púrpura">
      <formula>NOT(ISERROR(SEARCH("Púrpura",W48)))</formula>
    </cfRule>
    <cfRule type="containsText" dxfId="718" priority="806" operator="containsText" text="Rosa">
      <formula>NOT(ISERROR(SEARCH("Rosa",W48)))</formula>
    </cfRule>
    <cfRule type="containsText" dxfId="717" priority="807" operator="containsText" text="Castanho">
      <formula>NOT(ISERROR(SEARCH("Castanho",W48)))</formula>
    </cfRule>
    <cfRule type="containsText" dxfId="716" priority="808" operator="containsText" text="Verde Água">
      <formula>NOT(ISERROR(SEARCH("Verde Água",W48)))</formula>
    </cfRule>
    <cfRule type="containsText" dxfId="715" priority="809" operator="containsText" text="Azul Petróleo">
      <formula>NOT(ISERROR(SEARCH("Azul Petróleo",W48)))</formula>
    </cfRule>
    <cfRule type="containsText" dxfId="714" priority="810" operator="containsText" text="Preto">
      <formula>NOT(ISERROR(SEARCH("Preto",W48)))</formula>
    </cfRule>
    <cfRule type="containsText" priority="811" operator="containsText" text="Branco">
      <formula>NOT(ISERROR(SEARCH("Branco",W48)))</formula>
    </cfRule>
    <cfRule type="containsText" dxfId="713" priority="812" operator="containsText" text="Bege">
      <formula>NOT(ISERROR(SEARCH("Bege",W48)))</formula>
    </cfRule>
  </conditionalFormatting>
  <conditionalFormatting sqref="W48">
    <cfRule type="containsText" dxfId="712" priority="795" operator="containsText" text="Cinza">
      <formula>NOT(ISERROR(SEARCH("Cinza",W48)))</formula>
    </cfRule>
    <cfRule type="containsText" dxfId="711" priority="796" operator="containsText" text="Púrpura">
      <formula>NOT(ISERROR(SEARCH("Púrpura",W48)))</formula>
    </cfRule>
    <cfRule type="containsText" dxfId="710" priority="797" operator="containsText" text="Rosa">
      <formula>NOT(ISERROR(SEARCH("Rosa",W48)))</formula>
    </cfRule>
    <cfRule type="containsText" dxfId="709" priority="798" operator="containsText" text="Castanho">
      <formula>NOT(ISERROR(SEARCH("Castanho",W48)))</formula>
    </cfRule>
    <cfRule type="containsText" dxfId="708" priority="799" operator="containsText" text="Verde Água">
      <formula>NOT(ISERROR(SEARCH("Verde Água",W48)))</formula>
    </cfRule>
    <cfRule type="containsText" dxfId="707" priority="800" operator="containsText" text="Azul Petróleo">
      <formula>NOT(ISERROR(SEARCH("Azul Petróleo",W48)))</formula>
    </cfRule>
    <cfRule type="containsText" dxfId="706" priority="801" operator="containsText" text="Preto">
      <formula>NOT(ISERROR(SEARCH("Preto",W48)))</formula>
    </cfRule>
    <cfRule type="containsText" priority="802" operator="containsText" text="Branco">
      <formula>NOT(ISERROR(SEARCH("Branco",W48)))</formula>
    </cfRule>
    <cfRule type="containsText" dxfId="705" priority="803" operator="containsText" text="Bege">
      <formula>NOT(ISERROR(SEARCH("Bege",W48)))</formula>
    </cfRule>
  </conditionalFormatting>
  <conditionalFormatting sqref="W48">
    <cfRule type="containsText" dxfId="704" priority="786" operator="containsText" text="Cinza">
      <formula>NOT(ISERROR(SEARCH("Cinza",W48)))</formula>
    </cfRule>
    <cfRule type="containsText" dxfId="703" priority="787" operator="containsText" text="Púrpura">
      <formula>NOT(ISERROR(SEARCH("Púrpura",W48)))</formula>
    </cfRule>
    <cfRule type="containsText" dxfId="702" priority="788" operator="containsText" text="Rosa">
      <formula>NOT(ISERROR(SEARCH("Rosa",W48)))</formula>
    </cfRule>
    <cfRule type="containsText" dxfId="701" priority="789" operator="containsText" text="Castanho">
      <formula>NOT(ISERROR(SEARCH("Castanho",W48)))</formula>
    </cfRule>
    <cfRule type="containsText" dxfId="700" priority="790" operator="containsText" text="Verde Água">
      <formula>NOT(ISERROR(SEARCH("Verde Água",W48)))</formula>
    </cfRule>
    <cfRule type="containsText" dxfId="699" priority="791" operator="containsText" text="Azul Petróleo">
      <formula>NOT(ISERROR(SEARCH("Azul Petróleo",W48)))</formula>
    </cfRule>
    <cfRule type="containsText" dxfId="698" priority="792" operator="containsText" text="Preto">
      <formula>NOT(ISERROR(SEARCH("Preto",W48)))</formula>
    </cfRule>
    <cfRule type="containsText" priority="793" operator="containsText" text="Branco">
      <formula>NOT(ISERROR(SEARCH("Branco",W48)))</formula>
    </cfRule>
    <cfRule type="containsText" dxfId="697" priority="794" operator="containsText" text="Bege">
      <formula>NOT(ISERROR(SEARCH("Bege",W48)))</formula>
    </cfRule>
  </conditionalFormatting>
  <conditionalFormatting sqref="W48">
    <cfRule type="containsText" dxfId="696" priority="777" operator="containsText" text="Cinza">
      <formula>NOT(ISERROR(SEARCH("Cinza",W48)))</formula>
    </cfRule>
    <cfRule type="containsText" dxfId="695" priority="778" operator="containsText" text="Púrpura">
      <formula>NOT(ISERROR(SEARCH("Púrpura",W48)))</formula>
    </cfRule>
    <cfRule type="containsText" dxfId="694" priority="779" operator="containsText" text="Rosa">
      <formula>NOT(ISERROR(SEARCH("Rosa",W48)))</formula>
    </cfRule>
    <cfRule type="containsText" dxfId="693" priority="780" operator="containsText" text="Castanho">
      <formula>NOT(ISERROR(SEARCH("Castanho",W48)))</formula>
    </cfRule>
    <cfRule type="containsText" dxfId="692" priority="781" operator="containsText" text="Verde Água">
      <formula>NOT(ISERROR(SEARCH("Verde Água",W48)))</formula>
    </cfRule>
    <cfRule type="containsText" dxfId="691" priority="782" operator="containsText" text="Azul Petróleo">
      <formula>NOT(ISERROR(SEARCH("Azul Petróleo",W48)))</formula>
    </cfRule>
    <cfRule type="containsText" dxfId="690" priority="783" operator="containsText" text="Preto">
      <formula>NOT(ISERROR(SEARCH("Preto",W48)))</formula>
    </cfRule>
    <cfRule type="containsText" priority="784" operator="containsText" text="Branco">
      <formula>NOT(ISERROR(SEARCH("Branco",W48)))</formula>
    </cfRule>
    <cfRule type="containsText" dxfId="689" priority="785" operator="containsText" text="Bege">
      <formula>NOT(ISERROR(SEARCH("Bege",W48)))</formula>
    </cfRule>
  </conditionalFormatting>
  <conditionalFormatting sqref="W48">
    <cfRule type="containsText" dxfId="688" priority="768" operator="containsText" text="Cinza">
      <formula>NOT(ISERROR(SEARCH("Cinza",W48)))</formula>
    </cfRule>
    <cfRule type="containsText" dxfId="687" priority="769" operator="containsText" text="Púrpura">
      <formula>NOT(ISERROR(SEARCH("Púrpura",W48)))</formula>
    </cfRule>
    <cfRule type="containsText" dxfId="686" priority="770" operator="containsText" text="Rosa">
      <formula>NOT(ISERROR(SEARCH("Rosa",W48)))</formula>
    </cfRule>
    <cfRule type="containsText" dxfId="685" priority="771" operator="containsText" text="Castanho">
      <formula>NOT(ISERROR(SEARCH("Castanho",W48)))</formula>
    </cfRule>
    <cfRule type="containsText" dxfId="684" priority="772" operator="containsText" text="Verde Água">
      <formula>NOT(ISERROR(SEARCH("Verde Água",W48)))</formula>
    </cfRule>
    <cfRule type="containsText" dxfId="683" priority="773" operator="containsText" text="Azul Petróleo">
      <formula>NOT(ISERROR(SEARCH("Azul Petróleo",W48)))</formula>
    </cfRule>
    <cfRule type="containsText" dxfId="682" priority="774" operator="containsText" text="Preto">
      <formula>NOT(ISERROR(SEARCH("Preto",W48)))</formula>
    </cfRule>
    <cfRule type="containsText" priority="775" operator="containsText" text="Branco">
      <formula>NOT(ISERROR(SEARCH("Branco",W48)))</formula>
    </cfRule>
    <cfRule type="containsText" dxfId="681" priority="776" operator="containsText" text="Bege">
      <formula>NOT(ISERROR(SEARCH("Bege",W48)))</formula>
    </cfRule>
  </conditionalFormatting>
  <conditionalFormatting sqref="W48">
    <cfRule type="containsText" dxfId="680" priority="759" operator="containsText" text="Cinza">
      <formula>NOT(ISERROR(SEARCH("Cinza",W48)))</formula>
    </cfRule>
    <cfRule type="containsText" dxfId="679" priority="760" operator="containsText" text="Púrpura">
      <formula>NOT(ISERROR(SEARCH("Púrpura",W48)))</formula>
    </cfRule>
    <cfRule type="containsText" dxfId="678" priority="761" operator="containsText" text="Rosa">
      <formula>NOT(ISERROR(SEARCH("Rosa",W48)))</formula>
    </cfRule>
    <cfRule type="containsText" dxfId="677" priority="762" operator="containsText" text="Castanho">
      <formula>NOT(ISERROR(SEARCH("Castanho",W48)))</formula>
    </cfRule>
    <cfRule type="containsText" dxfId="676" priority="763" operator="containsText" text="Verde Água">
      <formula>NOT(ISERROR(SEARCH("Verde Água",W48)))</formula>
    </cfRule>
    <cfRule type="containsText" dxfId="675" priority="764" operator="containsText" text="Azul Petróleo">
      <formula>NOT(ISERROR(SEARCH("Azul Petróleo",W48)))</formula>
    </cfRule>
    <cfRule type="containsText" dxfId="674" priority="765" operator="containsText" text="Preto">
      <formula>NOT(ISERROR(SEARCH("Preto",W48)))</formula>
    </cfRule>
    <cfRule type="containsText" priority="766" operator="containsText" text="Branco">
      <formula>NOT(ISERROR(SEARCH("Branco",W48)))</formula>
    </cfRule>
    <cfRule type="containsText" dxfId="673" priority="767" operator="containsText" text="Bege">
      <formula>NOT(ISERROR(SEARCH("Bege",W48)))</formula>
    </cfRule>
  </conditionalFormatting>
  <conditionalFormatting sqref="W48">
    <cfRule type="containsText" dxfId="672" priority="750" operator="containsText" text="Cinza">
      <formula>NOT(ISERROR(SEARCH("Cinza",W48)))</formula>
    </cfRule>
    <cfRule type="containsText" dxfId="671" priority="751" operator="containsText" text="Púrpura">
      <formula>NOT(ISERROR(SEARCH("Púrpura",W48)))</formula>
    </cfRule>
    <cfRule type="containsText" dxfId="670" priority="752" operator="containsText" text="Rosa">
      <formula>NOT(ISERROR(SEARCH("Rosa",W48)))</formula>
    </cfRule>
    <cfRule type="containsText" dxfId="669" priority="753" operator="containsText" text="Castanho">
      <formula>NOT(ISERROR(SEARCH("Castanho",W48)))</formula>
    </cfRule>
    <cfRule type="containsText" dxfId="668" priority="754" operator="containsText" text="Verde Água">
      <formula>NOT(ISERROR(SEARCH("Verde Água",W48)))</formula>
    </cfRule>
    <cfRule type="containsText" dxfId="667" priority="755" operator="containsText" text="Azul Petróleo">
      <formula>NOT(ISERROR(SEARCH("Azul Petróleo",W48)))</formula>
    </cfRule>
    <cfRule type="containsText" dxfId="666" priority="756" operator="containsText" text="Preto">
      <formula>NOT(ISERROR(SEARCH("Preto",W48)))</formula>
    </cfRule>
    <cfRule type="containsText" priority="757" operator="containsText" text="Branco">
      <formula>NOT(ISERROR(SEARCH("Branco",W48)))</formula>
    </cfRule>
    <cfRule type="containsText" dxfId="665" priority="758" operator="containsText" text="Bege">
      <formula>NOT(ISERROR(SEARCH("Bege",W48)))</formula>
    </cfRule>
  </conditionalFormatting>
  <conditionalFormatting sqref="W48">
    <cfRule type="containsText" dxfId="664" priority="741" operator="containsText" text="Cinza">
      <formula>NOT(ISERROR(SEARCH("Cinza",W48)))</formula>
    </cfRule>
    <cfRule type="containsText" dxfId="663" priority="742" operator="containsText" text="Púrpura">
      <formula>NOT(ISERROR(SEARCH("Púrpura",W48)))</formula>
    </cfRule>
    <cfRule type="containsText" dxfId="662" priority="743" operator="containsText" text="Rosa">
      <formula>NOT(ISERROR(SEARCH("Rosa",W48)))</formula>
    </cfRule>
    <cfRule type="containsText" dxfId="661" priority="744" operator="containsText" text="Castanho">
      <formula>NOT(ISERROR(SEARCH("Castanho",W48)))</formula>
    </cfRule>
    <cfRule type="containsText" dxfId="660" priority="745" operator="containsText" text="Verde Água">
      <formula>NOT(ISERROR(SEARCH("Verde Água",W48)))</formula>
    </cfRule>
    <cfRule type="containsText" dxfId="659" priority="746" operator="containsText" text="Azul Petróleo">
      <formula>NOT(ISERROR(SEARCH("Azul Petróleo",W48)))</formula>
    </cfRule>
    <cfRule type="containsText" dxfId="658" priority="747" operator="containsText" text="Preto">
      <formula>NOT(ISERROR(SEARCH("Preto",W48)))</formula>
    </cfRule>
    <cfRule type="containsText" priority="748" operator="containsText" text="Branco">
      <formula>NOT(ISERROR(SEARCH("Branco",W48)))</formula>
    </cfRule>
    <cfRule type="containsText" dxfId="657" priority="749" operator="containsText" text="Bege">
      <formula>NOT(ISERROR(SEARCH("Bege",W48)))</formula>
    </cfRule>
  </conditionalFormatting>
  <conditionalFormatting sqref="W48">
    <cfRule type="containsText" dxfId="656" priority="732" operator="containsText" text="Cinza">
      <formula>NOT(ISERROR(SEARCH("Cinza",W48)))</formula>
    </cfRule>
    <cfRule type="containsText" dxfId="655" priority="733" operator="containsText" text="Púrpura">
      <formula>NOT(ISERROR(SEARCH("Púrpura",W48)))</formula>
    </cfRule>
    <cfRule type="containsText" dxfId="654" priority="734" operator="containsText" text="Rosa">
      <formula>NOT(ISERROR(SEARCH("Rosa",W48)))</formula>
    </cfRule>
    <cfRule type="containsText" dxfId="653" priority="735" operator="containsText" text="Castanho">
      <formula>NOT(ISERROR(SEARCH("Castanho",W48)))</formula>
    </cfRule>
    <cfRule type="containsText" dxfId="652" priority="736" operator="containsText" text="Verde Água">
      <formula>NOT(ISERROR(SEARCH("Verde Água",W48)))</formula>
    </cfRule>
    <cfRule type="containsText" dxfId="651" priority="737" operator="containsText" text="Azul Petróleo">
      <formula>NOT(ISERROR(SEARCH("Azul Petróleo",W48)))</formula>
    </cfRule>
    <cfRule type="containsText" dxfId="650" priority="738" operator="containsText" text="Preto">
      <formula>NOT(ISERROR(SEARCH("Preto",W48)))</formula>
    </cfRule>
    <cfRule type="containsText" priority="739" operator="containsText" text="Branco">
      <formula>NOT(ISERROR(SEARCH("Branco",W48)))</formula>
    </cfRule>
    <cfRule type="containsText" dxfId="649" priority="740" operator="containsText" text="Bege">
      <formula>NOT(ISERROR(SEARCH("Bege",W48)))</formula>
    </cfRule>
  </conditionalFormatting>
  <conditionalFormatting sqref="W48">
    <cfRule type="containsText" dxfId="648" priority="723" operator="containsText" text="Escuro">
      <formula>NOT(ISERROR(SEARCH("Escuro",W48)))</formula>
    </cfRule>
    <cfRule type="containsText" dxfId="647" priority="724" operator="containsText" text="Cinza">
      <formula>NOT(ISERROR(SEARCH("Cinza",W48)))</formula>
    </cfRule>
    <cfRule type="containsText" dxfId="646" priority="725" operator="containsText" text="Púrpura">
      <formula>NOT(ISERROR(SEARCH("Púrpura",W48)))</formula>
    </cfRule>
    <cfRule type="containsText" dxfId="645" priority="726" operator="containsText" text="Rosa">
      <formula>NOT(ISERROR(SEARCH("Rosa",W48)))</formula>
    </cfRule>
    <cfRule type="containsText" dxfId="644" priority="727" operator="containsText" text="Castanho">
      <formula>NOT(ISERROR(SEARCH("Castanho",W48)))</formula>
    </cfRule>
    <cfRule type="containsText" dxfId="643" priority="728" operator="containsText" text="Verde Água">
      <formula>NOT(ISERROR(SEARCH("Verde Água",W48)))</formula>
    </cfRule>
    <cfRule type="containsText" dxfId="642" priority="729" operator="containsText" text="Azul Petróleo">
      <formula>NOT(ISERROR(SEARCH("Azul Petróleo",W48)))</formula>
    </cfRule>
    <cfRule type="containsText" dxfId="641" priority="730" operator="containsText" text="Preto">
      <formula>NOT(ISERROR(SEARCH("Preto",W48)))</formula>
    </cfRule>
    <cfRule type="containsText" priority="731" operator="containsText" text="Branco">
      <formula>NOT(ISERROR(SEARCH("Branco",W48)))</formula>
    </cfRule>
  </conditionalFormatting>
  <conditionalFormatting sqref="M92">
    <cfRule type="containsText" dxfId="640" priority="713" operator="containsText" text="Escuro">
      <formula>NOT(ISERROR(SEARCH("Escuro",M92)))</formula>
    </cfRule>
    <cfRule type="containsText" dxfId="639" priority="714" operator="containsText" text="Cinza">
      <formula>NOT(ISERROR(SEARCH("Cinza",M92)))</formula>
    </cfRule>
    <cfRule type="containsText" dxfId="638" priority="715" operator="containsText" text="Púrpura">
      <formula>NOT(ISERROR(SEARCH("Púrpura",M92)))</formula>
    </cfRule>
    <cfRule type="containsText" dxfId="637" priority="716" operator="containsText" text="Rosa">
      <formula>NOT(ISERROR(SEARCH("Rosa",M92)))</formula>
    </cfRule>
    <cfRule type="containsText" dxfId="636" priority="717" operator="containsText" text="Castanho">
      <formula>NOT(ISERROR(SEARCH("Castanho",M92)))</formula>
    </cfRule>
    <cfRule type="containsText" dxfId="635" priority="718" operator="containsText" text="Verde Água">
      <formula>NOT(ISERROR(SEARCH("Verde Água",M92)))</formula>
    </cfRule>
    <cfRule type="containsText" dxfId="634" priority="719" operator="containsText" text="Azul Petróleo">
      <formula>NOT(ISERROR(SEARCH("Azul Petróleo",M92)))</formula>
    </cfRule>
    <cfRule type="containsText" dxfId="633" priority="720" operator="containsText" text="Preto">
      <formula>NOT(ISERROR(SEARCH("Preto",M92)))</formula>
    </cfRule>
    <cfRule type="containsText" priority="721" operator="containsText" text="Branco">
      <formula>NOT(ISERROR(SEARCH("Branco",M92)))</formula>
    </cfRule>
    <cfRule type="containsText" dxfId="632" priority="722" operator="containsText" text="Bege">
      <formula>NOT(ISERROR(SEARCH("Bege",M92)))</formula>
    </cfRule>
  </conditionalFormatting>
  <conditionalFormatting sqref="M92">
    <cfRule type="containsText" dxfId="631" priority="704" operator="containsText" text="Cinza">
      <formula>NOT(ISERROR(SEARCH("Cinza",M92)))</formula>
    </cfRule>
    <cfRule type="containsText" dxfId="630" priority="705" operator="containsText" text="Púrpura">
      <formula>NOT(ISERROR(SEARCH("Púrpura",M92)))</formula>
    </cfRule>
    <cfRule type="containsText" dxfId="629" priority="706" operator="containsText" text="Rosa">
      <formula>NOT(ISERROR(SEARCH("Rosa",M92)))</formula>
    </cfRule>
    <cfRule type="containsText" dxfId="628" priority="707" operator="containsText" text="Castanho">
      <formula>NOT(ISERROR(SEARCH("Castanho",M92)))</formula>
    </cfRule>
    <cfRule type="containsText" dxfId="627" priority="708" operator="containsText" text="Verde Água">
      <formula>NOT(ISERROR(SEARCH("Verde Água",M92)))</formula>
    </cfRule>
    <cfRule type="containsText" dxfId="626" priority="709" operator="containsText" text="Azul Petróleo">
      <formula>NOT(ISERROR(SEARCH("Azul Petróleo",M92)))</formula>
    </cfRule>
    <cfRule type="containsText" dxfId="625" priority="710" operator="containsText" text="Preto">
      <formula>NOT(ISERROR(SEARCH("Preto",M92)))</formula>
    </cfRule>
    <cfRule type="containsText" priority="711" operator="containsText" text="Branco">
      <formula>NOT(ISERROR(SEARCH("Branco",M92)))</formula>
    </cfRule>
    <cfRule type="containsText" dxfId="624" priority="712" operator="containsText" text="Bege">
      <formula>NOT(ISERROR(SEARCH("Bege",M92)))</formula>
    </cfRule>
  </conditionalFormatting>
  <conditionalFormatting sqref="M92">
    <cfRule type="containsText" dxfId="623" priority="695" operator="containsText" text="Cinza">
      <formula>NOT(ISERROR(SEARCH("Cinza",M92)))</formula>
    </cfRule>
    <cfRule type="containsText" dxfId="622" priority="696" operator="containsText" text="Púrpura">
      <formula>NOT(ISERROR(SEARCH("Púrpura",M92)))</formula>
    </cfRule>
    <cfRule type="containsText" dxfId="621" priority="697" operator="containsText" text="Rosa">
      <formula>NOT(ISERROR(SEARCH("Rosa",M92)))</formula>
    </cfRule>
    <cfRule type="containsText" dxfId="620" priority="698" operator="containsText" text="Castanho">
      <formula>NOT(ISERROR(SEARCH("Castanho",M92)))</formula>
    </cfRule>
    <cfRule type="containsText" dxfId="619" priority="699" operator="containsText" text="Verde Água">
      <formula>NOT(ISERROR(SEARCH("Verde Água",M92)))</formula>
    </cfRule>
    <cfRule type="containsText" dxfId="618" priority="700" operator="containsText" text="Azul Petróleo">
      <formula>NOT(ISERROR(SEARCH("Azul Petróleo",M92)))</formula>
    </cfRule>
    <cfRule type="containsText" dxfId="617" priority="701" operator="containsText" text="Preto">
      <formula>NOT(ISERROR(SEARCH("Preto",M92)))</formula>
    </cfRule>
    <cfRule type="containsText" priority="702" operator="containsText" text="Branco">
      <formula>NOT(ISERROR(SEARCH("Branco",M92)))</formula>
    </cfRule>
    <cfRule type="containsText" dxfId="616" priority="703" operator="containsText" text="Bege">
      <formula>NOT(ISERROR(SEARCH("Bege",M92)))</formula>
    </cfRule>
  </conditionalFormatting>
  <conditionalFormatting sqref="M92">
    <cfRule type="containsText" dxfId="615" priority="686" operator="containsText" text="Cinza">
      <formula>NOT(ISERROR(SEARCH("Cinza",M92)))</formula>
    </cfRule>
    <cfRule type="containsText" dxfId="614" priority="687" operator="containsText" text="Púrpura">
      <formula>NOT(ISERROR(SEARCH("Púrpura",M92)))</formula>
    </cfRule>
    <cfRule type="containsText" dxfId="613" priority="688" operator="containsText" text="Rosa">
      <formula>NOT(ISERROR(SEARCH("Rosa",M92)))</formula>
    </cfRule>
    <cfRule type="containsText" dxfId="612" priority="689" operator="containsText" text="Castanho">
      <formula>NOT(ISERROR(SEARCH("Castanho",M92)))</formula>
    </cfRule>
    <cfRule type="containsText" dxfId="611" priority="690" operator="containsText" text="Verde Água">
      <formula>NOT(ISERROR(SEARCH("Verde Água",M92)))</formula>
    </cfRule>
    <cfRule type="containsText" dxfId="610" priority="691" operator="containsText" text="Azul Petróleo">
      <formula>NOT(ISERROR(SEARCH("Azul Petróleo",M92)))</formula>
    </cfRule>
    <cfRule type="containsText" dxfId="609" priority="692" operator="containsText" text="Preto">
      <formula>NOT(ISERROR(SEARCH("Preto",M92)))</formula>
    </cfRule>
    <cfRule type="containsText" priority="693" operator="containsText" text="Branco">
      <formula>NOT(ISERROR(SEARCH("Branco",M92)))</formula>
    </cfRule>
    <cfRule type="containsText" dxfId="608" priority="694" operator="containsText" text="Bege">
      <formula>NOT(ISERROR(SEARCH("Bege",M92)))</formula>
    </cfRule>
  </conditionalFormatting>
  <conditionalFormatting sqref="M92">
    <cfRule type="containsText" dxfId="607" priority="677" operator="containsText" text="Cinza">
      <formula>NOT(ISERROR(SEARCH("Cinza",M92)))</formula>
    </cfRule>
    <cfRule type="containsText" dxfId="606" priority="678" operator="containsText" text="Púrpura">
      <formula>NOT(ISERROR(SEARCH("Púrpura",M92)))</formula>
    </cfRule>
    <cfRule type="containsText" dxfId="605" priority="679" operator="containsText" text="Rosa">
      <formula>NOT(ISERROR(SEARCH("Rosa",M92)))</formula>
    </cfRule>
    <cfRule type="containsText" dxfId="604" priority="680" operator="containsText" text="Castanho">
      <formula>NOT(ISERROR(SEARCH("Castanho",M92)))</formula>
    </cfRule>
    <cfRule type="containsText" dxfId="603" priority="681" operator="containsText" text="Verde Água">
      <formula>NOT(ISERROR(SEARCH("Verde Água",M92)))</formula>
    </cfRule>
    <cfRule type="containsText" dxfId="602" priority="682" operator="containsText" text="Azul Petróleo">
      <formula>NOT(ISERROR(SEARCH("Azul Petróleo",M92)))</formula>
    </cfRule>
    <cfRule type="containsText" dxfId="601" priority="683" operator="containsText" text="Preto">
      <formula>NOT(ISERROR(SEARCH("Preto",M92)))</formula>
    </cfRule>
    <cfRule type="containsText" priority="684" operator="containsText" text="Branco">
      <formula>NOT(ISERROR(SEARCH("Branco",M92)))</formula>
    </cfRule>
    <cfRule type="containsText" dxfId="600" priority="685" operator="containsText" text="Bege">
      <formula>NOT(ISERROR(SEARCH("Bege",M92)))</formula>
    </cfRule>
  </conditionalFormatting>
  <conditionalFormatting sqref="M92">
    <cfRule type="containsText" dxfId="599" priority="668" operator="containsText" text="Cinza">
      <formula>NOT(ISERROR(SEARCH("Cinza",M92)))</formula>
    </cfRule>
    <cfRule type="containsText" dxfId="598" priority="669" operator="containsText" text="Púrpura">
      <formula>NOT(ISERROR(SEARCH("Púrpura",M92)))</formula>
    </cfRule>
    <cfRule type="containsText" dxfId="597" priority="670" operator="containsText" text="Rosa">
      <formula>NOT(ISERROR(SEARCH("Rosa",M92)))</formula>
    </cfRule>
    <cfRule type="containsText" dxfId="596" priority="671" operator="containsText" text="Castanho">
      <formula>NOT(ISERROR(SEARCH("Castanho",M92)))</formula>
    </cfRule>
    <cfRule type="containsText" dxfId="595" priority="672" operator="containsText" text="Verde Água">
      <formula>NOT(ISERROR(SEARCH("Verde Água",M92)))</formula>
    </cfRule>
    <cfRule type="containsText" dxfId="594" priority="673" operator="containsText" text="Azul Petróleo">
      <formula>NOT(ISERROR(SEARCH("Azul Petróleo",M92)))</formula>
    </cfRule>
    <cfRule type="containsText" dxfId="593" priority="674" operator="containsText" text="Preto">
      <formula>NOT(ISERROR(SEARCH("Preto",M92)))</formula>
    </cfRule>
    <cfRule type="containsText" priority="675" operator="containsText" text="Branco">
      <formula>NOT(ISERROR(SEARCH("Branco",M92)))</formula>
    </cfRule>
    <cfRule type="containsText" dxfId="592" priority="676" operator="containsText" text="Bege">
      <formula>NOT(ISERROR(SEARCH("Bege",M92)))</formula>
    </cfRule>
  </conditionalFormatting>
  <conditionalFormatting sqref="M92">
    <cfRule type="containsText" dxfId="591" priority="659" operator="containsText" text="Cinza">
      <formula>NOT(ISERROR(SEARCH("Cinza",M92)))</formula>
    </cfRule>
    <cfRule type="containsText" dxfId="590" priority="660" operator="containsText" text="Púrpura">
      <formula>NOT(ISERROR(SEARCH("Púrpura",M92)))</formula>
    </cfRule>
    <cfRule type="containsText" dxfId="589" priority="661" operator="containsText" text="Rosa">
      <formula>NOT(ISERROR(SEARCH("Rosa",M92)))</formula>
    </cfRule>
    <cfRule type="containsText" dxfId="588" priority="662" operator="containsText" text="Castanho">
      <formula>NOT(ISERROR(SEARCH("Castanho",M92)))</formula>
    </cfRule>
    <cfRule type="containsText" dxfId="587" priority="663" operator="containsText" text="Verde Água">
      <formula>NOT(ISERROR(SEARCH("Verde Água",M92)))</formula>
    </cfRule>
    <cfRule type="containsText" dxfId="586" priority="664" operator="containsText" text="Azul Petróleo">
      <formula>NOT(ISERROR(SEARCH("Azul Petróleo",M92)))</formula>
    </cfRule>
    <cfRule type="containsText" dxfId="585" priority="665" operator="containsText" text="Preto">
      <formula>NOT(ISERROR(SEARCH("Preto",M92)))</formula>
    </cfRule>
    <cfRule type="containsText" priority="666" operator="containsText" text="Branco">
      <formula>NOT(ISERROR(SEARCH("Branco",M92)))</formula>
    </cfRule>
    <cfRule type="containsText" dxfId="584" priority="667" operator="containsText" text="Bege">
      <formula>NOT(ISERROR(SEARCH("Bege",M92)))</formula>
    </cfRule>
  </conditionalFormatting>
  <conditionalFormatting sqref="M92">
    <cfRule type="containsText" dxfId="583" priority="650" operator="containsText" text="Cinza">
      <formula>NOT(ISERROR(SEARCH("Cinza",M92)))</formula>
    </cfRule>
    <cfRule type="containsText" dxfId="582" priority="651" operator="containsText" text="Púrpura">
      <formula>NOT(ISERROR(SEARCH("Púrpura",M92)))</formula>
    </cfRule>
    <cfRule type="containsText" dxfId="581" priority="652" operator="containsText" text="Rosa">
      <formula>NOT(ISERROR(SEARCH("Rosa",M92)))</formula>
    </cfRule>
    <cfRule type="containsText" dxfId="580" priority="653" operator="containsText" text="Castanho">
      <formula>NOT(ISERROR(SEARCH("Castanho",M92)))</formula>
    </cfRule>
    <cfRule type="containsText" dxfId="579" priority="654" operator="containsText" text="Verde Água">
      <formula>NOT(ISERROR(SEARCH("Verde Água",M92)))</formula>
    </cfRule>
    <cfRule type="containsText" dxfId="578" priority="655" operator="containsText" text="Azul Petróleo">
      <formula>NOT(ISERROR(SEARCH("Azul Petróleo",M92)))</formula>
    </cfRule>
    <cfRule type="containsText" dxfId="577" priority="656" operator="containsText" text="Preto">
      <formula>NOT(ISERROR(SEARCH("Preto",M92)))</formula>
    </cfRule>
    <cfRule type="containsText" priority="657" operator="containsText" text="Branco">
      <formula>NOT(ISERROR(SEARCH("Branco",M92)))</formula>
    </cfRule>
    <cfRule type="containsText" dxfId="576" priority="658" operator="containsText" text="Bege">
      <formula>NOT(ISERROR(SEARCH("Bege",M92)))</formula>
    </cfRule>
  </conditionalFormatting>
  <conditionalFormatting sqref="M92">
    <cfRule type="containsText" dxfId="575" priority="641" operator="containsText" text="Cinza">
      <formula>NOT(ISERROR(SEARCH("Cinza",M92)))</formula>
    </cfRule>
    <cfRule type="containsText" dxfId="574" priority="642" operator="containsText" text="Púrpura">
      <formula>NOT(ISERROR(SEARCH("Púrpura",M92)))</formula>
    </cfRule>
    <cfRule type="containsText" dxfId="573" priority="643" operator="containsText" text="Rosa">
      <formula>NOT(ISERROR(SEARCH("Rosa",M92)))</formula>
    </cfRule>
    <cfRule type="containsText" dxfId="572" priority="644" operator="containsText" text="Castanho">
      <formula>NOT(ISERROR(SEARCH("Castanho",M92)))</formula>
    </cfRule>
    <cfRule type="containsText" dxfId="571" priority="645" operator="containsText" text="Verde Água">
      <formula>NOT(ISERROR(SEARCH("Verde Água",M92)))</formula>
    </cfRule>
    <cfRule type="containsText" dxfId="570" priority="646" operator="containsText" text="Azul Petróleo">
      <formula>NOT(ISERROR(SEARCH("Azul Petróleo",M92)))</formula>
    </cfRule>
    <cfRule type="containsText" dxfId="569" priority="647" operator="containsText" text="Preto">
      <formula>NOT(ISERROR(SEARCH("Preto",M92)))</formula>
    </cfRule>
    <cfRule type="containsText" priority="648" operator="containsText" text="Branco">
      <formula>NOT(ISERROR(SEARCH("Branco",M92)))</formula>
    </cfRule>
    <cfRule type="containsText" dxfId="568" priority="649" operator="containsText" text="Bege">
      <formula>NOT(ISERROR(SEARCH("Bege",M92)))</formula>
    </cfRule>
  </conditionalFormatting>
  <conditionalFormatting sqref="M92">
    <cfRule type="containsText" dxfId="567" priority="632" operator="containsText" text="Cinza">
      <formula>NOT(ISERROR(SEARCH("Cinza",M92)))</formula>
    </cfRule>
    <cfRule type="containsText" dxfId="566" priority="633" operator="containsText" text="Púrpura">
      <formula>NOT(ISERROR(SEARCH("Púrpura",M92)))</formula>
    </cfRule>
    <cfRule type="containsText" dxfId="565" priority="634" operator="containsText" text="Rosa">
      <formula>NOT(ISERROR(SEARCH("Rosa",M92)))</formula>
    </cfRule>
    <cfRule type="containsText" dxfId="564" priority="635" operator="containsText" text="Castanho">
      <formula>NOT(ISERROR(SEARCH("Castanho",M92)))</formula>
    </cfRule>
    <cfRule type="containsText" dxfId="563" priority="636" operator="containsText" text="Verde Água">
      <formula>NOT(ISERROR(SEARCH("Verde Água",M92)))</formula>
    </cfRule>
    <cfRule type="containsText" dxfId="562" priority="637" operator="containsText" text="Azul Petróleo">
      <formula>NOT(ISERROR(SEARCH("Azul Petróleo",M92)))</formula>
    </cfRule>
    <cfRule type="containsText" dxfId="561" priority="638" operator="containsText" text="Preto">
      <formula>NOT(ISERROR(SEARCH("Preto",M92)))</formula>
    </cfRule>
    <cfRule type="containsText" priority="639" operator="containsText" text="Branco">
      <formula>NOT(ISERROR(SEARCH("Branco",M92)))</formula>
    </cfRule>
    <cfRule type="containsText" dxfId="560" priority="640" operator="containsText" text="Bege">
      <formula>NOT(ISERROR(SEARCH("Bege",M92)))</formula>
    </cfRule>
  </conditionalFormatting>
  <conditionalFormatting sqref="M92">
    <cfRule type="containsText" dxfId="559" priority="623" operator="containsText" text="Cinza">
      <formula>NOT(ISERROR(SEARCH("Cinza",M92)))</formula>
    </cfRule>
    <cfRule type="containsText" dxfId="558" priority="624" operator="containsText" text="Púrpura">
      <formula>NOT(ISERROR(SEARCH("Púrpura",M92)))</formula>
    </cfRule>
    <cfRule type="containsText" dxfId="557" priority="625" operator="containsText" text="Rosa">
      <formula>NOT(ISERROR(SEARCH("Rosa",M92)))</formula>
    </cfRule>
    <cfRule type="containsText" dxfId="556" priority="626" operator="containsText" text="Castanho">
      <formula>NOT(ISERROR(SEARCH("Castanho",M92)))</formula>
    </cfRule>
    <cfRule type="containsText" dxfId="555" priority="627" operator="containsText" text="Verde Água">
      <formula>NOT(ISERROR(SEARCH("Verde Água",M92)))</formula>
    </cfRule>
    <cfRule type="containsText" dxfId="554" priority="628" operator="containsText" text="Azul Petróleo">
      <formula>NOT(ISERROR(SEARCH("Azul Petróleo",M92)))</formula>
    </cfRule>
    <cfRule type="containsText" dxfId="553" priority="629" operator="containsText" text="Preto">
      <formula>NOT(ISERROR(SEARCH("Preto",M92)))</formula>
    </cfRule>
    <cfRule type="containsText" priority="630" operator="containsText" text="Branco">
      <formula>NOT(ISERROR(SEARCH("Branco",M92)))</formula>
    </cfRule>
    <cfRule type="containsText" dxfId="552" priority="631" operator="containsText" text="Bege">
      <formula>NOT(ISERROR(SEARCH("Bege",M92)))</formula>
    </cfRule>
  </conditionalFormatting>
  <conditionalFormatting sqref="M92">
    <cfRule type="containsText" dxfId="551" priority="614" operator="containsText" text="Cinza">
      <formula>NOT(ISERROR(SEARCH("Cinza",M92)))</formula>
    </cfRule>
    <cfRule type="containsText" dxfId="550" priority="615" operator="containsText" text="Púrpura">
      <formula>NOT(ISERROR(SEARCH("Púrpura",M92)))</formula>
    </cfRule>
    <cfRule type="containsText" dxfId="549" priority="616" operator="containsText" text="Rosa">
      <formula>NOT(ISERROR(SEARCH("Rosa",M92)))</formula>
    </cfRule>
    <cfRule type="containsText" dxfId="548" priority="617" operator="containsText" text="Castanho">
      <formula>NOT(ISERROR(SEARCH("Castanho",M92)))</formula>
    </cfRule>
    <cfRule type="containsText" dxfId="547" priority="618" operator="containsText" text="Verde Água">
      <formula>NOT(ISERROR(SEARCH("Verde Água",M92)))</formula>
    </cfRule>
    <cfRule type="containsText" dxfId="546" priority="619" operator="containsText" text="Azul Petróleo">
      <formula>NOT(ISERROR(SEARCH("Azul Petróleo",M92)))</formula>
    </cfRule>
    <cfRule type="containsText" dxfId="545" priority="620" operator="containsText" text="Preto">
      <formula>NOT(ISERROR(SEARCH("Preto",M92)))</formula>
    </cfRule>
    <cfRule type="containsText" priority="621" operator="containsText" text="Branco">
      <formula>NOT(ISERROR(SEARCH("Branco",M92)))</formula>
    </cfRule>
    <cfRule type="containsText" dxfId="544" priority="622" operator="containsText" text="Bege">
      <formula>NOT(ISERROR(SEARCH("Bege",M92)))</formula>
    </cfRule>
  </conditionalFormatting>
  <conditionalFormatting sqref="M92">
    <cfRule type="containsText" dxfId="543" priority="605" operator="containsText" text="Cinza">
      <formula>NOT(ISERROR(SEARCH("Cinza",M92)))</formula>
    </cfRule>
    <cfRule type="containsText" dxfId="542" priority="606" operator="containsText" text="Púrpura">
      <formula>NOT(ISERROR(SEARCH("Púrpura",M92)))</formula>
    </cfRule>
    <cfRule type="containsText" dxfId="541" priority="607" operator="containsText" text="Rosa">
      <formula>NOT(ISERROR(SEARCH("Rosa",M92)))</formula>
    </cfRule>
    <cfRule type="containsText" dxfId="540" priority="608" operator="containsText" text="Castanho">
      <formula>NOT(ISERROR(SEARCH("Castanho",M92)))</formula>
    </cfRule>
    <cfRule type="containsText" dxfId="539" priority="609" operator="containsText" text="Verde Água">
      <formula>NOT(ISERROR(SEARCH("Verde Água",M92)))</formula>
    </cfRule>
    <cfRule type="containsText" dxfId="538" priority="610" operator="containsText" text="Azul Petróleo">
      <formula>NOT(ISERROR(SEARCH("Azul Petróleo",M92)))</formula>
    </cfRule>
    <cfRule type="containsText" dxfId="537" priority="611" operator="containsText" text="Preto">
      <formula>NOT(ISERROR(SEARCH("Preto",M92)))</formula>
    </cfRule>
    <cfRule type="containsText" priority="612" operator="containsText" text="Branco">
      <formula>NOT(ISERROR(SEARCH("Branco",M92)))</formula>
    </cfRule>
    <cfRule type="containsText" dxfId="536" priority="613" operator="containsText" text="Bege">
      <formula>NOT(ISERROR(SEARCH("Bege",M92)))</formula>
    </cfRule>
  </conditionalFormatting>
  <conditionalFormatting sqref="M92">
    <cfRule type="containsText" dxfId="535" priority="596" operator="containsText" text="Cinza">
      <formula>NOT(ISERROR(SEARCH("Cinza",M92)))</formula>
    </cfRule>
    <cfRule type="containsText" dxfId="534" priority="597" operator="containsText" text="Púrpura">
      <formula>NOT(ISERROR(SEARCH("Púrpura",M92)))</formula>
    </cfRule>
    <cfRule type="containsText" dxfId="533" priority="598" operator="containsText" text="Rosa">
      <formula>NOT(ISERROR(SEARCH("Rosa",M92)))</formula>
    </cfRule>
    <cfRule type="containsText" dxfId="532" priority="599" operator="containsText" text="Castanho">
      <formula>NOT(ISERROR(SEARCH("Castanho",M92)))</formula>
    </cfRule>
    <cfRule type="containsText" dxfId="531" priority="600" operator="containsText" text="Verde Água">
      <formula>NOT(ISERROR(SEARCH("Verde Água",M92)))</formula>
    </cfRule>
    <cfRule type="containsText" dxfId="530" priority="601" operator="containsText" text="Azul Petróleo">
      <formula>NOT(ISERROR(SEARCH("Azul Petróleo",M92)))</formula>
    </cfRule>
    <cfRule type="containsText" dxfId="529" priority="602" operator="containsText" text="Preto">
      <formula>NOT(ISERROR(SEARCH("Preto",M92)))</formula>
    </cfRule>
    <cfRule type="containsText" priority="603" operator="containsText" text="Branco">
      <formula>NOT(ISERROR(SEARCH("Branco",M92)))</formula>
    </cfRule>
    <cfRule type="containsText" dxfId="528" priority="604" operator="containsText" text="Bege">
      <formula>NOT(ISERROR(SEARCH("Bege",M92)))</formula>
    </cfRule>
  </conditionalFormatting>
  <conditionalFormatting sqref="M92">
    <cfRule type="containsText" dxfId="527" priority="587" operator="containsText" text="Cinza">
      <formula>NOT(ISERROR(SEARCH("Cinza",M92)))</formula>
    </cfRule>
    <cfRule type="containsText" dxfId="526" priority="588" operator="containsText" text="Púrpura">
      <formula>NOT(ISERROR(SEARCH("Púrpura",M92)))</formula>
    </cfRule>
    <cfRule type="containsText" dxfId="525" priority="589" operator="containsText" text="Rosa">
      <formula>NOT(ISERROR(SEARCH("Rosa",M92)))</formula>
    </cfRule>
    <cfRule type="containsText" dxfId="524" priority="590" operator="containsText" text="Castanho">
      <formula>NOT(ISERROR(SEARCH("Castanho",M92)))</formula>
    </cfRule>
    <cfRule type="containsText" dxfId="523" priority="591" operator="containsText" text="Verde Água">
      <formula>NOT(ISERROR(SEARCH("Verde Água",M92)))</formula>
    </cfRule>
    <cfRule type="containsText" dxfId="522" priority="592" operator="containsText" text="Azul Petróleo">
      <formula>NOT(ISERROR(SEARCH("Azul Petróleo",M92)))</formula>
    </cfRule>
    <cfRule type="containsText" dxfId="521" priority="593" operator="containsText" text="Preto">
      <formula>NOT(ISERROR(SEARCH("Preto",M92)))</formula>
    </cfRule>
    <cfRule type="containsText" priority="594" operator="containsText" text="Branco">
      <formula>NOT(ISERROR(SEARCH("Branco",M92)))</formula>
    </cfRule>
    <cfRule type="containsText" dxfId="520" priority="595" operator="containsText" text="Bege">
      <formula>NOT(ISERROR(SEARCH("Bege",M92)))</formula>
    </cfRule>
  </conditionalFormatting>
  <conditionalFormatting sqref="M92">
    <cfRule type="containsText" dxfId="519" priority="578" operator="containsText" text="Cinza">
      <formula>NOT(ISERROR(SEARCH("Cinza",M92)))</formula>
    </cfRule>
    <cfRule type="containsText" dxfId="518" priority="579" operator="containsText" text="Púrpura">
      <formula>NOT(ISERROR(SEARCH("Púrpura",M92)))</formula>
    </cfRule>
    <cfRule type="containsText" dxfId="517" priority="580" operator="containsText" text="Rosa">
      <formula>NOT(ISERROR(SEARCH("Rosa",M92)))</formula>
    </cfRule>
    <cfRule type="containsText" dxfId="516" priority="581" operator="containsText" text="Castanho">
      <formula>NOT(ISERROR(SEARCH("Castanho",M92)))</formula>
    </cfRule>
    <cfRule type="containsText" dxfId="515" priority="582" operator="containsText" text="Verde Água">
      <formula>NOT(ISERROR(SEARCH("Verde Água",M92)))</formula>
    </cfRule>
    <cfRule type="containsText" dxfId="514" priority="583" operator="containsText" text="Azul Petróleo">
      <formula>NOT(ISERROR(SEARCH("Azul Petróleo",M92)))</formula>
    </cfRule>
    <cfRule type="containsText" dxfId="513" priority="584" operator="containsText" text="Preto">
      <formula>NOT(ISERROR(SEARCH("Preto",M92)))</formula>
    </cfRule>
    <cfRule type="containsText" priority="585" operator="containsText" text="Branco">
      <formula>NOT(ISERROR(SEARCH("Branco",M92)))</formula>
    </cfRule>
    <cfRule type="containsText" dxfId="512" priority="586" operator="containsText" text="Bege">
      <formula>NOT(ISERROR(SEARCH("Bege",M92)))</formula>
    </cfRule>
  </conditionalFormatting>
  <conditionalFormatting sqref="M92">
    <cfRule type="containsText" dxfId="511" priority="569" operator="containsText" text="Cinza">
      <formula>NOT(ISERROR(SEARCH("Cinza",M92)))</formula>
    </cfRule>
    <cfRule type="containsText" dxfId="510" priority="570" operator="containsText" text="Púrpura">
      <formula>NOT(ISERROR(SEARCH("Púrpura",M92)))</formula>
    </cfRule>
    <cfRule type="containsText" dxfId="509" priority="571" operator="containsText" text="Rosa">
      <formula>NOT(ISERROR(SEARCH("Rosa",M92)))</formula>
    </cfRule>
    <cfRule type="containsText" dxfId="508" priority="572" operator="containsText" text="Castanho">
      <formula>NOT(ISERROR(SEARCH("Castanho",M92)))</formula>
    </cfRule>
    <cfRule type="containsText" dxfId="507" priority="573" operator="containsText" text="Verde Água">
      <formula>NOT(ISERROR(SEARCH("Verde Água",M92)))</formula>
    </cfRule>
    <cfRule type="containsText" dxfId="506" priority="574" operator="containsText" text="Azul Petróleo">
      <formula>NOT(ISERROR(SEARCH("Azul Petróleo",M92)))</formula>
    </cfRule>
    <cfRule type="containsText" dxfId="505" priority="575" operator="containsText" text="Preto">
      <formula>NOT(ISERROR(SEARCH("Preto",M92)))</formula>
    </cfRule>
    <cfRule type="containsText" priority="576" operator="containsText" text="Branco">
      <formula>NOT(ISERROR(SEARCH("Branco",M92)))</formula>
    </cfRule>
    <cfRule type="containsText" dxfId="504" priority="577" operator="containsText" text="Bege">
      <formula>NOT(ISERROR(SEARCH("Bege",M92)))</formula>
    </cfRule>
  </conditionalFormatting>
  <conditionalFormatting sqref="M92">
    <cfRule type="containsText" dxfId="503" priority="560" operator="containsText" text="Cinza">
      <formula>NOT(ISERROR(SEARCH("Cinza",M92)))</formula>
    </cfRule>
    <cfRule type="containsText" dxfId="502" priority="561" operator="containsText" text="Púrpura">
      <formula>NOT(ISERROR(SEARCH("Púrpura",M92)))</formula>
    </cfRule>
    <cfRule type="containsText" dxfId="501" priority="562" operator="containsText" text="Rosa">
      <formula>NOT(ISERROR(SEARCH("Rosa",M92)))</formula>
    </cfRule>
    <cfRule type="containsText" dxfId="500" priority="563" operator="containsText" text="Castanho">
      <formula>NOT(ISERROR(SEARCH("Castanho",M92)))</formula>
    </cfRule>
    <cfRule type="containsText" dxfId="499" priority="564" operator="containsText" text="Verde Água">
      <formula>NOT(ISERROR(SEARCH("Verde Água",M92)))</formula>
    </cfRule>
    <cfRule type="containsText" dxfId="498" priority="565" operator="containsText" text="Azul Petróleo">
      <formula>NOT(ISERROR(SEARCH("Azul Petróleo",M92)))</formula>
    </cfRule>
    <cfRule type="containsText" dxfId="497" priority="566" operator="containsText" text="Preto">
      <formula>NOT(ISERROR(SEARCH("Preto",M92)))</formula>
    </cfRule>
    <cfRule type="containsText" priority="567" operator="containsText" text="Branco">
      <formula>NOT(ISERROR(SEARCH("Branco",M92)))</formula>
    </cfRule>
    <cfRule type="containsText" dxfId="496" priority="568" operator="containsText" text="Bege">
      <formula>NOT(ISERROR(SEARCH("Bege",M92)))</formula>
    </cfRule>
  </conditionalFormatting>
  <conditionalFormatting sqref="M92">
    <cfRule type="containsText" dxfId="495" priority="551" operator="containsText" text="Cinza">
      <formula>NOT(ISERROR(SEARCH("Cinza",M92)))</formula>
    </cfRule>
    <cfRule type="containsText" dxfId="494" priority="552" operator="containsText" text="Púrpura">
      <formula>NOT(ISERROR(SEARCH("Púrpura",M92)))</formula>
    </cfRule>
    <cfRule type="containsText" dxfId="493" priority="553" operator="containsText" text="Rosa">
      <formula>NOT(ISERROR(SEARCH("Rosa",M92)))</formula>
    </cfRule>
    <cfRule type="containsText" dxfId="492" priority="554" operator="containsText" text="Castanho">
      <formula>NOT(ISERROR(SEARCH("Castanho",M92)))</formula>
    </cfRule>
    <cfRule type="containsText" dxfId="491" priority="555" operator="containsText" text="Verde Água">
      <formula>NOT(ISERROR(SEARCH("Verde Água",M92)))</formula>
    </cfRule>
    <cfRule type="containsText" dxfId="490" priority="556" operator="containsText" text="Azul Petróleo">
      <formula>NOT(ISERROR(SEARCH("Azul Petróleo",M92)))</formula>
    </cfRule>
    <cfRule type="containsText" dxfId="489" priority="557" operator="containsText" text="Preto">
      <formula>NOT(ISERROR(SEARCH("Preto",M92)))</formula>
    </cfRule>
    <cfRule type="containsText" priority="558" operator="containsText" text="Branco">
      <formula>NOT(ISERROR(SEARCH("Branco",M92)))</formula>
    </cfRule>
    <cfRule type="containsText" dxfId="488" priority="559" operator="containsText" text="Bege">
      <formula>NOT(ISERROR(SEARCH("Bege",M92)))</formula>
    </cfRule>
  </conditionalFormatting>
  <conditionalFormatting sqref="M92">
    <cfRule type="containsText" dxfId="487" priority="542" operator="containsText" text="Cinza">
      <formula>NOT(ISERROR(SEARCH("Cinza",M92)))</formula>
    </cfRule>
    <cfRule type="containsText" dxfId="486" priority="543" operator="containsText" text="Púrpura">
      <formula>NOT(ISERROR(SEARCH("Púrpura",M92)))</formula>
    </cfRule>
    <cfRule type="containsText" dxfId="485" priority="544" operator="containsText" text="Rosa">
      <formula>NOT(ISERROR(SEARCH("Rosa",M92)))</formula>
    </cfRule>
    <cfRule type="containsText" dxfId="484" priority="545" operator="containsText" text="Castanho">
      <formula>NOT(ISERROR(SEARCH("Castanho",M92)))</formula>
    </cfRule>
    <cfRule type="containsText" dxfId="483" priority="546" operator="containsText" text="Verde Água">
      <formula>NOT(ISERROR(SEARCH("Verde Água",M92)))</formula>
    </cfRule>
    <cfRule type="containsText" dxfId="482" priority="547" operator="containsText" text="Azul Petróleo">
      <formula>NOT(ISERROR(SEARCH("Azul Petróleo",M92)))</formula>
    </cfRule>
    <cfRule type="containsText" dxfId="481" priority="548" operator="containsText" text="Preto">
      <formula>NOT(ISERROR(SEARCH("Preto",M92)))</formula>
    </cfRule>
    <cfRule type="containsText" priority="549" operator="containsText" text="Branco">
      <formula>NOT(ISERROR(SEARCH("Branco",M92)))</formula>
    </cfRule>
    <cfRule type="containsText" dxfId="480" priority="550" operator="containsText" text="Bege">
      <formula>NOT(ISERROR(SEARCH("Bege",M92)))</formula>
    </cfRule>
  </conditionalFormatting>
  <conditionalFormatting sqref="M92">
    <cfRule type="containsText" dxfId="479" priority="533" operator="containsText" text="Cinza">
      <formula>NOT(ISERROR(SEARCH("Cinza",M92)))</formula>
    </cfRule>
    <cfRule type="containsText" dxfId="478" priority="534" operator="containsText" text="Púrpura">
      <formula>NOT(ISERROR(SEARCH("Púrpura",M92)))</formula>
    </cfRule>
    <cfRule type="containsText" dxfId="477" priority="535" operator="containsText" text="Rosa">
      <formula>NOT(ISERROR(SEARCH("Rosa",M92)))</formula>
    </cfRule>
    <cfRule type="containsText" dxfId="476" priority="536" operator="containsText" text="Castanho">
      <formula>NOT(ISERROR(SEARCH("Castanho",M92)))</formula>
    </cfRule>
    <cfRule type="containsText" dxfId="475" priority="537" operator="containsText" text="Verde Água">
      <formula>NOT(ISERROR(SEARCH("Verde Água",M92)))</formula>
    </cfRule>
    <cfRule type="containsText" dxfId="474" priority="538" operator="containsText" text="Azul Petróleo">
      <formula>NOT(ISERROR(SEARCH("Azul Petróleo",M92)))</formula>
    </cfRule>
    <cfRule type="containsText" dxfId="473" priority="539" operator="containsText" text="Preto">
      <formula>NOT(ISERROR(SEARCH("Preto",M92)))</formula>
    </cfRule>
    <cfRule type="containsText" priority="540" operator="containsText" text="Branco">
      <formula>NOT(ISERROR(SEARCH("Branco",M92)))</formula>
    </cfRule>
    <cfRule type="containsText" dxfId="472" priority="541" operator="containsText" text="Bege">
      <formula>NOT(ISERROR(SEARCH("Bege",M92)))</formula>
    </cfRule>
  </conditionalFormatting>
  <conditionalFormatting sqref="M92">
    <cfRule type="containsText" dxfId="471" priority="524" operator="containsText" text="Cinza">
      <formula>NOT(ISERROR(SEARCH("Cinza",M92)))</formula>
    </cfRule>
    <cfRule type="containsText" dxfId="470" priority="525" operator="containsText" text="Púrpura">
      <formula>NOT(ISERROR(SEARCH("Púrpura",M92)))</formula>
    </cfRule>
    <cfRule type="containsText" dxfId="469" priority="526" operator="containsText" text="Rosa">
      <formula>NOT(ISERROR(SEARCH("Rosa",M92)))</formula>
    </cfRule>
    <cfRule type="containsText" dxfId="468" priority="527" operator="containsText" text="Castanho">
      <formula>NOT(ISERROR(SEARCH("Castanho",M92)))</formula>
    </cfRule>
    <cfRule type="containsText" dxfId="467" priority="528" operator="containsText" text="Verde Água">
      <formula>NOT(ISERROR(SEARCH("Verde Água",M92)))</formula>
    </cfRule>
    <cfRule type="containsText" dxfId="466" priority="529" operator="containsText" text="Azul Petróleo">
      <formula>NOT(ISERROR(SEARCH("Azul Petróleo",M92)))</formula>
    </cfRule>
    <cfRule type="containsText" dxfId="465" priority="530" operator="containsText" text="Preto">
      <formula>NOT(ISERROR(SEARCH("Preto",M92)))</formula>
    </cfRule>
    <cfRule type="containsText" priority="531" operator="containsText" text="Branco">
      <formula>NOT(ISERROR(SEARCH("Branco",M92)))</formula>
    </cfRule>
    <cfRule type="containsText" dxfId="464" priority="532" operator="containsText" text="Bege">
      <formula>NOT(ISERROR(SEARCH("Bege",M92)))</formula>
    </cfRule>
  </conditionalFormatting>
  <conditionalFormatting sqref="M92">
    <cfRule type="containsText" dxfId="463" priority="515" operator="containsText" text="Cinza">
      <formula>NOT(ISERROR(SEARCH("Cinza",M92)))</formula>
    </cfRule>
    <cfRule type="containsText" dxfId="462" priority="516" operator="containsText" text="Púrpura">
      <formula>NOT(ISERROR(SEARCH("Púrpura",M92)))</formula>
    </cfRule>
    <cfRule type="containsText" dxfId="461" priority="517" operator="containsText" text="Rosa">
      <formula>NOT(ISERROR(SEARCH("Rosa",M92)))</formula>
    </cfRule>
    <cfRule type="containsText" dxfId="460" priority="518" operator="containsText" text="Castanho">
      <formula>NOT(ISERROR(SEARCH("Castanho",M92)))</formula>
    </cfRule>
    <cfRule type="containsText" dxfId="459" priority="519" operator="containsText" text="Verde Água">
      <formula>NOT(ISERROR(SEARCH("Verde Água",M92)))</formula>
    </cfRule>
    <cfRule type="containsText" dxfId="458" priority="520" operator="containsText" text="Azul Petróleo">
      <formula>NOT(ISERROR(SEARCH("Azul Petróleo",M92)))</formula>
    </cfRule>
    <cfRule type="containsText" dxfId="457" priority="521" operator="containsText" text="Preto">
      <formula>NOT(ISERROR(SEARCH("Preto",M92)))</formula>
    </cfRule>
    <cfRule type="containsText" priority="522" operator="containsText" text="Branco">
      <formula>NOT(ISERROR(SEARCH("Branco",M92)))</formula>
    </cfRule>
    <cfRule type="containsText" dxfId="456" priority="523" operator="containsText" text="Bege">
      <formula>NOT(ISERROR(SEARCH("Bege",M92)))</formula>
    </cfRule>
  </conditionalFormatting>
  <conditionalFormatting sqref="M92">
    <cfRule type="containsText" dxfId="455" priority="506" operator="containsText" text="Cinza">
      <formula>NOT(ISERROR(SEARCH("Cinza",M92)))</formula>
    </cfRule>
    <cfRule type="containsText" dxfId="454" priority="507" operator="containsText" text="Púrpura">
      <formula>NOT(ISERROR(SEARCH("Púrpura",M92)))</formula>
    </cfRule>
    <cfRule type="containsText" dxfId="453" priority="508" operator="containsText" text="Rosa">
      <formula>NOT(ISERROR(SEARCH("Rosa",M92)))</formula>
    </cfRule>
    <cfRule type="containsText" dxfId="452" priority="509" operator="containsText" text="Castanho">
      <formula>NOT(ISERROR(SEARCH("Castanho",M92)))</formula>
    </cfRule>
    <cfRule type="containsText" dxfId="451" priority="510" operator="containsText" text="Verde Água">
      <formula>NOT(ISERROR(SEARCH("Verde Água",M92)))</formula>
    </cfRule>
    <cfRule type="containsText" dxfId="450" priority="511" operator="containsText" text="Azul Petróleo">
      <formula>NOT(ISERROR(SEARCH("Azul Petróleo",M92)))</formula>
    </cfRule>
    <cfRule type="containsText" dxfId="449" priority="512" operator="containsText" text="Preto">
      <formula>NOT(ISERROR(SEARCH("Preto",M92)))</formula>
    </cfRule>
    <cfRule type="containsText" priority="513" operator="containsText" text="Branco">
      <formula>NOT(ISERROR(SEARCH("Branco",M92)))</formula>
    </cfRule>
    <cfRule type="containsText" dxfId="448" priority="514" operator="containsText" text="Bege">
      <formula>NOT(ISERROR(SEARCH("Bege",M92)))</formula>
    </cfRule>
  </conditionalFormatting>
  <conditionalFormatting sqref="M92">
    <cfRule type="containsText" dxfId="447" priority="497" operator="containsText" text="Cinza">
      <formula>NOT(ISERROR(SEARCH("Cinza",M92)))</formula>
    </cfRule>
    <cfRule type="containsText" dxfId="446" priority="498" operator="containsText" text="Púrpura">
      <formula>NOT(ISERROR(SEARCH("Púrpura",M92)))</formula>
    </cfRule>
    <cfRule type="containsText" dxfId="445" priority="499" operator="containsText" text="Rosa">
      <formula>NOT(ISERROR(SEARCH("Rosa",M92)))</formula>
    </cfRule>
    <cfRule type="containsText" dxfId="444" priority="500" operator="containsText" text="Castanho">
      <formula>NOT(ISERROR(SEARCH("Castanho",M92)))</formula>
    </cfRule>
    <cfRule type="containsText" dxfId="443" priority="501" operator="containsText" text="Verde Água">
      <formula>NOT(ISERROR(SEARCH("Verde Água",M92)))</formula>
    </cfRule>
    <cfRule type="containsText" dxfId="442" priority="502" operator="containsText" text="Azul Petróleo">
      <formula>NOT(ISERROR(SEARCH("Azul Petróleo",M92)))</formula>
    </cfRule>
    <cfRule type="containsText" dxfId="441" priority="503" operator="containsText" text="Preto">
      <formula>NOT(ISERROR(SEARCH("Preto",M92)))</formula>
    </cfRule>
    <cfRule type="containsText" priority="504" operator="containsText" text="Branco">
      <formula>NOT(ISERROR(SEARCH("Branco",M92)))</formula>
    </cfRule>
    <cfRule type="containsText" dxfId="440" priority="505" operator="containsText" text="Bege">
      <formula>NOT(ISERROR(SEARCH("Bege",M92)))</formula>
    </cfRule>
  </conditionalFormatting>
  <conditionalFormatting sqref="M92">
    <cfRule type="containsText" dxfId="439" priority="488" operator="containsText" text="Cinza">
      <formula>NOT(ISERROR(SEARCH("Cinza",M92)))</formula>
    </cfRule>
    <cfRule type="containsText" dxfId="438" priority="489" operator="containsText" text="Púrpura">
      <formula>NOT(ISERROR(SEARCH("Púrpura",M92)))</formula>
    </cfRule>
    <cfRule type="containsText" dxfId="437" priority="490" operator="containsText" text="Rosa">
      <formula>NOT(ISERROR(SEARCH("Rosa",M92)))</formula>
    </cfRule>
    <cfRule type="containsText" dxfId="436" priority="491" operator="containsText" text="Castanho">
      <formula>NOT(ISERROR(SEARCH("Castanho",M92)))</formula>
    </cfRule>
    <cfRule type="containsText" dxfId="435" priority="492" operator="containsText" text="Verde Água">
      <formula>NOT(ISERROR(SEARCH("Verde Água",M92)))</formula>
    </cfRule>
    <cfRule type="containsText" dxfId="434" priority="493" operator="containsText" text="Azul Petróleo">
      <formula>NOT(ISERROR(SEARCH("Azul Petróleo",M92)))</formula>
    </cfRule>
    <cfRule type="containsText" dxfId="433" priority="494" operator="containsText" text="Preto">
      <formula>NOT(ISERROR(SEARCH("Preto",M92)))</formula>
    </cfRule>
    <cfRule type="containsText" priority="495" operator="containsText" text="Branco">
      <formula>NOT(ISERROR(SEARCH("Branco",M92)))</formula>
    </cfRule>
    <cfRule type="containsText" dxfId="432" priority="496" operator="containsText" text="Bege">
      <formula>NOT(ISERROR(SEARCH("Bege",M92)))</formula>
    </cfRule>
  </conditionalFormatting>
  <conditionalFormatting sqref="M92">
    <cfRule type="containsText" dxfId="431" priority="479" operator="containsText" text="Cinza">
      <formula>NOT(ISERROR(SEARCH("Cinza",M92)))</formula>
    </cfRule>
    <cfRule type="containsText" dxfId="430" priority="480" operator="containsText" text="Púrpura">
      <formula>NOT(ISERROR(SEARCH("Púrpura",M92)))</formula>
    </cfRule>
    <cfRule type="containsText" dxfId="429" priority="481" operator="containsText" text="Rosa">
      <formula>NOT(ISERROR(SEARCH("Rosa",M92)))</formula>
    </cfRule>
    <cfRule type="containsText" dxfId="428" priority="482" operator="containsText" text="Castanho">
      <formula>NOT(ISERROR(SEARCH("Castanho",M92)))</formula>
    </cfRule>
    <cfRule type="containsText" dxfId="427" priority="483" operator="containsText" text="Verde Água">
      <formula>NOT(ISERROR(SEARCH("Verde Água",M92)))</formula>
    </cfRule>
    <cfRule type="containsText" dxfId="426" priority="484" operator="containsText" text="Azul Petróleo">
      <formula>NOT(ISERROR(SEARCH("Azul Petróleo",M92)))</formula>
    </cfRule>
    <cfRule type="containsText" dxfId="425" priority="485" operator="containsText" text="Preto">
      <formula>NOT(ISERROR(SEARCH("Preto",M92)))</formula>
    </cfRule>
    <cfRule type="containsText" priority="486" operator="containsText" text="Branco">
      <formula>NOT(ISERROR(SEARCH("Branco",M92)))</formula>
    </cfRule>
    <cfRule type="containsText" dxfId="424" priority="487" operator="containsText" text="Bege">
      <formula>NOT(ISERROR(SEARCH("Bege",M92)))</formula>
    </cfRule>
  </conditionalFormatting>
  <conditionalFormatting sqref="M92">
    <cfRule type="containsText" dxfId="423" priority="470" operator="containsText" text="Cinza">
      <formula>NOT(ISERROR(SEARCH("Cinza",M92)))</formula>
    </cfRule>
    <cfRule type="containsText" dxfId="422" priority="471" operator="containsText" text="Púrpura">
      <formula>NOT(ISERROR(SEARCH("Púrpura",M92)))</formula>
    </cfRule>
    <cfRule type="containsText" dxfId="421" priority="472" operator="containsText" text="Rosa">
      <formula>NOT(ISERROR(SEARCH("Rosa",M92)))</formula>
    </cfRule>
    <cfRule type="containsText" dxfId="420" priority="473" operator="containsText" text="Castanho">
      <formula>NOT(ISERROR(SEARCH("Castanho",M92)))</formula>
    </cfRule>
    <cfRule type="containsText" dxfId="419" priority="474" operator="containsText" text="Verde Água">
      <formula>NOT(ISERROR(SEARCH("Verde Água",M92)))</formula>
    </cfRule>
    <cfRule type="containsText" dxfId="418" priority="475" operator="containsText" text="Azul Petróleo">
      <formula>NOT(ISERROR(SEARCH("Azul Petróleo",M92)))</formula>
    </cfRule>
    <cfRule type="containsText" dxfId="417" priority="476" operator="containsText" text="Preto">
      <formula>NOT(ISERROR(SEARCH("Preto",M92)))</formula>
    </cfRule>
    <cfRule type="containsText" priority="477" operator="containsText" text="Branco">
      <formula>NOT(ISERROR(SEARCH("Branco",M92)))</formula>
    </cfRule>
    <cfRule type="containsText" dxfId="416" priority="478" operator="containsText" text="Bege">
      <formula>NOT(ISERROR(SEARCH("Bege",M92)))</formula>
    </cfRule>
  </conditionalFormatting>
  <conditionalFormatting sqref="M92">
    <cfRule type="containsText" dxfId="415" priority="461" operator="containsText" text="Cinza">
      <formula>NOT(ISERROR(SEARCH("Cinza",M92)))</formula>
    </cfRule>
    <cfRule type="containsText" dxfId="414" priority="462" operator="containsText" text="Púrpura">
      <formula>NOT(ISERROR(SEARCH("Púrpura",M92)))</formula>
    </cfRule>
    <cfRule type="containsText" dxfId="413" priority="463" operator="containsText" text="Rosa">
      <formula>NOT(ISERROR(SEARCH("Rosa",M92)))</formula>
    </cfRule>
    <cfRule type="containsText" dxfId="412" priority="464" operator="containsText" text="Castanho">
      <formula>NOT(ISERROR(SEARCH("Castanho",M92)))</formula>
    </cfRule>
    <cfRule type="containsText" dxfId="411" priority="465" operator="containsText" text="Verde Água">
      <formula>NOT(ISERROR(SEARCH("Verde Água",M92)))</formula>
    </cfRule>
    <cfRule type="containsText" dxfId="410" priority="466" operator="containsText" text="Azul Petróleo">
      <formula>NOT(ISERROR(SEARCH("Azul Petróleo",M92)))</formula>
    </cfRule>
    <cfRule type="containsText" dxfId="409" priority="467" operator="containsText" text="Preto">
      <formula>NOT(ISERROR(SEARCH("Preto",M92)))</formula>
    </cfRule>
    <cfRule type="containsText" priority="468" operator="containsText" text="Branco">
      <formula>NOT(ISERROR(SEARCH("Branco",M92)))</formula>
    </cfRule>
    <cfRule type="containsText" dxfId="408" priority="469" operator="containsText" text="Bege">
      <formula>NOT(ISERROR(SEARCH("Bege",M92)))</formula>
    </cfRule>
  </conditionalFormatting>
  <conditionalFormatting sqref="M92">
    <cfRule type="containsText" dxfId="407" priority="452" operator="containsText" text="Cinza">
      <formula>NOT(ISERROR(SEARCH("Cinza",M92)))</formula>
    </cfRule>
    <cfRule type="containsText" dxfId="406" priority="453" operator="containsText" text="Púrpura">
      <formula>NOT(ISERROR(SEARCH("Púrpura",M92)))</formula>
    </cfRule>
    <cfRule type="containsText" dxfId="405" priority="454" operator="containsText" text="Rosa">
      <formula>NOT(ISERROR(SEARCH("Rosa",M92)))</formula>
    </cfRule>
    <cfRule type="containsText" dxfId="404" priority="455" operator="containsText" text="Castanho">
      <formula>NOT(ISERROR(SEARCH("Castanho",M92)))</formula>
    </cfRule>
    <cfRule type="containsText" dxfId="403" priority="456" operator="containsText" text="Verde Água">
      <formula>NOT(ISERROR(SEARCH("Verde Água",M92)))</formula>
    </cfRule>
    <cfRule type="containsText" dxfId="402" priority="457" operator="containsText" text="Azul Petróleo">
      <formula>NOT(ISERROR(SEARCH("Azul Petróleo",M92)))</formula>
    </cfRule>
    <cfRule type="containsText" dxfId="401" priority="458" operator="containsText" text="Preto">
      <formula>NOT(ISERROR(SEARCH("Preto",M92)))</formula>
    </cfRule>
    <cfRule type="containsText" priority="459" operator="containsText" text="Branco">
      <formula>NOT(ISERROR(SEARCH("Branco",M92)))</formula>
    </cfRule>
    <cfRule type="containsText" dxfId="400" priority="460" operator="containsText" text="Bege">
      <formula>NOT(ISERROR(SEARCH("Bege",M92)))</formula>
    </cfRule>
  </conditionalFormatting>
  <conditionalFormatting sqref="M92">
    <cfRule type="containsText" dxfId="399" priority="443" operator="containsText" text="Cinza">
      <formula>NOT(ISERROR(SEARCH("Cinza",M92)))</formula>
    </cfRule>
    <cfRule type="containsText" dxfId="398" priority="444" operator="containsText" text="Púrpura">
      <formula>NOT(ISERROR(SEARCH("Púrpura",M92)))</formula>
    </cfRule>
    <cfRule type="containsText" dxfId="397" priority="445" operator="containsText" text="Rosa">
      <formula>NOT(ISERROR(SEARCH("Rosa",M92)))</formula>
    </cfRule>
    <cfRule type="containsText" dxfId="396" priority="446" operator="containsText" text="Castanho">
      <formula>NOT(ISERROR(SEARCH("Castanho",M92)))</formula>
    </cfRule>
    <cfRule type="containsText" dxfId="395" priority="447" operator="containsText" text="Verde Água">
      <formula>NOT(ISERROR(SEARCH("Verde Água",M92)))</formula>
    </cfRule>
    <cfRule type="containsText" dxfId="394" priority="448" operator="containsText" text="Azul Petróleo">
      <formula>NOT(ISERROR(SEARCH("Azul Petróleo",M92)))</formula>
    </cfRule>
    <cfRule type="containsText" dxfId="393" priority="449" operator="containsText" text="Preto">
      <formula>NOT(ISERROR(SEARCH("Preto",M92)))</formula>
    </cfRule>
    <cfRule type="containsText" priority="450" operator="containsText" text="Branco">
      <formula>NOT(ISERROR(SEARCH("Branco",M92)))</formula>
    </cfRule>
    <cfRule type="containsText" dxfId="392" priority="451" operator="containsText" text="Bege">
      <formula>NOT(ISERROR(SEARCH("Bege",M92)))</formula>
    </cfRule>
  </conditionalFormatting>
  <conditionalFormatting sqref="M92">
    <cfRule type="containsText" dxfId="391" priority="434" operator="containsText" text="Cinza">
      <formula>NOT(ISERROR(SEARCH("Cinza",M92)))</formula>
    </cfRule>
    <cfRule type="containsText" dxfId="390" priority="435" operator="containsText" text="Púrpura">
      <formula>NOT(ISERROR(SEARCH("Púrpura",M92)))</formula>
    </cfRule>
    <cfRule type="containsText" dxfId="389" priority="436" operator="containsText" text="Rosa">
      <formula>NOT(ISERROR(SEARCH("Rosa",M92)))</formula>
    </cfRule>
    <cfRule type="containsText" dxfId="388" priority="437" operator="containsText" text="Castanho">
      <formula>NOT(ISERROR(SEARCH("Castanho",M92)))</formula>
    </cfRule>
    <cfRule type="containsText" dxfId="387" priority="438" operator="containsText" text="Verde Água">
      <formula>NOT(ISERROR(SEARCH("Verde Água",M92)))</formula>
    </cfRule>
    <cfRule type="containsText" dxfId="386" priority="439" operator="containsText" text="Azul Petróleo">
      <formula>NOT(ISERROR(SEARCH("Azul Petróleo",M92)))</formula>
    </cfRule>
    <cfRule type="containsText" dxfId="385" priority="440" operator="containsText" text="Preto">
      <formula>NOT(ISERROR(SEARCH("Preto",M92)))</formula>
    </cfRule>
    <cfRule type="containsText" priority="441" operator="containsText" text="Branco">
      <formula>NOT(ISERROR(SEARCH("Branco",M92)))</formula>
    </cfRule>
    <cfRule type="containsText" dxfId="384" priority="442" operator="containsText" text="Bege">
      <formula>NOT(ISERROR(SEARCH("Bege",M92)))</formula>
    </cfRule>
  </conditionalFormatting>
  <conditionalFormatting sqref="M92">
    <cfRule type="containsText" dxfId="383" priority="425" operator="containsText" text="Escuro">
      <formula>NOT(ISERROR(SEARCH("Escuro",M92)))</formula>
    </cfRule>
    <cfRule type="containsText" dxfId="382" priority="426" operator="containsText" text="Cinza">
      <formula>NOT(ISERROR(SEARCH("Cinza",M92)))</formula>
    </cfRule>
    <cfRule type="containsText" dxfId="381" priority="427" operator="containsText" text="Púrpura">
      <formula>NOT(ISERROR(SEARCH("Púrpura",M92)))</formula>
    </cfRule>
    <cfRule type="containsText" dxfId="380" priority="428" operator="containsText" text="Rosa">
      <formula>NOT(ISERROR(SEARCH("Rosa",M92)))</formula>
    </cfRule>
    <cfRule type="containsText" dxfId="379" priority="429" operator="containsText" text="Castanho">
      <formula>NOT(ISERROR(SEARCH("Castanho",M92)))</formula>
    </cfRule>
    <cfRule type="containsText" dxfId="378" priority="430" operator="containsText" text="Verde Água">
      <formula>NOT(ISERROR(SEARCH("Verde Água",M92)))</formula>
    </cfRule>
    <cfRule type="containsText" dxfId="377" priority="431" operator="containsText" text="Azul Petróleo">
      <formula>NOT(ISERROR(SEARCH("Azul Petróleo",M92)))</formula>
    </cfRule>
    <cfRule type="containsText" dxfId="376" priority="432" operator="containsText" text="Preto">
      <formula>NOT(ISERROR(SEARCH("Preto",M92)))</formula>
    </cfRule>
    <cfRule type="containsText" priority="433" operator="containsText" text="Branco">
      <formula>NOT(ISERROR(SEARCH("Branco",M92)))</formula>
    </cfRule>
  </conditionalFormatting>
  <conditionalFormatting sqref="M92">
    <cfRule type="containsText" dxfId="375" priority="415" operator="containsText" text="Escuro">
      <formula>NOT(ISERROR(SEARCH("Escuro",M92)))</formula>
    </cfRule>
    <cfRule type="containsText" dxfId="374" priority="416" operator="containsText" text="Cinza">
      <formula>NOT(ISERROR(SEARCH("Cinza",M92)))</formula>
    </cfRule>
    <cfRule type="containsText" dxfId="373" priority="417" operator="containsText" text="Púrpura">
      <formula>NOT(ISERROR(SEARCH("Púrpura",M92)))</formula>
    </cfRule>
    <cfRule type="containsText" dxfId="372" priority="418" operator="containsText" text="Rosa">
      <formula>NOT(ISERROR(SEARCH("Rosa",M92)))</formula>
    </cfRule>
    <cfRule type="containsText" dxfId="371" priority="419" operator="containsText" text="Castanho">
      <formula>NOT(ISERROR(SEARCH("Castanho",M92)))</formula>
    </cfRule>
    <cfRule type="containsText" dxfId="370" priority="420" operator="containsText" text="Verde Água">
      <formula>NOT(ISERROR(SEARCH("Verde Água",M92)))</formula>
    </cfRule>
    <cfRule type="containsText" dxfId="369" priority="421" operator="containsText" text="Azul Petróleo">
      <formula>NOT(ISERROR(SEARCH("Azul Petróleo",M92)))</formula>
    </cfRule>
    <cfRule type="containsText" dxfId="368" priority="422" operator="containsText" text="Preto">
      <formula>NOT(ISERROR(SEARCH("Preto",M92)))</formula>
    </cfRule>
    <cfRule type="containsText" priority="423" operator="containsText" text="Branco">
      <formula>NOT(ISERROR(SEARCH("Branco",M92)))</formula>
    </cfRule>
    <cfRule type="containsText" dxfId="367" priority="424" operator="containsText" text="Bege">
      <formula>NOT(ISERROR(SEARCH("Bege",M92)))</formula>
    </cfRule>
  </conditionalFormatting>
  <conditionalFormatting sqref="M92">
    <cfRule type="containsText" dxfId="366" priority="406" operator="containsText" text="Cinza">
      <formula>NOT(ISERROR(SEARCH("Cinza",M92)))</formula>
    </cfRule>
    <cfRule type="containsText" dxfId="365" priority="407" operator="containsText" text="Púrpura">
      <formula>NOT(ISERROR(SEARCH("Púrpura",M92)))</formula>
    </cfRule>
    <cfRule type="containsText" dxfId="364" priority="408" operator="containsText" text="Rosa">
      <formula>NOT(ISERROR(SEARCH("Rosa",M92)))</formula>
    </cfRule>
    <cfRule type="containsText" dxfId="363" priority="409" operator="containsText" text="Castanho">
      <formula>NOT(ISERROR(SEARCH("Castanho",M92)))</formula>
    </cfRule>
    <cfRule type="containsText" dxfId="362" priority="410" operator="containsText" text="Verde Água">
      <formula>NOT(ISERROR(SEARCH("Verde Água",M92)))</formula>
    </cfRule>
    <cfRule type="containsText" dxfId="361" priority="411" operator="containsText" text="Azul Petróleo">
      <formula>NOT(ISERROR(SEARCH("Azul Petróleo",M92)))</formula>
    </cfRule>
    <cfRule type="containsText" dxfId="360" priority="412" operator="containsText" text="Preto">
      <formula>NOT(ISERROR(SEARCH("Preto",M92)))</formula>
    </cfRule>
    <cfRule type="containsText" priority="413" operator="containsText" text="Branco">
      <formula>NOT(ISERROR(SEARCH("Branco",M92)))</formula>
    </cfRule>
    <cfRule type="containsText" dxfId="359" priority="414" operator="containsText" text="Bege">
      <formula>NOT(ISERROR(SEARCH("Bege",M92)))</formula>
    </cfRule>
  </conditionalFormatting>
  <conditionalFormatting sqref="M92">
    <cfRule type="containsText" dxfId="358" priority="397" operator="containsText" text="Cinza">
      <formula>NOT(ISERROR(SEARCH("Cinza",M92)))</formula>
    </cfRule>
    <cfRule type="containsText" dxfId="357" priority="398" operator="containsText" text="Púrpura">
      <formula>NOT(ISERROR(SEARCH("Púrpura",M92)))</formula>
    </cfRule>
    <cfRule type="containsText" dxfId="356" priority="399" operator="containsText" text="Rosa">
      <formula>NOT(ISERROR(SEARCH("Rosa",M92)))</formula>
    </cfRule>
    <cfRule type="containsText" dxfId="355" priority="400" operator="containsText" text="Castanho">
      <formula>NOT(ISERROR(SEARCH("Castanho",M92)))</formula>
    </cfRule>
    <cfRule type="containsText" dxfId="354" priority="401" operator="containsText" text="Verde Água">
      <formula>NOT(ISERROR(SEARCH("Verde Água",M92)))</formula>
    </cfRule>
    <cfRule type="containsText" dxfId="353" priority="402" operator="containsText" text="Azul Petróleo">
      <formula>NOT(ISERROR(SEARCH("Azul Petróleo",M92)))</formula>
    </cfRule>
    <cfRule type="containsText" dxfId="352" priority="403" operator="containsText" text="Preto">
      <formula>NOT(ISERROR(SEARCH("Preto",M92)))</formula>
    </cfRule>
    <cfRule type="containsText" priority="404" operator="containsText" text="Branco">
      <formula>NOT(ISERROR(SEARCH("Branco",M92)))</formula>
    </cfRule>
    <cfRule type="containsText" dxfId="351" priority="405" operator="containsText" text="Bege">
      <formula>NOT(ISERROR(SEARCH("Bege",M92)))</formula>
    </cfRule>
  </conditionalFormatting>
  <conditionalFormatting sqref="M92">
    <cfRule type="containsText" dxfId="350" priority="388" operator="containsText" text="Cinza">
      <formula>NOT(ISERROR(SEARCH("Cinza",M92)))</formula>
    </cfRule>
    <cfRule type="containsText" dxfId="349" priority="389" operator="containsText" text="Púrpura">
      <formula>NOT(ISERROR(SEARCH("Púrpura",M92)))</formula>
    </cfRule>
    <cfRule type="containsText" dxfId="348" priority="390" operator="containsText" text="Rosa">
      <formula>NOT(ISERROR(SEARCH("Rosa",M92)))</formula>
    </cfRule>
    <cfRule type="containsText" dxfId="347" priority="391" operator="containsText" text="Castanho">
      <formula>NOT(ISERROR(SEARCH("Castanho",M92)))</formula>
    </cfRule>
    <cfRule type="containsText" dxfId="346" priority="392" operator="containsText" text="Verde Água">
      <formula>NOT(ISERROR(SEARCH("Verde Água",M92)))</formula>
    </cfRule>
    <cfRule type="containsText" dxfId="345" priority="393" operator="containsText" text="Azul Petróleo">
      <formula>NOT(ISERROR(SEARCH("Azul Petróleo",M92)))</formula>
    </cfRule>
    <cfRule type="containsText" dxfId="344" priority="394" operator="containsText" text="Preto">
      <formula>NOT(ISERROR(SEARCH("Preto",M92)))</formula>
    </cfRule>
    <cfRule type="containsText" priority="395" operator="containsText" text="Branco">
      <formula>NOT(ISERROR(SEARCH("Branco",M92)))</formula>
    </cfRule>
    <cfRule type="containsText" dxfId="343" priority="396" operator="containsText" text="Bege">
      <formula>NOT(ISERROR(SEARCH("Bege",M92)))</formula>
    </cfRule>
  </conditionalFormatting>
  <conditionalFormatting sqref="M92">
    <cfRule type="containsText" dxfId="342" priority="379" operator="containsText" text="Cinza">
      <formula>NOT(ISERROR(SEARCH("Cinza",M92)))</formula>
    </cfRule>
    <cfRule type="containsText" dxfId="341" priority="380" operator="containsText" text="Púrpura">
      <formula>NOT(ISERROR(SEARCH("Púrpura",M92)))</formula>
    </cfRule>
    <cfRule type="containsText" dxfId="340" priority="381" operator="containsText" text="Rosa">
      <formula>NOT(ISERROR(SEARCH("Rosa",M92)))</formula>
    </cfRule>
    <cfRule type="containsText" dxfId="339" priority="382" operator="containsText" text="Castanho">
      <formula>NOT(ISERROR(SEARCH("Castanho",M92)))</formula>
    </cfRule>
    <cfRule type="containsText" dxfId="338" priority="383" operator="containsText" text="Verde Água">
      <formula>NOT(ISERROR(SEARCH("Verde Água",M92)))</formula>
    </cfRule>
    <cfRule type="containsText" dxfId="337" priority="384" operator="containsText" text="Azul Petróleo">
      <formula>NOT(ISERROR(SEARCH("Azul Petróleo",M92)))</formula>
    </cfRule>
    <cfRule type="containsText" dxfId="336" priority="385" operator="containsText" text="Preto">
      <formula>NOT(ISERROR(SEARCH("Preto",M92)))</formula>
    </cfRule>
    <cfRule type="containsText" priority="386" operator="containsText" text="Branco">
      <formula>NOT(ISERROR(SEARCH("Branco",M92)))</formula>
    </cfRule>
    <cfRule type="containsText" dxfId="335" priority="387" operator="containsText" text="Bege">
      <formula>NOT(ISERROR(SEARCH("Bege",M92)))</formula>
    </cfRule>
  </conditionalFormatting>
  <conditionalFormatting sqref="M92">
    <cfRule type="containsText" dxfId="334" priority="370" operator="containsText" text="Cinza">
      <formula>NOT(ISERROR(SEARCH("Cinza",M92)))</formula>
    </cfRule>
    <cfRule type="containsText" dxfId="333" priority="371" operator="containsText" text="Púrpura">
      <formula>NOT(ISERROR(SEARCH("Púrpura",M92)))</formula>
    </cfRule>
    <cfRule type="containsText" dxfId="332" priority="372" operator="containsText" text="Rosa">
      <formula>NOT(ISERROR(SEARCH("Rosa",M92)))</formula>
    </cfRule>
    <cfRule type="containsText" dxfId="331" priority="373" operator="containsText" text="Castanho">
      <formula>NOT(ISERROR(SEARCH("Castanho",M92)))</formula>
    </cfRule>
    <cfRule type="containsText" dxfId="330" priority="374" operator="containsText" text="Verde Água">
      <formula>NOT(ISERROR(SEARCH("Verde Água",M92)))</formula>
    </cfRule>
    <cfRule type="containsText" dxfId="329" priority="375" operator="containsText" text="Azul Petróleo">
      <formula>NOT(ISERROR(SEARCH("Azul Petróleo",M92)))</formula>
    </cfRule>
    <cfRule type="containsText" dxfId="328" priority="376" operator="containsText" text="Preto">
      <formula>NOT(ISERROR(SEARCH("Preto",M92)))</formula>
    </cfRule>
    <cfRule type="containsText" priority="377" operator="containsText" text="Branco">
      <formula>NOT(ISERROR(SEARCH("Branco",M92)))</formula>
    </cfRule>
    <cfRule type="containsText" dxfId="327" priority="378" operator="containsText" text="Bege">
      <formula>NOT(ISERROR(SEARCH("Bege",M92)))</formula>
    </cfRule>
  </conditionalFormatting>
  <conditionalFormatting sqref="M92">
    <cfRule type="containsText" dxfId="326" priority="361" operator="containsText" text="Cinza">
      <formula>NOT(ISERROR(SEARCH("Cinza",M92)))</formula>
    </cfRule>
    <cfRule type="containsText" dxfId="325" priority="362" operator="containsText" text="Púrpura">
      <formula>NOT(ISERROR(SEARCH("Púrpura",M92)))</formula>
    </cfRule>
    <cfRule type="containsText" dxfId="324" priority="363" operator="containsText" text="Rosa">
      <formula>NOT(ISERROR(SEARCH("Rosa",M92)))</formula>
    </cfRule>
    <cfRule type="containsText" dxfId="323" priority="364" operator="containsText" text="Castanho">
      <formula>NOT(ISERROR(SEARCH("Castanho",M92)))</formula>
    </cfRule>
    <cfRule type="containsText" dxfId="322" priority="365" operator="containsText" text="Verde Água">
      <formula>NOT(ISERROR(SEARCH("Verde Água",M92)))</formula>
    </cfRule>
    <cfRule type="containsText" dxfId="321" priority="366" operator="containsText" text="Azul Petróleo">
      <formula>NOT(ISERROR(SEARCH("Azul Petróleo",M92)))</formula>
    </cfRule>
    <cfRule type="containsText" dxfId="320" priority="367" operator="containsText" text="Preto">
      <formula>NOT(ISERROR(SEARCH("Preto",M92)))</formula>
    </cfRule>
    <cfRule type="containsText" priority="368" operator="containsText" text="Branco">
      <formula>NOT(ISERROR(SEARCH("Branco",M92)))</formula>
    </cfRule>
    <cfRule type="containsText" dxfId="319" priority="369" operator="containsText" text="Bege">
      <formula>NOT(ISERROR(SEARCH("Bege",M92)))</formula>
    </cfRule>
  </conditionalFormatting>
  <conditionalFormatting sqref="M92">
    <cfRule type="containsText" dxfId="318" priority="352" operator="containsText" text="Cinza">
      <formula>NOT(ISERROR(SEARCH("Cinza",M92)))</formula>
    </cfRule>
    <cfRule type="containsText" dxfId="317" priority="353" operator="containsText" text="Púrpura">
      <formula>NOT(ISERROR(SEARCH("Púrpura",M92)))</formula>
    </cfRule>
    <cfRule type="containsText" dxfId="316" priority="354" operator="containsText" text="Rosa">
      <formula>NOT(ISERROR(SEARCH("Rosa",M92)))</formula>
    </cfRule>
    <cfRule type="containsText" dxfId="315" priority="355" operator="containsText" text="Castanho">
      <formula>NOT(ISERROR(SEARCH("Castanho",M92)))</formula>
    </cfRule>
    <cfRule type="containsText" dxfId="314" priority="356" operator="containsText" text="Verde Água">
      <formula>NOT(ISERROR(SEARCH("Verde Água",M92)))</formula>
    </cfRule>
    <cfRule type="containsText" dxfId="313" priority="357" operator="containsText" text="Azul Petróleo">
      <formula>NOT(ISERROR(SEARCH("Azul Petróleo",M92)))</formula>
    </cfRule>
    <cfRule type="containsText" dxfId="312" priority="358" operator="containsText" text="Preto">
      <formula>NOT(ISERROR(SEARCH("Preto",M92)))</formula>
    </cfRule>
    <cfRule type="containsText" priority="359" operator="containsText" text="Branco">
      <formula>NOT(ISERROR(SEARCH("Branco",M92)))</formula>
    </cfRule>
    <cfRule type="containsText" dxfId="311" priority="360" operator="containsText" text="Bege">
      <formula>NOT(ISERROR(SEARCH("Bege",M92)))</formula>
    </cfRule>
  </conditionalFormatting>
  <conditionalFormatting sqref="M92">
    <cfRule type="containsText" dxfId="310" priority="343" operator="containsText" text="Cinza">
      <formula>NOT(ISERROR(SEARCH("Cinza",M92)))</formula>
    </cfRule>
    <cfRule type="containsText" dxfId="309" priority="344" operator="containsText" text="Púrpura">
      <formula>NOT(ISERROR(SEARCH("Púrpura",M92)))</formula>
    </cfRule>
    <cfRule type="containsText" dxfId="308" priority="345" operator="containsText" text="Rosa">
      <formula>NOT(ISERROR(SEARCH("Rosa",M92)))</formula>
    </cfRule>
    <cfRule type="containsText" dxfId="307" priority="346" operator="containsText" text="Castanho">
      <formula>NOT(ISERROR(SEARCH("Castanho",M92)))</formula>
    </cfRule>
    <cfRule type="containsText" dxfId="306" priority="347" operator="containsText" text="Verde Água">
      <formula>NOT(ISERROR(SEARCH("Verde Água",M92)))</formula>
    </cfRule>
    <cfRule type="containsText" dxfId="305" priority="348" operator="containsText" text="Azul Petróleo">
      <formula>NOT(ISERROR(SEARCH("Azul Petróleo",M92)))</formula>
    </cfRule>
    <cfRule type="containsText" dxfId="304" priority="349" operator="containsText" text="Preto">
      <formula>NOT(ISERROR(SEARCH("Preto",M92)))</formula>
    </cfRule>
    <cfRule type="containsText" priority="350" operator="containsText" text="Branco">
      <formula>NOT(ISERROR(SEARCH("Branco",M92)))</formula>
    </cfRule>
    <cfRule type="containsText" dxfId="303" priority="351" operator="containsText" text="Bege">
      <formula>NOT(ISERROR(SEARCH("Bege",M92)))</formula>
    </cfRule>
  </conditionalFormatting>
  <conditionalFormatting sqref="M92">
    <cfRule type="containsText" dxfId="302" priority="334" operator="containsText" text="Cinza">
      <formula>NOT(ISERROR(SEARCH("Cinza",M92)))</formula>
    </cfRule>
    <cfRule type="containsText" dxfId="301" priority="335" operator="containsText" text="Púrpura">
      <formula>NOT(ISERROR(SEARCH("Púrpura",M92)))</formula>
    </cfRule>
    <cfRule type="containsText" dxfId="300" priority="336" operator="containsText" text="Rosa">
      <formula>NOT(ISERROR(SEARCH("Rosa",M92)))</formula>
    </cfRule>
    <cfRule type="containsText" dxfId="299" priority="337" operator="containsText" text="Castanho">
      <formula>NOT(ISERROR(SEARCH("Castanho",M92)))</formula>
    </cfRule>
    <cfRule type="containsText" dxfId="298" priority="338" operator="containsText" text="Verde Água">
      <formula>NOT(ISERROR(SEARCH("Verde Água",M92)))</formula>
    </cfRule>
    <cfRule type="containsText" dxfId="297" priority="339" operator="containsText" text="Azul Petróleo">
      <formula>NOT(ISERROR(SEARCH("Azul Petróleo",M92)))</formula>
    </cfRule>
    <cfRule type="containsText" dxfId="296" priority="340" operator="containsText" text="Preto">
      <formula>NOT(ISERROR(SEARCH("Preto",M92)))</formula>
    </cfRule>
    <cfRule type="containsText" priority="341" operator="containsText" text="Branco">
      <formula>NOT(ISERROR(SEARCH("Branco",M92)))</formula>
    </cfRule>
    <cfRule type="containsText" dxfId="295" priority="342" operator="containsText" text="Bege">
      <formula>NOT(ISERROR(SEARCH("Bege",M92)))</formula>
    </cfRule>
  </conditionalFormatting>
  <conditionalFormatting sqref="M92">
    <cfRule type="containsText" dxfId="294" priority="325" operator="containsText" text="Cinza">
      <formula>NOT(ISERROR(SEARCH("Cinza",M92)))</formula>
    </cfRule>
    <cfRule type="containsText" dxfId="293" priority="326" operator="containsText" text="Púrpura">
      <formula>NOT(ISERROR(SEARCH("Púrpura",M92)))</formula>
    </cfRule>
    <cfRule type="containsText" dxfId="292" priority="327" operator="containsText" text="Rosa">
      <formula>NOT(ISERROR(SEARCH("Rosa",M92)))</formula>
    </cfRule>
    <cfRule type="containsText" dxfId="291" priority="328" operator="containsText" text="Castanho">
      <formula>NOT(ISERROR(SEARCH("Castanho",M92)))</formula>
    </cfRule>
    <cfRule type="containsText" dxfId="290" priority="329" operator="containsText" text="Verde Água">
      <formula>NOT(ISERROR(SEARCH("Verde Água",M92)))</formula>
    </cfRule>
    <cfRule type="containsText" dxfId="289" priority="330" operator="containsText" text="Azul Petróleo">
      <formula>NOT(ISERROR(SEARCH("Azul Petróleo",M92)))</formula>
    </cfRule>
    <cfRule type="containsText" dxfId="288" priority="331" operator="containsText" text="Preto">
      <formula>NOT(ISERROR(SEARCH("Preto",M92)))</formula>
    </cfRule>
    <cfRule type="containsText" priority="332" operator="containsText" text="Branco">
      <formula>NOT(ISERROR(SEARCH("Branco",M92)))</formula>
    </cfRule>
    <cfRule type="containsText" dxfId="287" priority="333" operator="containsText" text="Bege">
      <formula>NOT(ISERROR(SEARCH("Bege",M92)))</formula>
    </cfRule>
  </conditionalFormatting>
  <conditionalFormatting sqref="M92">
    <cfRule type="containsText" dxfId="286" priority="316" operator="containsText" text="Cinza">
      <formula>NOT(ISERROR(SEARCH("Cinza",M92)))</formula>
    </cfRule>
    <cfRule type="containsText" dxfId="285" priority="317" operator="containsText" text="Púrpura">
      <formula>NOT(ISERROR(SEARCH("Púrpura",M92)))</formula>
    </cfRule>
    <cfRule type="containsText" dxfId="284" priority="318" operator="containsText" text="Rosa">
      <formula>NOT(ISERROR(SEARCH("Rosa",M92)))</formula>
    </cfRule>
    <cfRule type="containsText" dxfId="283" priority="319" operator="containsText" text="Castanho">
      <formula>NOT(ISERROR(SEARCH("Castanho",M92)))</formula>
    </cfRule>
    <cfRule type="containsText" dxfId="282" priority="320" operator="containsText" text="Verde Água">
      <formula>NOT(ISERROR(SEARCH("Verde Água",M92)))</formula>
    </cfRule>
    <cfRule type="containsText" dxfId="281" priority="321" operator="containsText" text="Azul Petróleo">
      <formula>NOT(ISERROR(SEARCH("Azul Petróleo",M92)))</formula>
    </cfRule>
    <cfRule type="containsText" dxfId="280" priority="322" operator="containsText" text="Preto">
      <formula>NOT(ISERROR(SEARCH("Preto",M92)))</formula>
    </cfRule>
    <cfRule type="containsText" priority="323" operator="containsText" text="Branco">
      <formula>NOT(ISERROR(SEARCH("Branco",M92)))</formula>
    </cfRule>
    <cfRule type="containsText" dxfId="279" priority="324" operator="containsText" text="Bege">
      <formula>NOT(ISERROR(SEARCH("Bege",M92)))</formula>
    </cfRule>
  </conditionalFormatting>
  <conditionalFormatting sqref="M92">
    <cfRule type="containsText" dxfId="278" priority="307" operator="containsText" text="Cinza">
      <formula>NOT(ISERROR(SEARCH("Cinza",M92)))</formula>
    </cfRule>
    <cfRule type="containsText" dxfId="277" priority="308" operator="containsText" text="Púrpura">
      <formula>NOT(ISERROR(SEARCH("Púrpura",M92)))</formula>
    </cfRule>
    <cfRule type="containsText" dxfId="276" priority="309" operator="containsText" text="Rosa">
      <formula>NOT(ISERROR(SEARCH("Rosa",M92)))</formula>
    </cfRule>
    <cfRule type="containsText" dxfId="275" priority="310" operator="containsText" text="Castanho">
      <formula>NOT(ISERROR(SEARCH("Castanho",M92)))</formula>
    </cfRule>
    <cfRule type="containsText" dxfId="274" priority="311" operator="containsText" text="Verde Água">
      <formula>NOT(ISERROR(SEARCH("Verde Água",M92)))</formula>
    </cfRule>
    <cfRule type="containsText" dxfId="273" priority="312" operator="containsText" text="Azul Petróleo">
      <formula>NOT(ISERROR(SEARCH("Azul Petróleo",M92)))</formula>
    </cfRule>
    <cfRule type="containsText" dxfId="272" priority="313" operator="containsText" text="Preto">
      <formula>NOT(ISERROR(SEARCH("Preto",M92)))</formula>
    </cfRule>
    <cfRule type="containsText" priority="314" operator="containsText" text="Branco">
      <formula>NOT(ISERROR(SEARCH("Branco",M92)))</formula>
    </cfRule>
    <cfRule type="containsText" dxfId="271" priority="315" operator="containsText" text="Bege">
      <formula>NOT(ISERROR(SEARCH("Bege",M92)))</formula>
    </cfRule>
  </conditionalFormatting>
  <conditionalFormatting sqref="M92">
    <cfRule type="containsText" dxfId="270" priority="298" operator="containsText" text="Cinza">
      <formula>NOT(ISERROR(SEARCH("Cinza",M92)))</formula>
    </cfRule>
    <cfRule type="containsText" dxfId="269" priority="299" operator="containsText" text="Púrpura">
      <formula>NOT(ISERROR(SEARCH("Púrpura",M92)))</formula>
    </cfRule>
    <cfRule type="containsText" dxfId="268" priority="300" operator="containsText" text="Rosa">
      <formula>NOT(ISERROR(SEARCH("Rosa",M92)))</formula>
    </cfRule>
    <cfRule type="containsText" dxfId="267" priority="301" operator="containsText" text="Castanho">
      <formula>NOT(ISERROR(SEARCH("Castanho",M92)))</formula>
    </cfRule>
    <cfRule type="containsText" dxfId="266" priority="302" operator="containsText" text="Verde Água">
      <formula>NOT(ISERROR(SEARCH("Verde Água",M92)))</formula>
    </cfRule>
    <cfRule type="containsText" dxfId="265" priority="303" operator="containsText" text="Azul Petróleo">
      <formula>NOT(ISERROR(SEARCH("Azul Petróleo",M92)))</formula>
    </cfRule>
    <cfRule type="containsText" dxfId="264" priority="304" operator="containsText" text="Preto">
      <formula>NOT(ISERROR(SEARCH("Preto",M92)))</formula>
    </cfRule>
    <cfRule type="containsText" priority="305" operator="containsText" text="Branco">
      <formula>NOT(ISERROR(SEARCH("Branco",M92)))</formula>
    </cfRule>
    <cfRule type="containsText" dxfId="263" priority="306" operator="containsText" text="Bege">
      <formula>NOT(ISERROR(SEARCH("Bege",M92)))</formula>
    </cfRule>
  </conditionalFormatting>
  <conditionalFormatting sqref="M92">
    <cfRule type="containsText" dxfId="262" priority="289" operator="containsText" text="Cinza">
      <formula>NOT(ISERROR(SEARCH("Cinza",M92)))</formula>
    </cfRule>
    <cfRule type="containsText" dxfId="261" priority="290" operator="containsText" text="Púrpura">
      <formula>NOT(ISERROR(SEARCH("Púrpura",M92)))</formula>
    </cfRule>
    <cfRule type="containsText" dxfId="260" priority="291" operator="containsText" text="Rosa">
      <formula>NOT(ISERROR(SEARCH("Rosa",M92)))</formula>
    </cfRule>
    <cfRule type="containsText" dxfId="259" priority="292" operator="containsText" text="Castanho">
      <formula>NOT(ISERROR(SEARCH("Castanho",M92)))</formula>
    </cfRule>
    <cfRule type="containsText" dxfId="258" priority="293" operator="containsText" text="Verde Água">
      <formula>NOT(ISERROR(SEARCH("Verde Água",M92)))</formula>
    </cfRule>
    <cfRule type="containsText" dxfId="257" priority="294" operator="containsText" text="Azul Petróleo">
      <formula>NOT(ISERROR(SEARCH("Azul Petróleo",M92)))</formula>
    </cfRule>
    <cfRule type="containsText" dxfId="256" priority="295" operator="containsText" text="Preto">
      <formula>NOT(ISERROR(SEARCH("Preto",M92)))</formula>
    </cfRule>
    <cfRule type="containsText" priority="296" operator="containsText" text="Branco">
      <formula>NOT(ISERROR(SEARCH("Branco",M92)))</formula>
    </cfRule>
    <cfRule type="containsText" dxfId="255" priority="297" operator="containsText" text="Bege">
      <formula>NOT(ISERROR(SEARCH("Bege",M92)))</formula>
    </cfRule>
  </conditionalFormatting>
  <conditionalFormatting sqref="M92">
    <cfRule type="containsText" dxfId="254" priority="280" operator="containsText" text="Cinza">
      <formula>NOT(ISERROR(SEARCH("Cinza",M92)))</formula>
    </cfRule>
    <cfRule type="containsText" dxfId="253" priority="281" operator="containsText" text="Púrpura">
      <formula>NOT(ISERROR(SEARCH("Púrpura",M92)))</formula>
    </cfRule>
    <cfRule type="containsText" dxfId="252" priority="282" operator="containsText" text="Rosa">
      <formula>NOT(ISERROR(SEARCH("Rosa",M92)))</formula>
    </cfRule>
    <cfRule type="containsText" dxfId="251" priority="283" operator="containsText" text="Castanho">
      <formula>NOT(ISERROR(SEARCH("Castanho",M92)))</formula>
    </cfRule>
    <cfRule type="containsText" dxfId="250" priority="284" operator="containsText" text="Verde Água">
      <formula>NOT(ISERROR(SEARCH("Verde Água",M92)))</formula>
    </cfRule>
    <cfRule type="containsText" dxfId="249" priority="285" operator="containsText" text="Azul Petróleo">
      <formula>NOT(ISERROR(SEARCH("Azul Petróleo",M92)))</formula>
    </cfRule>
    <cfRule type="containsText" dxfId="248" priority="286" operator="containsText" text="Preto">
      <formula>NOT(ISERROR(SEARCH("Preto",M92)))</formula>
    </cfRule>
    <cfRule type="containsText" priority="287" operator="containsText" text="Branco">
      <formula>NOT(ISERROR(SEARCH("Branco",M92)))</formula>
    </cfRule>
    <cfRule type="containsText" dxfId="247" priority="288" operator="containsText" text="Bege">
      <formula>NOT(ISERROR(SEARCH("Bege",M92)))</formula>
    </cfRule>
  </conditionalFormatting>
  <conditionalFormatting sqref="M92">
    <cfRule type="containsText" dxfId="246" priority="271" operator="containsText" text="Cinza">
      <formula>NOT(ISERROR(SEARCH("Cinza",M92)))</formula>
    </cfRule>
    <cfRule type="containsText" dxfId="245" priority="272" operator="containsText" text="Púrpura">
      <formula>NOT(ISERROR(SEARCH("Púrpura",M92)))</formula>
    </cfRule>
    <cfRule type="containsText" dxfId="244" priority="273" operator="containsText" text="Rosa">
      <formula>NOT(ISERROR(SEARCH("Rosa",M92)))</formula>
    </cfRule>
    <cfRule type="containsText" dxfId="243" priority="274" operator="containsText" text="Castanho">
      <formula>NOT(ISERROR(SEARCH("Castanho",M92)))</formula>
    </cfRule>
    <cfRule type="containsText" dxfId="242" priority="275" operator="containsText" text="Verde Água">
      <formula>NOT(ISERROR(SEARCH("Verde Água",M92)))</formula>
    </cfRule>
    <cfRule type="containsText" dxfId="241" priority="276" operator="containsText" text="Azul Petróleo">
      <formula>NOT(ISERROR(SEARCH("Azul Petróleo",M92)))</formula>
    </cfRule>
    <cfRule type="containsText" dxfId="240" priority="277" operator="containsText" text="Preto">
      <formula>NOT(ISERROR(SEARCH("Preto",M92)))</formula>
    </cfRule>
    <cfRule type="containsText" priority="278" operator="containsText" text="Branco">
      <formula>NOT(ISERROR(SEARCH("Branco",M92)))</formula>
    </cfRule>
    <cfRule type="containsText" dxfId="239" priority="279" operator="containsText" text="Bege">
      <formula>NOT(ISERROR(SEARCH("Bege",M92)))</formula>
    </cfRule>
  </conditionalFormatting>
  <conditionalFormatting sqref="M92">
    <cfRule type="containsText" dxfId="238" priority="262" operator="containsText" text="Cinza">
      <formula>NOT(ISERROR(SEARCH("Cinza",M92)))</formula>
    </cfRule>
    <cfRule type="containsText" dxfId="237" priority="263" operator="containsText" text="Púrpura">
      <formula>NOT(ISERROR(SEARCH("Púrpura",M92)))</formula>
    </cfRule>
    <cfRule type="containsText" dxfId="236" priority="264" operator="containsText" text="Rosa">
      <formula>NOT(ISERROR(SEARCH("Rosa",M92)))</formula>
    </cfRule>
    <cfRule type="containsText" dxfId="235" priority="265" operator="containsText" text="Castanho">
      <formula>NOT(ISERROR(SEARCH("Castanho",M92)))</formula>
    </cfRule>
    <cfRule type="containsText" dxfId="234" priority="266" operator="containsText" text="Verde Água">
      <formula>NOT(ISERROR(SEARCH("Verde Água",M92)))</formula>
    </cfRule>
    <cfRule type="containsText" dxfId="233" priority="267" operator="containsText" text="Azul Petróleo">
      <formula>NOT(ISERROR(SEARCH("Azul Petróleo",M92)))</formula>
    </cfRule>
    <cfRule type="containsText" dxfId="232" priority="268" operator="containsText" text="Preto">
      <formula>NOT(ISERROR(SEARCH("Preto",M92)))</formula>
    </cfRule>
    <cfRule type="containsText" priority="269" operator="containsText" text="Branco">
      <formula>NOT(ISERROR(SEARCH("Branco",M92)))</formula>
    </cfRule>
    <cfRule type="containsText" dxfId="231" priority="270" operator="containsText" text="Bege">
      <formula>NOT(ISERROR(SEARCH("Bege",M92)))</formula>
    </cfRule>
  </conditionalFormatting>
  <conditionalFormatting sqref="M92">
    <cfRule type="containsText" dxfId="230" priority="253" operator="containsText" text="Cinza">
      <formula>NOT(ISERROR(SEARCH("Cinza",M92)))</formula>
    </cfRule>
    <cfRule type="containsText" dxfId="229" priority="254" operator="containsText" text="Púrpura">
      <formula>NOT(ISERROR(SEARCH("Púrpura",M92)))</formula>
    </cfRule>
    <cfRule type="containsText" dxfId="228" priority="255" operator="containsText" text="Rosa">
      <formula>NOT(ISERROR(SEARCH("Rosa",M92)))</formula>
    </cfRule>
    <cfRule type="containsText" dxfId="227" priority="256" operator="containsText" text="Castanho">
      <formula>NOT(ISERROR(SEARCH("Castanho",M92)))</formula>
    </cfRule>
    <cfRule type="containsText" dxfId="226" priority="257" operator="containsText" text="Verde Água">
      <formula>NOT(ISERROR(SEARCH("Verde Água",M92)))</formula>
    </cfRule>
    <cfRule type="containsText" dxfId="225" priority="258" operator="containsText" text="Azul Petróleo">
      <formula>NOT(ISERROR(SEARCH("Azul Petróleo",M92)))</formula>
    </cfRule>
    <cfRule type="containsText" dxfId="224" priority="259" operator="containsText" text="Preto">
      <formula>NOT(ISERROR(SEARCH("Preto",M92)))</formula>
    </cfRule>
    <cfRule type="containsText" priority="260" operator="containsText" text="Branco">
      <formula>NOT(ISERROR(SEARCH("Branco",M92)))</formula>
    </cfRule>
    <cfRule type="containsText" dxfId="223" priority="261" operator="containsText" text="Bege">
      <formula>NOT(ISERROR(SEARCH("Bege",M92)))</formula>
    </cfRule>
  </conditionalFormatting>
  <conditionalFormatting sqref="M92">
    <cfRule type="containsText" dxfId="222" priority="244" operator="containsText" text="Cinza">
      <formula>NOT(ISERROR(SEARCH("Cinza",M92)))</formula>
    </cfRule>
    <cfRule type="containsText" dxfId="221" priority="245" operator="containsText" text="Púrpura">
      <formula>NOT(ISERROR(SEARCH("Púrpura",M92)))</formula>
    </cfRule>
    <cfRule type="containsText" dxfId="220" priority="246" operator="containsText" text="Rosa">
      <formula>NOT(ISERROR(SEARCH("Rosa",M92)))</formula>
    </cfRule>
    <cfRule type="containsText" dxfId="219" priority="247" operator="containsText" text="Castanho">
      <formula>NOT(ISERROR(SEARCH("Castanho",M92)))</formula>
    </cfRule>
    <cfRule type="containsText" dxfId="218" priority="248" operator="containsText" text="Verde Água">
      <formula>NOT(ISERROR(SEARCH("Verde Água",M92)))</formula>
    </cfRule>
    <cfRule type="containsText" dxfId="217" priority="249" operator="containsText" text="Azul Petróleo">
      <formula>NOT(ISERROR(SEARCH("Azul Petróleo",M92)))</formula>
    </cfRule>
    <cfRule type="containsText" dxfId="216" priority="250" operator="containsText" text="Preto">
      <formula>NOT(ISERROR(SEARCH("Preto",M92)))</formula>
    </cfRule>
    <cfRule type="containsText" priority="251" operator="containsText" text="Branco">
      <formula>NOT(ISERROR(SEARCH("Branco",M92)))</formula>
    </cfRule>
    <cfRule type="containsText" dxfId="215" priority="252" operator="containsText" text="Bege">
      <formula>NOT(ISERROR(SEARCH("Bege",M92)))</formula>
    </cfRule>
  </conditionalFormatting>
  <conditionalFormatting sqref="M92">
    <cfRule type="containsText" dxfId="214" priority="235" operator="containsText" text="Cinza">
      <formula>NOT(ISERROR(SEARCH("Cinza",M92)))</formula>
    </cfRule>
    <cfRule type="containsText" dxfId="213" priority="236" operator="containsText" text="Púrpura">
      <formula>NOT(ISERROR(SEARCH("Púrpura",M92)))</formula>
    </cfRule>
    <cfRule type="containsText" dxfId="212" priority="237" operator="containsText" text="Rosa">
      <formula>NOT(ISERROR(SEARCH("Rosa",M92)))</formula>
    </cfRule>
    <cfRule type="containsText" dxfId="211" priority="238" operator="containsText" text="Castanho">
      <formula>NOT(ISERROR(SEARCH("Castanho",M92)))</formula>
    </cfRule>
    <cfRule type="containsText" dxfId="210" priority="239" operator="containsText" text="Verde Água">
      <formula>NOT(ISERROR(SEARCH("Verde Água",M92)))</formula>
    </cfRule>
    <cfRule type="containsText" dxfId="209" priority="240" operator="containsText" text="Azul Petróleo">
      <formula>NOT(ISERROR(SEARCH("Azul Petróleo",M92)))</formula>
    </cfRule>
    <cfRule type="containsText" dxfId="208" priority="241" operator="containsText" text="Preto">
      <formula>NOT(ISERROR(SEARCH("Preto",M92)))</formula>
    </cfRule>
    <cfRule type="containsText" priority="242" operator="containsText" text="Branco">
      <formula>NOT(ISERROR(SEARCH("Branco",M92)))</formula>
    </cfRule>
    <cfRule type="containsText" dxfId="207" priority="243" operator="containsText" text="Bege">
      <formula>NOT(ISERROR(SEARCH("Bege",M92)))</formula>
    </cfRule>
  </conditionalFormatting>
  <conditionalFormatting sqref="M92">
    <cfRule type="containsText" dxfId="206" priority="226" operator="containsText" text="Cinza">
      <formula>NOT(ISERROR(SEARCH("Cinza",M92)))</formula>
    </cfRule>
    <cfRule type="containsText" dxfId="205" priority="227" operator="containsText" text="Púrpura">
      <formula>NOT(ISERROR(SEARCH("Púrpura",M92)))</formula>
    </cfRule>
    <cfRule type="containsText" dxfId="204" priority="228" operator="containsText" text="Rosa">
      <formula>NOT(ISERROR(SEARCH("Rosa",M92)))</formula>
    </cfRule>
    <cfRule type="containsText" dxfId="203" priority="229" operator="containsText" text="Castanho">
      <formula>NOT(ISERROR(SEARCH("Castanho",M92)))</formula>
    </cfRule>
    <cfRule type="containsText" dxfId="202" priority="230" operator="containsText" text="Verde Água">
      <formula>NOT(ISERROR(SEARCH("Verde Água",M92)))</formula>
    </cfRule>
    <cfRule type="containsText" dxfId="201" priority="231" operator="containsText" text="Azul Petróleo">
      <formula>NOT(ISERROR(SEARCH("Azul Petróleo",M92)))</formula>
    </cfRule>
    <cfRule type="containsText" dxfId="200" priority="232" operator="containsText" text="Preto">
      <formula>NOT(ISERROR(SEARCH("Preto",M92)))</formula>
    </cfRule>
    <cfRule type="containsText" priority="233" operator="containsText" text="Branco">
      <formula>NOT(ISERROR(SEARCH("Branco",M92)))</formula>
    </cfRule>
    <cfRule type="containsText" dxfId="199" priority="234" operator="containsText" text="Bege">
      <formula>NOT(ISERROR(SEARCH("Bege",M92)))</formula>
    </cfRule>
  </conditionalFormatting>
  <conditionalFormatting sqref="M92">
    <cfRule type="containsText" dxfId="198" priority="217" operator="containsText" text="Cinza">
      <formula>NOT(ISERROR(SEARCH("Cinza",M92)))</formula>
    </cfRule>
    <cfRule type="containsText" dxfId="197" priority="218" operator="containsText" text="Púrpura">
      <formula>NOT(ISERROR(SEARCH("Púrpura",M92)))</formula>
    </cfRule>
    <cfRule type="containsText" dxfId="196" priority="219" operator="containsText" text="Rosa">
      <formula>NOT(ISERROR(SEARCH("Rosa",M92)))</formula>
    </cfRule>
    <cfRule type="containsText" dxfId="195" priority="220" operator="containsText" text="Castanho">
      <formula>NOT(ISERROR(SEARCH("Castanho",M92)))</formula>
    </cfRule>
    <cfRule type="containsText" dxfId="194" priority="221" operator="containsText" text="Verde Água">
      <formula>NOT(ISERROR(SEARCH("Verde Água",M92)))</formula>
    </cfRule>
    <cfRule type="containsText" dxfId="193" priority="222" operator="containsText" text="Azul Petróleo">
      <formula>NOT(ISERROR(SEARCH("Azul Petróleo",M92)))</formula>
    </cfRule>
    <cfRule type="containsText" dxfId="192" priority="223" operator="containsText" text="Preto">
      <formula>NOT(ISERROR(SEARCH("Preto",M92)))</formula>
    </cfRule>
    <cfRule type="containsText" priority="224" operator="containsText" text="Branco">
      <formula>NOT(ISERROR(SEARCH("Branco",M92)))</formula>
    </cfRule>
    <cfRule type="containsText" dxfId="191" priority="225" operator="containsText" text="Bege">
      <formula>NOT(ISERROR(SEARCH("Bege",M92)))</formula>
    </cfRule>
  </conditionalFormatting>
  <conditionalFormatting sqref="M92">
    <cfRule type="containsText" dxfId="190" priority="208" operator="containsText" text="Cinza">
      <formula>NOT(ISERROR(SEARCH("Cinza",M92)))</formula>
    </cfRule>
    <cfRule type="containsText" dxfId="189" priority="209" operator="containsText" text="Púrpura">
      <formula>NOT(ISERROR(SEARCH("Púrpura",M92)))</formula>
    </cfRule>
    <cfRule type="containsText" dxfId="188" priority="210" operator="containsText" text="Rosa">
      <formula>NOT(ISERROR(SEARCH("Rosa",M92)))</formula>
    </cfRule>
    <cfRule type="containsText" dxfId="187" priority="211" operator="containsText" text="Castanho">
      <formula>NOT(ISERROR(SEARCH("Castanho",M92)))</formula>
    </cfRule>
    <cfRule type="containsText" dxfId="186" priority="212" operator="containsText" text="Verde Água">
      <formula>NOT(ISERROR(SEARCH("Verde Água",M92)))</formula>
    </cfRule>
    <cfRule type="containsText" dxfId="185" priority="213" operator="containsText" text="Azul Petróleo">
      <formula>NOT(ISERROR(SEARCH("Azul Petróleo",M92)))</formula>
    </cfRule>
    <cfRule type="containsText" dxfId="184" priority="214" operator="containsText" text="Preto">
      <formula>NOT(ISERROR(SEARCH("Preto",M92)))</formula>
    </cfRule>
    <cfRule type="containsText" priority="215" operator="containsText" text="Branco">
      <formula>NOT(ISERROR(SEARCH("Branco",M92)))</formula>
    </cfRule>
    <cfRule type="containsText" dxfId="183" priority="216" operator="containsText" text="Bege">
      <formula>NOT(ISERROR(SEARCH("Bege",M92)))</formula>
    </cfRule>
  </conditionalFormatting>
  <conditionalFormatting sqref="M92">
    <cfRule type="containsText" dxfId="182" priority="199" operator="containsText" text="Cinza">
      <formula>NOT(ISERROR(SEARCH("Cinza",M92)))</formula>
    </cfRule>
    <cfRule type="containsText" dxfId="181" priority="200" operator="containsText" text="Púrpura">
      <formula>NOT(ISERROR(SEARCH("Púrpura",M92)))</formula>
    </cfRule>
    <cfRule type="containsText" dxfId="180" priority="201" operator="containsText" text="Rosa">
      <formula>NOT(ISERROR(SEARCH("Rosa",M92)))</formula>
    </cfRule>
    <cfRule type="containsText" dxfId="179" priority="202" operator="containsText" text="Castanho">
      <formula>NOT(ISERROR(SEARCH("Castanho",M92)))</formula>
    </cfRule>
    <cfRule type="containsText" dxfId="178" priority="203" operator="containsText" text="Verde Água">
      <formula>NOT(ISERROR(SEARCH("Verde Água",M92)))</formula>
    </cfRule>
    <cfRule type="containsText" dxfId="177" priority="204" operator="containsText" text="Azul Petróleo">
      <formula>NOT(ISERROR(SEARCH("Azul Petróleo",M92)))</formula>
    </cfRule>
    <cfRule type="containsText" dxfId="176" priority="205" operator="containsText" text="Preto">
      <formula>NOT(ISERROR(SEARCH("Preto",M92)))</formula>
    </cfRule>
    <cfRule type="containsText" priority="206" operator="containsText" text="Branco">
      <formula>NOT(ISERROR(SEARCH("Branco",M92)))</formula>
    </cfRule>
    <cfRule type="containsText" dxfId="175" priority="207" operator="containsText" text="Bege">
      <formula>NOT(ISERROR(SEARCH("Bege",M92)))</formula>
    </cfRule>
  </conditionalFormatting>
  <conditionalFormatting sqref="M92">
    <cfRule type="containsText" dxfId="174" priority="190" operator="containsText" text="Cinza">
      <formula>NOT(ISERROR(SEARCH("Cinza",M92)))</formula>
    </cfRule>
    <cfRule type="containsText" dxfId="173" priority="191" operator="containsText" text="Púrpura">
      <formula>NOT(ISERROR(SEARCH("Púrpura",M92)))</formula>
    </cfRule>
    <cfRule type="containsText" dxfId="172" priority="192" operator="containsText" text="Rosa">
      <formula>NOT(ISERROR(SEARCH("Rosa",M92)))</formula>
    </cfRule>
    <cfRule type="containsText" dxfId="171" priority="193" operator="containsText" text="Castanho">
      <formula>NOT(ISERROR(SEARCH("Castanho",M92)))</formula>
    </cfRule>
    <cfRule type="containsText" dxfId="170" priority="194" operator="containsText" text="Verde Água">
      <formula>NOT(ISERROR(SEARCH("Verde Água",M92)))</formula>
    </cfRule>
    <cfRule type="containsText" dxfId="169" priority="195" operator="containsText" text="Azul Petróleo">
      <formula>NOT(ISERROR(SEARCH("Azul Petróleo",M92)))</formula>
    </cfRule>
    <cfRule type="containsText" dxfId="168" priority="196" operator="containsText" text="Preto">
      <formula>NOT(ISERROR(SEARCH("Preto",M92)))</formula>
    </cfRule>
    <cfRule type="containsText" priority="197" operator="containsText" text="Branco">
      <formula>NOT(ISERROR(SEARCH("Branco",M92)))</formula>
    </cfRule>
    <cfRule type="containsText" dxfId="167" priority="198" operator="containsText" text="Bege">
      <formula>NOT(ISERROR(SEARCH("Bege",M92)))</formula>
    </cfRule>
  </conditionalFormatting>
  <conditionalFormatting sqref="M92">
    <cfRule type="containsText" dxfId="166" priority="181" operator="containsText" text="Cinza">
      <formula>NOT(ISERROR(SEARCH("Cinza",M92)))</formula>
    </cfRule>
    <cfRule type="containsText" dxfId="165" priority="182" operator="containsText" text="Púrpura">
      <formula>NOT(ISERROR(SEARCH("Púrpura",M92)))</formula>
    </cfRule>
    <cfRule type="containsText" dxfId="164" priority="183" operator="containsText" text="Rosa">
      <formula>NOT(ISERROR(SEARCH("Rosa",M92)))</formula>
    </cfRule>
    <cfRule type="containsText" dxfId="163" priority="184" operator="containsText" text="Castanho">
      <formula>NOT(ISERROR(SEARCH("Castanho",M92)))</formula>
    </cfRule>
    <cfRule type="containsText" dxfId="162" priority="185" operator="containsText" text="Verde Água">
      <formula>NOT(ISERROR(SEARCH("Verde Água",M92)))</formula>
    </cfRule>
    <cfRule type="containsText" dxfId="161" priority="186" operator="containsText" text="Azul Petróleo">
      <formula>NOT(ISERROR(SEARCH("Azul Petróleo",M92)))</formula>
    </cfRule>
    <cfRule type="containsText" dxfId="160" priority="187" operator="containsText" text="Preto">
      <formula>NOT(ISERROR(SEARCH("Preto",M92)))</formula>
    </cfRule>
    <cfRule type="containsText" priority="188" operator="containsText" text="Branco">
      <formula>NOT(ISERROR(SEARCH("Branco",M92)))</formula>
    </cfRule>
    <cfRule type="containsText" dxfId="159" priority="189" operator="containsText" text="Bege">
      <formula>NOT(ISERROR(SEARCH("Bege",M92)))</formula>
    </cfRule>
  </conditionalFormatting>
  <conditionalFormatting sqref="M92">
    <cfRule type="containsText" dxfId="158" priority="172" operator="containsText" text="Cinza">
      <formula>NOT(ISERROR(SEARCH("Cinza",M92)))</formula>
    </cfRule>
    <cfRule type="containsText" dxfId="157" priority="173" operator="containsText" text="Púrpura">
      <formula>NOT(ISERROR(SEARCH("Púrpura",M92)))</formula>
    </cfRule>
    <cfRule type="containsText" dxfId="156" priority="174" operator="containsText" text="Rosa">
      <formula>NOT(ISERROR(SEARCH("Rosa",M92)))</formula>
    </cfRule>
    <cfRule type="containsText" dxfId="155" priority="175" operator="containsText" text="Castanho">
      <formula>NOT(ISERROR(SEARCH("Castanho",M92)))</formula>
    </cfRule>
    <cfRule type="containsText" dxfId="154" priority="176" operator="containsText" text="Verde Água">
      <formula>NOT(ISERROR(SEARCH("Verde Água",M92)))</formula>
    </cfRule>
    <cfRule type="containsText" dxfId="153" priority="177" operator="containsText" text="Azul Petróleo">
      <formula>NOT(ISERROR(SEARCH("Azul Petróleo",M92)))</formula>
    </cfRule>
    <cfRule type="containsText" dxfId="152" priority="178" operator="containsText" text="Preto">
      <formula>NOT(ISERROR(SEARCH("Preto",M92)))</formula>
    </cfRule>
    <cfRule type="containsText" priority="179" operator="containsText" text="Branco">
      <formula>NOT(ISERROR(SEARCH("Branco",M92)))</formula>
    </cfRule>
    <cfRule type="containsText" dxfId="151" priority="180" operator="containsText" text="Bege">
      <formula>NOT(ISERROR(SEARCH("Bege",M92)))</formula>
    </cfRule>
  </conditionalFormatting>
  <conditionalFormatting sqref="M92">
    <cfRule type="containsText" dxfId="150" priority="163" operator="containsText" text="Cinza">
      <formula>NOT(ISERROR(SEARCH("Cinza",M92)))</formula>
    </cfRule>
    <cfRule type="containsText" dxfId="149" priority="164" operator="containsText" text="Púrpura">
      <formula>NOT(ISERROR(SEARCH("Púrpura",M92)))</formula>
    </cfRule>
    <cfRule type="containsText" dxfId="148" priority="165" operator="containsText" text="Rosa">
      <formula>NOT(ISERROR(SEARCH("Rosa",M92)))</formula>
    </cfRule>
    <cfRule type="containsText" dxfId="147" priority="166" operator="containsText" text="Castanho">
      <formula>NOT(ISERROR(SEARCH("Castanho",M92)))</formula>
    </cfRule>
    <cfRule type="containsText" dxfId="146" priority="167" operator="containsText" text="Verde Água">
      <formula>NOT(ISERROR(SEARCH("Verde Água",M92)))</formula>
    </cfRule>
    <cfRule type="containsText" dxfId="145" priority="168" operator="containsText" text="Azul Petróleo">
      <formula>NOT(ISERROR(SEARCH("Azul Petróleo",M92)))</formula>
    </cfRule>
    <cfRule type="containsText" dxfId="144" priority="169" operator="containsText" text="Preto">
      <formula>NOT(ISERROR(SEARCH("Preto",M92)))</formula>
    </cfRule>
    <cfRule type="containsText" priority="170" operator="containsText" text="Branco">
      <formula>NOT(ISERROR(SEARCH("Branco",M92)))</formula>
    </cfRule>
    <cfRule type="containsText" dxfId="143" priority="171" operator="containsText" text="Bege">
      <formula>NOT(ISERROR(SEARCH("Bege",M92)))</formula>
    </cfRule>
  </conditionalFormatting>
  <conditionalFormatting sqref="M92">
    <cfRule type="containsText" dxfId="142" priority="154" operator="containsText" text="Cinza">
      <formula>NOT(ISERROR(SEARCH("Cinza",M92)))</formula>
    </cfRule>
    <cfRule type="containsText" dxfId="141" priority="155" operator="containsText" text="Púrpura">
      <formula>NOT(ISERROR(SEARCH("Púrpura",M92)))</formula>
    </cfRule>
    <cfRule type="containsText" dxfId="140" priority="156" operator="containsText" text="Rosa">
      <formula>NOT(ISERROR(SEARCH("Rosa",M92)))</formula>
    </cfRule>
    <cfRule type="containsText" dxfId="139" priority="157" operator="containsText" text="Castanho">
      <formula>NOT(ISERROR(SEARCH("Castanho",M92)))</formula>
    </cfRule>
    <cfRule type="containsText" dxfId="138" priority="158" operator="containsText" text="Verde Água">
      <formula>NOT(ISERROR(SEARCH("Verde Água",M92)))</formula>
    </cfRule>
    <cfRule type="containsText" dxfId="137" priority="159" operator="containsText" text="Azul Petróleo">
      <formula>NOT(ISERROR(SEARCH("Azul Petróleo",M92)))</formula>
    </cfRule>
    <cfRule type="containsText" dxfId="136" priority="160" operator="containsText" text="Preto">
      <formula>NOT(ISERROR(SEARCH("Preto",M92)))</formula>
    </cfRule>
    <cfRule type="containsText" priority="161" operator="containsText" text="Branco">
      <formula>NOT(ISERROR(SEARCH("Branco",M92)))</formula>
    </cfRule>
    <cfRule type="containsText" dxfId="135" priority="162" operator="containsText" text="Bege">
      <formula>NOT(ISERROR(SEARCH("Bege",M92)))</formula>
    </cfRule>
  </conditionalFormatting>
  <conditionalFormatting sqref="M92">
    <cfRule type="containsText" dxfId="134" priority="145" operator="containsText" text="Cinza">
      <formula>NOT(ISERROR(SEARCH("Cinza",M92)))</formula>
    </cfRule>
    <cfRule type="containsText" dxfId="133" priority="146" operator="containsText" text="Púrpura">
      <formula>NOT(ISERROR(SEARCH("Púrpura",M92)))</formula>
    </cfRule>
    <cfRule type="containsText" dxfId="132" priority="147" operator="containsText" text="Rosa">
      <formula>NOT(ISERROR(SEARCH("Rosa",M92)))</formula>
    </cfRule>
    <cfRule type="containsText" dxfId="131" priority="148" operator="containsText" text="Castanho">
      <formula>NOT(ISERROR(SEARCH("Castanho",M92)))</formula>
    </cfRule>
    <cfRule type="containsText" dxfId="130" priority="149" operator="containsText" text="Verde Água">
      <formula>NOT(ISERROR(SEARCH("Verde Água",M92)))</formula>
    </cfRule>
    <cfRule type="containsText" dxfId="129" priority="150" operator="containsText" text="Azul Petróleo">
      <formula>NOT(ISERROR(SEARCH("Azul Petróleo",M92)))</formula>
    </cfRule>
    <cfRule type="containsText" dxfId="128" priority="151" operator="containsText" text="Preto">
      <formula>NOT(ISERROR(SEARCH("Preto",M92)))</formula>
    </cfRule>
    <cfRule type="containsText" priority="152" operator="containsText" text="Branco">
      <formula>NOT(ISERROR(SEARCH("Branco",M92)))</formula>
    </cfRule>
    <cfRule type="containsText" dxfId="127" priority="153" operator="containsText" text="Bege">
      <formula>NOT(ISERROR(SEARCH("Bege",M92)))</formula>
    </cfRule>
  </conditionalFormatting>
  <conditionalFormatting sqref="M92">
    <cfRule type="containsText" dxfId="126" priority="136" operator="containsText" text="Cinza">
      <formula>NOT(ISERROR(SEARCH("Cinza",M92)))</formula>
    </cfRule>
    <cfRule type="containsText" dxfId="125" priority="137" operator="containsText" text="Púrpura">
      <formula>NOT(ISERROR(SEARCH("Púrpura",M92)))</formula>
    </cfRule>
    <cfRule type="containsText" dxfId="124" priority="138" operator="containsText" text="Rosa">
      <formula>NOT(ISERROR(SEARCH("Rosa",M92)))</formula>
    </cfRule>
    <cfRule type="containsText" dxfId="123" priority="139" operator="containsText" text="Castanho">
      <formula>NOT(ISERROR(SEARCH("Castanho",M92)))</formula>
    </cfRule>
    <cfRule type="containsText" dxfId="122" priority="140" operator="containsText" text="Verde Água">
      <formula>NOT(ISERROR(SEARCH("Verde Água",M92)))</formula>
    </cfRule>
    <cfRule type="containsText" dxfId="121" priority="141" operator="containsText" text="Azul Petróleo">
      <formula>NOT(ISERROR(SEARCH("Azul Petróleo",M92)))</formula>
    </cfRule>
    <cfRule type="containsText" dxfId="120" priority="142" operator="containsText" text="Preto">
      <formula>NOT(ISERROR(SEARCH("Preto",M92)))</formula>
    </cfRule>
    <cfRule type="containsText" priority="143" operator="containsText" text="Branco">
      <formula>NOT(ISERROR(SEARCH("Branco",M92)))</formula>
    </cfRule>
    <cfRule type="containsText" dxfId="119" priority="144" operator="containsText" text="Bege">
      <formula>NOT(ISERROR(SEARCH("Bege",M92)))</formula>
    </cfRule>
  </conditionalFormatting>
  <conditionalFormatting sqref="M92">
    <cfRule type="containsText" dxfId="118" priority="127" operator="containsText" text="Escuro">
      <formula>NOT(ISERROR(SEARCH("Escuro",M92)))</formula>
    </cfRule>
    <cfRule type="containsText" dxfId="117" priority="128" operator="containsText" text="Cinza">
      <formula>NOT(ISERROR(SEARCH("Cinza",M92)))</formula>
    </cfRule>
    <cfRule type="containsText" dxfId="116" priority="129" operator="containsText" text="Púrpura">
      <formula>NOT(ISERROR(SEARCH("Púrpura",M92)))</formula>
    </cfRule>
    <cfRule type="containsText" dxfId="115" priority="130" operator="containsText" text="Rosa">
      <formula>NOT(ISERROR(SEARCH("Rosa",M92)))</formula>
    </cfRule>
    <cfRule type="containsText" dxfId="114" priority="131" operator="containsText" text="Castanho">
      <formula>NOT(ISERROR(SEARCH("Castanho",M92)))</formula>
    </cfRule>
    <cfRule type="containsText" dxfId="113" priority="132" operator="containsText" text="Verde Água">
      <formula>NOT(ISERROR(SEARCH("Verde Água",M92)))</formula>
    </cfRule>
    <cfRule type="containsText" dxfId="112" priority="133" operator="containsText" text="Azul Petróleo">
      <formula>NOT(ISERROR(SEARCH("Azul Petróleo",M92)))</formula>
    </cfRule>
    <cfRule type="containsText" dxfId="111" priority="134" operator="containsText" text="Preto">
      <formula>NOT(ISERROR(SEARCH("Preto",M92)))</formula>
    </cfRule>
    <cfRule type="containsText" priority="135" operator="containsText" text="Branco">
      <formula>NOT(ISERROR(SEARCH("Branco",M92)))</formula>
    </cfRule>
  </conditionalFormatting>
  <conditionalFormatting sqref="W34">
    <cfRule type="containsText" dxfId="110" priority="118" operator="containsText" text="Cinza">
      <formula>NOT(ISERROR(SEARCH("Cinza",W34)))</formula>
    </cfRule>
    <cfRule type="containsText" dxfId="109" priority="119" operator="containsText" text="Púrpura">
      <formula>NOT(ISERROR(SEARCH("Púrpura",W34)))</formula>
    </cfRule>
    <cfRule type="containsText" dxfId="108" priority="120" operator="containsText" text="Rosa">
      <formula>NOT(ISERROR(SEARCH("Rosa",W34)))</formula>
    </cfRule>
    <cfRule type="containsText" dxfId="107" priority="121" operator="containsText" text="Castanho">
      <formula>NOT(ISERROR(SEARCH("Castanho",W34)))</formula>
    </cfRule>
    <cfRule type="containsText" dxfId="106" priority="122" operator="containsText" text="Verde Água">
      <formula>NOT(ISERROR(SEARCH("Verde Água",W34)))</formula>
    </cfRule>
    <cfRule type="containsText" dxfId="105" priority="123" operator="containsText" text="Azul Petróleo">
      <formula>NOT(ISERROR(SEARCH("Azul Petróleo",W34)))</formula>
    </cfRule>
    <cfRule type="containsText" dxfId="104" priority="124" operator="containsText" text="Preto">
      <formula>NOT(ISERROR(SEARCH("Preto",W34)))</formula>
    </cfRule>
    <cfRule type="containsText" priority="125" operator="containsText" text="Branco">
      <formula>NOT(ISERROR(SEARCH("Branco",W34)))</formula>
    </cfRule>
    <cfRule type="containsText" dxfId="103" priority="126" operator="containsText" text="Bege">
      <formula>NOT(ISERROR(SEARCH("Bege",W34)))</formula>
    </cfRule>
  </conditionalFormatting>
  <conditionalFormatting sqref="W34">
    <cfRule type="containsText" dxfId="102" priority="109" operator="containsText" text="Escuro">
      <formula>NOT(ISERROR(SEARCH("Escuro",W34)))</formula>
    </cfRule>
    <cfRule type="containsText" dxfId="101" priority="110" operator="containsText" text="Cinza">
      <formula>NOT(ISERROR(SEARCH("Cinza",W34)))</formula>
    </cfRule>
    <cfRule type="containsText" dxfId="100" priority="111" operator="containsText" text="Púrpura">
      <formula>NOT(ISERROR(SEARCH("Púrpura",W34)))</formula>
    </cfRule>
    <cfRule type="containsText" dxfId="99" priority="112" operator="containsText" text="Rosa">
      <formula>NOT(ISERROR(SEARCH("Rosa",W34)))</formula>
    </cfRule>
    <cfRule type="containsText" dxfId="98" priority="113" operator="containsText" text="Castanho">
      <formula>NOT(ISERROR(SEARCH("Castanho",W34)))</formula>
    </cfRule>
    <cfRule type="containsText" dxfId="97" priority="114" operator="containsText" text="Verde Água">
      <formula>NOT(ISERROR(SEARCH("Verde Água",W34)))</formula>
    </cfRule>
    <cfRule type="containsText" dxfId="96" priority="115" operator="containsText" text="Azul Petróleo">
      <formula>NOT(ISERROR(SEARCH("Azul Petróleo",W34)))</formula>
    </cfRule>
    <cfRule type="containsText" dxfId="95" priority="116" operator="containsText" text="Preto">
      <formula>NOT(ISERROR(SEARCH("Preto",W34)))</formula>
    </cfRule>
    <cfRule type="containsText" priority="117" operator="containsText" text="Branco">
      <formula>NOT(ISERROR(SEARCH("Branco",W34)))</formula>
    </cfRule>
  </conditionalFormatting>
  <conditionalFormatting sqref="W13">
    <cfRule type="containsText" dxfId="94" priority="98" operator="containsText" text="Cinza">
      <formula>NOT(ISERROR(SEARCH("Cinza",W13)))</formula>
    </cfRule>
    <cfRule type="containsText" dxfId="93" priority="99" operator="containsText" text="Púrpura">
      <formula>NOT(ISERROR(SEARCH("Púrpura",W13)))</formula>
    </cfRule>
    <cfRule type="containsText" dxfId="92" priority="100" operator="containsText" text="Rosa">
      <formula>NOT(ISERROR(SEARCH("Rosa",W13)))</formula>
    </cfRule>
    <cfRule type="containsText" dxfId="91" priority="101" operator="containsText" text="Castanho">
      <formula>NOT(ISERROR(SEARCH("Castanho",W13)))</formula>
    </cfRule>
    <cfRule type="containsText" dxfId="90" priority="102" operator="containsText" text="Verde Água">
      <formula>NOT(ISERROR(SEARCH("Verde Água",W13)))</formula>
    </cfRule>
    <cfRule type="containsText" dxfId="89" priority="103" operator="containsText" text="Azul Petróleo">
      <formula>NOT(ISERROR(SEARCH("Azul Petróleo",W13)))</formula>
    </cfRule>
    <cfRule type="containsText" dxfId="88" priority="104" operator="containsText" text="Preto">
      <formula>NOT(ISERROR(SEARCH("Preto",W13)))</formula>
    </cfRule>
    <cfRule type="containsText" priority="105" operator="containsText" text="Branco">
      <formula>NOT(ISERROR(SEARCH("Branco",W13)))</formula>
    </cfRule>
    <cfRule type="containsText" dxfId="87" priority="106" operator="containsText" text="Bege">
      <formula>NOT(ISERROR(SEARCH("Bege",W13)))</formula>
    </cfRule>
  </conditionalFormatting>
  <conditionalFormatting sqref="W13">
    <cfRule type="containsText" dxfId="86" priority="89" operator="containsText" text="Escuro">
      <formula>NOT(ISERROR(SEARCH("Escuro",W13)))</formula>
    </cfRule>
    <cfRule type="containsText" dxfId="85" priority="90" operator="containsText" text="Cinza">
      <formula>NOT(ISERROR(SEARCH("Cinza",W13)))</formula>
    </cfRule>
    <cfRule type="containsText" dxfId="84" priority="91" operator="containsText" text="Púrpura">
      <formula>NOT(ISERROR(SEARCH("Púrpura",W13)))</formula>
    </cfRule>
    <cfRule type="containsText" dxfId="83" priority="92" operator="containsText" text="Rosa">
      <formula>NOT(ISERROR(SEARCH("Rosa",W13)))</formula>
    </cfRule>
    <cfRule type="containsText" dxfId="82" priority="93" operator="containsText" text="Castanho">
      <formula>NOT(ISERROR(SEARCH("Castanho",W13)))</formula>
    </cfRule>
    <cfRule type="containsText" dxfId="81" priority="94" operator="containsText" text="Verde Água">
      <formula>NOT(ISERROR(SEARCH("Verde Água",W13)))</formula>
    </cfRule>
    <cfRule type="containsText" dxfId="80" priority="95" operator="containsText" text="Azul Petróleo">
      <formula>NOT(ISERROR(SEARCH("Azul Petróleo",W13)))</formula>
    </cfRule>
    <cfRule type="containsText" dxfId="79" priority="96" operator="containsText" text="Preto">
      <formula>NOT(ISERROR(SEARCH("Preto",W13)))</formula>
    </cfRule>
    <cfRule type="containsText" priority="97" operator="containsText" text="Branco">
      <formula>NOT(ISERROR(SEARCH("Branco",W13)))</formula>
    </cfRule>
  </conditionalFormatting>
  <conditionalFormatting sqref="G55">
    <cfRule type="containsText" dxfId="78" priority="87" operator="containsText" text="petróleo">
      <formula>NOT(ISERROR(SEARCH("petróleo",G55)))</formula>
    </cfRule>
    <cfRule type="containsText" dxfId="77" priority="88" operator="containsText" text="Turquesa">
      <formula>NOT(ISERROR(SEARCH("Turquesa",G55)))</formula>
    </cfRule>
  </conditionalFormatting>
  <conditionalFormatting sqref="W23">
    <cfRule type="containsText" dxfId="76" priority="78" operator="containsText" text="Cinza">
      <formula>NOT(ISERROR(SEARCH("Cinza",W23)))</formula>
    </cfRule>
    <cfRule type="containsText" dxfId="75" priority="79" operator="containsText" text="Púrpura">
      <formula>NOT(ISERROR(SEARCH("Púrpura",W23)))</formula>
    </cfRule>
    <cfRule type="containsText" dxfId="74" priority="80" operator="containsText" text="Rosa">
      <formula>NOT(ISERROR(SEARCH("Rosa",W23)))</formula>
    </cfRule>
    <cfRule type="containsText" dxfId="73" priority="81" operator="containsText" text="Castanho">
      <formula>NOT(ISERROR(SEARCH("Castanho",W23)))</formula>
    </cfRule>
    <cfRule type="containsText" dxfId="72" priority="82" operator="containsText" text="Verde Água">
      <formula>NOT(ISERROR(SEARCH("Verde Água",W23)))</formula>
    </cfRule>
    <cfRule type="containsText" dxfId="71" priority="83" operator="containsText" text="Azul Petróleo">
      <formula>NOT(ISERROR(SEARCH("Azul Petróleo",W23)))</formula>
    </cfRule>
    <cfRule type="containsText" dxfId="70" priority="84" operator="containsText" text="Preto">
      <formula>NOT(ISERROR(SEARCH("Preto",W23)))</formula>
    </cfRule>
    <cfRule type="containsText" priority="85" operator="containsText" text="Branco">
      <formula>NOT(ISERROR(SEARCH("Branco",W23)))</formula>
    </cfRule>
    <cfRule type="containsText" dxfId="69" priority="86" operator="containsText" text="Bege">
      <formula>NOT(ISERROR(SEARCH("Bege",W23)))</formula>
    </cfRule>
  </conditionalFormatting>
  <conditionalFormatting sqref="W23">
    <cfRule type="containsText" dxfId="68" priority="69" operator="containsText" text="Escuro">
      <formula>NOT(ISERROR(SEARCH("Escuro",W23)))</formula>
    </cfRule>
    <cfRule type="containsText" dxfId="67" priority="70" operator="containsText" text="Cinza">
      <formula>NOT(ISERROR(SEARCH("Cinza",W23)))</formula>
    </cfRule>
    <cfRule type="containsText" dxfId="66" priority="71" operator="containsText" text="Púrpura">
      <formula>NOT(ISERROR(SEARCH("Púrpura",W23)))</formula>
    </cfRule>
    <cfRule type="containsText" dxfId="65" priority="72" operator="containsText" text="Rosa">
      <formula>NOT(ISERROR(SEARCH("Rosa",W23)))</formula>
    </cfRule>
    <cfRule type="containsText" dxfId="64" priority="73" operator="containsText" text="Castanho">
      <formula>NOT(ISERROR(SEARCH("Castanho",W23)))</formula>
    </cfRule>
    <cfRule type="containsText" dxfId="63" priority="74" operator="containsText" text="Verde Água">
      <formula>NOT(ISERROR(SEARCH("Verde Água",W23)))</formula>
    </cfRule>
    <cfRule type="containsText" dxfId="62" priority="75" operator="containsText" text="Azul Petróleo">
      <formula>NOT(ISERROR(SEARCH("Azul Petróleo",W23)))</formula>
    </cfRule>
    <cfRule type="containsText" dxfId="61" priority="76" operator="containsText" text="Preto">
      <formula>NOT(ISERROR(SEARCH("Preto",W23)))</formula>
    </cfRule>
    <cfRule type="containsText" priority="77" operator="containsText" text="Branco">
      <formula>NOT(ISERROR(SEARCH("Branco",W23)))</formula>
    </cfRule>
  </conditionalFormatting>
  <conditionalFormatting sqref="W23">
    <cfRule type="containsText" dxfId="60" priority="60" operator="containsText" text="Cinza">
      <formula>NOT(ISERROR(SEARCH("Cinza",W23)))</formula>
    </cfRule>
    <cfRule type="containsText" dxfId="59" priority="61" operator="containsText" text="Púrpura">
      <formula>NOT(ISERROR(SEARCH("Púrpura",W23)))</formula>
    </cfRule>
    <cfRule type="containsText" dxfId="58" priority="62" operator="containsText" text="Rosa">
      <formula>NOT(ISERROR(SEARCH("Rosa",W23)))</formula>
    </cfRule>
    <cfRule type="containsText" dxfId="57" priority="63" operator="containsText" text="Castanho">
      <formula>NOT(ISERROR(SEARCH("Castanho",W23)))</formula>
    </cfRule>
    <cfRule type="containsText" dxfId="56" priority="64" operator="containsText" text="Verde Água">
      <formula>NOT(ISERROR(SEARCH("Verde Água",W23)))</formula>
    </cfRule>
    <cfRule type="containsText" dxfId="55" priority="65" operator="containsText" text="Azul Petróleo">
      <formula>NOT(ISERROR(SEARCH("Azul Petróleo",W23)))</formula>
    </cfRule>
    <cfRule type="containsText" dxfId="54" priority="66" operator="containsText" text="Preto">
      <formula>NOT(ISERROR(SEARCH("Preto",W23)))</formula>
    </cfRule>
    <cfRule type="containsText" priority="67" operator="containsText" text="Branco">
      <formula>NOT(ISERROR(SEARCH("Branco",W23)))</formula>
    </cfRule>
    <cfRule type="containsText" dxfId="53" priority="68" operator="containsText" text="Bege">
      <formula>NOT(ISERROR(SEARCH("Bege",W23)))</formula>
    </cfRule>
  </conditionalFormatting>
  <conditionalFormatting sqref="W23">
    <cfRule type="containsText" dxfId="52" priority="51" operator="containsText" text="Escuro">
      <formula>NOT(ISERROR(SEARCH("Escuro",W23)))</formula>
    </cfRule>
    <cfRule type="containsText" dxfId="51" priority="52" operator="containsText" text="Cinza">
      <formula>NOT(ISERROR(SEARCH("Cinza",W23)))</formula>
    </cfRule>
    <cfRule type="containsText" dxfId="50" priority="53" operator="containsText" text="Púrpura">
      <formula>NOT(ISERROR(SEARCH("Púrpura",W23)))</formula>
    </cfRule>
    <cfRule type="containsText" dxfId="49" priority="54" operator="containsText" text="Rosa">
      <formula>NOT(ISERROR(SEARCH("Rosa",W23)))</formula>
    </cfRule>
    <cfRule type="containsText" dxfId="48" priority="55" operator="containsText" text="Castanho">
      <formula>NOT(ISERROR(SEARCH("Castanho",W23)))</formula>
    </cfRule>
    <cfRule type="containsText" dxfId="47" priority="56" operator="containsText" text="Verde Água">
      <formula>NOT(ISERROR(SEARCH("Verde Água",W23)))</formula>
    </cfRule>
    <cfRule type="containsText" dxfId="46" priority="57" operator="containsText" text="Azul Petróleo">
      <formula>NOT(ISERROR(SEARCH("Azul Petróleo",W23)))</formula>
    </cfRule>
    <cfRule type="containsText" dxfId="45" priority="58" operator="containsText" text="Preto">
      <formula>NOT(ISERROR(SEARCH("Preto",W23)))</formula>
    </cfRule>
    <cfRule type="containsText" priority="59" operator="containsText" text="Branco">
      <formula>NOT(ISERROR(SEARCH("Branco",W23)))</formula>
    </cfRule>
  </conditionalFormatting>
  <conditionalFormatting sqref="W23">
    <cfRule type="containsText" dxfId="44" priority="49" operator="containsText" text="petróleo">
      <formula>NOT(ISERROR(SEARCH("petróleo",W23)))</formula>
    </cfRule>
    <cfRule type="containsText" dxfId="43" priority="50" operator="containsText" text="Turquesa">
      <formula>NOT(ISERROR(SEARCH("Turquesa",W23)))</formula>
    </cfRule>
  </conditionalFormatting>
  <conditionalFormatting sqref="AF76">
    <cfRule type="containsText" dxfId="42" priority="40" operator="containsText" text="Cinza">
      <formula>NOT(ISERROR(SEARCH("Cinza",AF76)))</formula>
    </cfRule>
    <cfRule type="containsText" dxfId="41" priority="41" operator="containsText" text="Púrpura">
      <formula>NOT(ISERROR(SEARCH("Púrpura",AF76)))</formula>
    </cfRule>
    <cfRule type="containsText" dxfId="40" priority="42" operator="containsText" text="Rosa">
      <formula>NOT(ISERROR(SEARCH("Rosa",AF76)))</formula>
    </cfRule>
    <cfRule type="containsText" dxfId="39" priority="43" operator="containsText" text="Castanho">
      <formula>NOT(ISERROR(SEARCH("Castanho",AF76)))</formula>
    </cfRule>
    <cfRule type="containsText" dxfId="38" priority="44" operator="containsText" text="Verde Água">
      <formula>NOT(ISERROR(SEARCH("Verde Água",AF76)))</formula>
    </cfRule>
    <cfRule type="containsText" dxfId="37" priority="45" operator="containsText" text="Azul Petróleo">
      <formula>NOT(ISERROR(SEARCH("Azul Petróleo",AF76)))</formula>
    </cfRule>
    <cfRule type="containsText" dxfId="36" priority="46" operator="containsText" text="Preto">
      <formula>NOT(ISERROR(SEARCH("Preto",AF76)))</formula>
    </cfRule>
    <cfRule type="containsText" priority="47" operator="containsText" text="Branco">
      <formula>NOT(ISERROR(SEARCH("Branco",AF76)))</formula>
    </cfRule>
    <cfRule type="containsText" dxfId="35" priority="48" operator="containsText" text="Bege">
      <formula>NOT(ISERROR(SEARCH("Bege",AF76)))</formula>
    </cfRule>
  </conditionalFormatting>
  <conditionalFormatting sqref="AF76">
    <cfRule type="containsText" dxfId="34" priority="31" operator="containsText" text="Escuro">
      <formula>NOT(ISERROR(SEARCH("Escuro",AF76)))</formula>
    </cfRule>
    <cfRule type="containsText" dxfId="33" priority="32" operator="containsText" text="Cinza">
      <formula>NOT(ISERROR(SEARCH("Cinza",AF76)))</formula>
    </cfRule>
    <cfRule type="containsText" dxfId="32" priority="33" operator="containsText" text="Púrpura">
      <formula>NOT(ISERROR(SEARCH("Púrpura",AF76)))</formula>
    </cfRule>
    <cfRule type="containsText" dxfId="31" priority="34" operator="containsText" text="Rosa">
      <formula>NOT(ISERROR(SEARCH("Rosa",AF76)))</formula>
    </cfRule>
    <cfRule type="containsText" dxfId="30" priority="35" operator="containsText" text="Castanho">
      <formula>NOT(ISERROR(SEARCH("Castanho",AF76)))</formula>
    </cfRule>
    <cfRule type="containsText" dxfId="29" priority="36" operator="containsText" text="Verde Água">
      <formula>NOT(ISERROR(SEARCH("Verde Água",AF76)))</formula>
    </cfRule>
    <cfRule type="containsText" dxfId="28" priority="37" operator="containsText" text="Azul Petróleo">
      <formula>NOT(ISERROR(SEARCH("Azul Petróleo",AF76)))</formula>
    </cfRule>
    <cfRule type="containsText" dxfId="27" priority="38" operator="containsText" text="Preto">
      <formula>NOT(ISERROR(SEARCH("Preto",AF76)))</formula>
    </cfRule>
    <cfRule type="containsText" priority="39" operator="containsText" text="Branco">
      <formula>NOT(ISERROR(SEARCH("Branco",AF76)))</formula>
    </cfRule>
  </conditionalFormatting>
  <conditionalFormatting sqref="AF76">
    <cfRule type="containsText" dxfId="26" priority="29" operator="containsText" text="petróleo">
      <formula>NOT(ISERROR(SEARCH("petróleo",AF76)))</formula>
    </cfRule>
    <cfRule type="containsText" dxfId="25" priority="30" operator="containsText" text="Turquesa">
      <formula>NOT(ISERROR(SEARCH("Turquesa",AF76)))</formula>
    </cfRule>
  </conditionalFormatting>
  <conditionalFormatting sqref="AG76">
    <cfRule type="containsText" dxfId="24" priority="20" operator="containsText" text="Cinza">
      <formula>NOT(ISERROR(SEARCH("Cinza",AG76)))</formula>
    </cfRule>
    <cfRule type="containsText" dxfId="23" priority="21" operator="containsText" text="Púrpura">
      <formula>NOT(ISERROR(SEARCH("Púrpura",AG76)))</formula>
    </cfRule>
    <cfRule type="containsText" dxfId="22" priority="22" operator="containsText" text="Rosa">
      <formula>NOT(ISERROR(SEARCH("Rosa",AG76)))</formula>
    </cfRule>
    <cfRule type="containsText" dxfId="21" priority="23" operator="containsText" text="Castanho">
      <formula>NOT(ISERROR(SEARCH("Castanho",AG76)))</formula>
    </cfRule>
    <cfRule type="containsText" dxfId="20" priority="24" operator="containsText" text="Verde Água">
      <formula>NOT(ISERROR(SEARCH("Verde Água",AG76)))</formula>
    </cfRule>
    <cfRule type="containsText" dxfId="19" priority="25" operator="containsText" text="Azul Petróleo">
      <formula>NOT(ISERROR(SEARCH("Azul Petróleo",AG76)))</formula>
    </cfRule>
    <cfRule type="containsText" dxfId="18" priority="26" operator="containsText" text="Preto">
      <formula>NOT(ISERROR(SEARCH("Preto",AG76)))</formula>
    </cfRule>
    <cfRule type="containsText" priority="27" operator="containsText" text="Branco">
      <formula>NOT(ISERROR(SEARCH("Branco",AG76)))</formula>
    </cfRule>
    <cfRule type="containsText" dxfId="17" priority="28" operator="containsText" text="Bege">
      <formula>NOT(ISERROR(SEARCH("Bege",AG76)))</formula>
    </cfRule>
  </conditionalFormatting>
  <conditionalFormatting sqref="AG76">
    <cfRule type="containsText" dxfId="16" priority="11" operator="containsText" text="Escuro">
      <formula>NOT(ISERROR(SEARCH("Escuro",AG76)))</formula>
    </cfRule>
    <cfRule type="containsText" dxfId="15" priority="12" operator="containsText" text="Cinza">
      <formula>NOT(ISERROR(SEARCH("Cinza",AG76)))</formula>
    </cfRule>
    <cfRule type="containsText" dxfId="14" priority="13" operator="containsText" text="Púrpura">
      <formula>NOT(ISERROR(SEARCH("Púrpura",AG76)))</formula>
    </cfRule>
    <cfRule type="containsText" dxfId="13" priority="14" operator="containsText" text="Rosa">
      <formula>NOT(ISERROR(SEARCH("Rosa",AG76)))</formula>
    </cfRule>
    <cfRule type="containsText" dxfId="12" priority="15" operator="containsText" text="Castanho">
      <formula>NOT(ISERROR(SEARCH("Castanho",AG76)))</formula>
    </cfRule>
    <cfRule type="containsText" dxfId="11" priority="16" operator="containsText" text="Verde Água">
      <formula>NOT(ISERROR(SEARCH("Verde Água",AG76)))</formula>
    </cfRule>
    <cfRule type="containsText" dxfId="10" priority="17" operator="containsText" text="Azul Petróleo">
      <formula>NOT(ISERROR(SEARCH("Azul Petróleo",AG76)))</formula>
    </cfRule>
    <cfRule type="containsText" dxfId="9" priority="18" operator="containsText" text="Preto">
      <formula>NOT(ISERROR(SEARCH("Preto",AG76)))</formula>
    </cfRule>
    <cfRule type="containsText" priority="19" operator="containsText" text="Branco">
      <formula>NOT(ISERROR(SEARCH("Branco",AG76)))</formula>
    </cfRule>
  </conditionalFormatting>
  <conditionalFormatting sqref="AG76">
    <cfRule type="containsText" dxfId="8" priority="9" operator="containsText" text="petróleo">
      <formula>NOT(ISERROR(SEARCH("petróleo",AG76)))</formula>
    </cfRule>
    <cfRule type="containsText" dxfId="7" priority="10" operator="containsText" text="Turquesa">
      <formula>NOT(ISERROR(SEARCH("Turquesa",AG76)))</formula>
    </cfRule>
  </conditionalFormatting>
  <conditionalFormatting sqref="V13:V28 V34:V49 V55:V70 V76:V83 AE76:AE83 F78:F85 F91:F98 F104:F111 F65:F72 F13:F20 F26:F33 F39:F46 F52:F59">
    <cfRule type="containsText" dxfId="6" priority="8" stopIfTrue="1" operator="containsText" text="Petróleo">
      <formula>NOT(ISERROR(SEARCH("Petróleo",F13)))</formula>
    </cfRule>
  </conditionalFormatting>
  <conditionalFormatting sqref="V13:V28 V34:V49 V55:V70 V76:V83 AE76:AE83 F78:F85 F91:F98 F104:F111 F65:F72 F13:F20 F26:F33 F39:F46 F52:F59">
    <cfRule type="containsText" dxfId="5" priority="1" operator="containsText" text="Turquesa">
      <formula>NOT(ISERROR(SEARCH("Turquesa",F13)))</formula>
    </cfRule>
    <cfRule type="containsText" dxfId="4" priority="2" operator="containsText" text="Escuro">
      <formula>NOT(ISERROR(SEARCH("Escuro",F13)))</formula>
    </cfRule>
    <cfRule type="containsText" dxfId="3" priority="3" operator="containsText" text="Bege">
      <formula>NOT(ISERROR(SEARCH("Bege",F13)))</formula>
    </cfRule>
    <cfRule type="containsText" dxfId="2" priority="4" operator="containsText" text="Rosa">
      <formula>NOT(ISERROR(SEARCH("Rosa",F13)))</formula>
    </cfRule>
    <cfRule type="containsText" dxfId="1" priority="5" operator="containsText" text="Cinza">
      <formula>NOT(ISERROR(SEARCH("Cinza",F13)))</formula>
    </cfRule>
    <cfRule type="containsText" priority="6" operator="containsText" text="Branco">
      <formula>NOT(ISERROR(SEARCH("Branco",F13)))</formula>
    </cfRule>
    <cfRule type="containsText" dxfId="0" priority="7" operator="containsText" text="Verde">
      <formula>NOT(ISERROR(SEARCH("Verde",F13)))</formula>
    </cfRule>
  </conditionalFormatting>
  <dataValidations count="1">
    <dataValidation type="whole" allowBlank="1" showInputMessage="1" showErrorMessage="1" errorTitle="Erro de Conteúdo." error="Introduza um número de 1 a 100." sqref="X55:Y70">
      <formula1>1</formula1>
      <formula2>100</formula2>
    </dataValidation>
  </dataValidations>
  <pageMargins left="0.7" right="0.7" top="0.75" bottom="0.75" header="0.3" footer="0.3"/>
  <pageSetup paperSize="9" scale="10" orientation="portrait" horizontalDpi="4294967295" verticalDpi="4294967295" r:id="rId1"/>
  <colBreaks count="1" manualBreakCount="1">
    <brk id="39" max="84" man="1"/>
  </colBreaks>
  <drawing r:id="rId2"/>
  <legacyDrawing r:id="rId3"/>
  <controls>
    <mc:AlternateContent xmlns:mc="http://schemas.openxmlformats.org/markup-compatibility/2006">
      <mc:Choice Requires="x14">
        <control shapeId="3033089" r:id="rId4" name="CommandButton1">
          <controlPr defaultSize="0" autoLine="0" r:id="rId5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476250</xdr:colOff>
                <xdr:row>8</xdr:row>
                <xdr:rowOff>19050</xdr:rowOff>
              </to>
            </anchor>
          </controlPr>
        </control>
      </mc:Choice>
      <mc:Fallback>
        <control shapeId="3033089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8" operator="containsText" id="{0AC6F6A5-9CB6-425D-A39D-CF15609CA804}">
            <xm:f>NOT(ISERROR(SEARCH("-",D8)))</xm:f>
            <xm:f>"-"</xm:f>
            <x14:dxf/>
          </x14:cfRule>
          <xm:sqref>K8 D10 K13:K21 D23 D36 K39:K47 D49 D62 K65:K73 D114 H117:H125 K26:K34 K52:K60</xm:sqref>
        </x14:conditionalFormatting>
        <x14:conditionalFormatting xmlns:xm="http://schemas.microsoft.com/office/excel/2006/main">
          <x14:cfRule type="containsText" priority="107" operator="containsText" id="{D8BF439E-DB4C-40A4-A8B5-89BAE1A917C3}">
            <xm:f>NOT(ISERROR(SEARCH("-",D75)))</xm:f>
            <xm:f>"-"</xm:f>
            <x14:dxf/>
          </x14:cfRule>
          <xm:sqref>D75 D88 K91:K99 D101 K104:K112 K78:K86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Listas!$E$26:$E$33</xm:f>
          </x14:formula1>
          <xm:sqref>AJ76:AK83</xm:sqref>
        </x14:dataValidation>
        <x14:dataValidation type="list" allowBlank="1" showInputMessage="1" showErrorMessage="1">
          <x14:formula1>
            <xm:f>Listas!$A$3:$A$5</xm:f>
          </x14:formula1>
          <xm:sqref>P2</xm:sqref>
        </x14:dataValidation>
        <x14:dataValidation type="list" allowBlank="1" showInputMessage="1" showErrorMessage="1">
          <x14:formula1>
            <xm:f>Listas!$E$3:$E$9</xm:f>
          </x14:formula1>
          <xm:sqref>U177:U179 U133:U138 U140 U159:U171 U146:U153</xm:sqref>
        </x14:dataValidation>
        <x14:dataValidation type="list" allowBlank="1" showInputMessage="1" showErrorMessage="1">
          <x14:formula1>
            <xm:f>Listas!$B$3:$B$6</xm:f>
          </x14:formula1>
          <xm:sqref>N2</xm:sqref>
        </x14:dataValidation>
        <x14:dataValidation type="list" allowBlank="1" showInputMessage="1" showErrorMessage="1">
          <x14:formula1>
            <xm:f>Listas!$H$17:$H$22</xm:f>
          </x14:formula1>
          <xm:sqref>U13:U28 U34:U49</xm:sqref>
        </x14:dataValidation>
        <x14:dataValidation type="list" allowBlank="1" showInputMessage="1" showErrorMessage="1">
          <x14:formula1>
            <xm:f>Listas!$F$15:$F$17</xm:f>
          </x14:formula1>
          <xm:sqref>W55:W70</xm:sqref>
        </x14:dataValidation>
        <x14:dataValidation type="list" allowBlank="1" showInputMessage="1" showErrorMessage="1">
          <x14:formula1>
            <xm:f>Listas!$C$3:$C$16</xm:f>
          </x14:formula1>
          <xm:sqref>E91:E98 E13:E19 V177:W179 E104:E111 E26:E33 E65:E72 E52:E59 E78:E85 E41:E46 E39</xm:sqref>
        </x14:dataValidation>
        <x14:dataValidation type="list" allowBlank="1" showInputMessage="1" showErrorMessage="1">
          <x14:formula1>
            <xm:f>Listas!$C$3:$C$20</xm:f>
          </x14:formula1>
          <xm:sqref>V133:W140 V146:W153</xm:sqref>
        </x14:dataValidation>
        <x14:dataValidation type="list" allowBlank="1" showInputMessage="1" showErrorMessage="1">
          <x14:formula1>
            <xm:f>Listas!$C$3:$C$18</xm:f>
          </x14:formula1>
          <xm:sqref>X148:X151</xm:sqref>
        </x14:dataValidation>
        <x14:dataValidation type="list" allowBlank="1" showInputMessage="1" showErrorMessage="1">
          <x14:formula1>
            <xm:f>Listas!$C$3:$C$26</xm:f>
          </x14:formula1>
          <xm:sqref>V159:W171</xm:sqref>
        </x14:dataValidation>
        <x14:dataValidation type="list" allowBlank="1" showInputMessage="1" showErrorMessage="1">
          <x14:formula1>
            <xm:f>Listas!$H$3:$H$20</xm:f>
          </x14:formula1>
          <xm:sqref>AD76:AD83</xm:sqref>
        </x14:dataValidation>
        <x14:dataValidation type="list" allowBlank="1" showInputMessage="1" showErrorMessage="1">
          <x14:formula1>
            <xm:f>Listas!$H$3:$H$22</xm:f>
          </x14:formula1>
          <xm:sqref>U76:U83</xm:sqref>
        </x14:dataValidation>
        <x14:dataValidation type="list" allowBlank="1" showInputMessage="1" showErrorMessage="1">
          <x14:formula1>
            <xm:f>Listas!$H$3:$H$16</xm:f>
          </x14:formula1>
          <xm:sqref>U55:U70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4</vt:i4>
      </vt:variant>
      <vt:variant>
        <vt:lpstr>Intervalos com nome</vt:lpstr>
      </vt:variant>
      <vt:variant>
        <vt:i4>3</vt:i4>
      </vt:variant>
    </vt:vector>
  </HeadingPairs>
  <TitlesOfParts>
    <vt:vector size="7" baseType="lpstr">
      <vt:lpstr>Listas</vt:lpstr>
      <vt:lpstr>02-09 T1</vt:lpstr>
      <vt:lpstr>02-09 T2</vt:lpstr>
      <vt:lpstr>02-09 T3</vt:lpstr>
      <vt:lpstr>'02-09 T1'!Área_de_Impressão</vt:lpstr>
      <vt:lpstr>'02-09 T2'!Área_de_Impressão</vt:lpstr>
      <vt:lpstr>'02-09 T3'!Área_de_Impressão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 Escolha e Embalagem</dc:creator>
  <cp:lastModifiedBy>Supervisor Escolha e Embalagem</cp:lastModifiedBy>
  <cp:lastPrinted>2019-06-18T15:04:06Z</cp:lastPrinted>
  <dcterms:created xsi:type="dcterms:W3CDTF">2006-09-16T00:00:00Z</dcterms:created>
  <dcterms:modified xsi:type="dcterms:W3CDTF">2019-09-02T23:05:16Z</dcterms:modified>
</cp:coreProperties>
</file>